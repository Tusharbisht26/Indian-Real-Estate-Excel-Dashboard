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4ccc249ad8eb09ca/Documents/"/>
    </mc:Choice>
  </mc:AlternateContent>
  <xr:revisionPtr revIDLastSave="2443" documentId="8_{CA32605D-670D-40DA-B002-053A88EC9E51}" xr6:coauthVersionLast="47" xr6:coauthVersionMax="47" xr10:uidLastSave="{4C2304D3-89F4-4064-8815-B9EA4241993C}"/>
  <bookViews>
    <workbookView xWindow="-110" yWindow="-110" windowWidth="19420" windowHeight="11500" tabRatio="820" activeTab="4" xr2:uid="{65B95911-7DF8-4FBA-8952-7C97CBE9B5B7}"/>
  </bookViews>
  <sheets>
    <sheet name="Property Dataset  " sheetId="1" r:id="rId1"/>
    <sheet name="Stats " sheetId="3" r:id="rId2"/>
    <sheet name="Executive Summary" sheetId="6" r:id="rId3"/>
    <sheet name="Dashboard " sheetId="2" r:id="rId4"/>
    <sheet name="Additional Analysis" sheetId="4" r:id="rId5"/>
  </sheets>
  <definedNames>
    <definedName name="_xlchart.v1.0" hidden="1">'Property Dataset  '!$F$2:$F$1001</definedName>
    <definedName name="_xlchart.v1.1" hidden="1">'Property Dataset  '!$O$1</definedName>
    <definedName name="_xlchart.v1.2" hidden="1">'Property Dataset  '!$O$2:$O$1001</definedName>
    <definedName name="_xlchart.v1.3" hidden="1">'Property Dataset  '!$G$2:$G$1001</definedName>
    <definedName name="_xlchart.v1.4" hidden="1">'Property Dataset  '!$T$2:$T$1001</definedName>
    <definedName name="_xlnm.Print_Area" localSheetId="4">'Additional Analysis'!$A$1:$M$130</definedName>
    <definedName name="_xlnm.Print_Area" localSheetId="2">'Executive Summary'!$A$1:$K$61</definedName>
    <definedName name="Slicer_City">#N/A</definedName>
    <definedName name="Slicer_City1">#N/A</definedName>
    <definedName name="Slicer_City2">#N/A</definedName>
    <definedName name="Slicer_District">#N/A</definedName>
    <definedName name="Slicer_Property_Type">#N/A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6" l="1"/>
  <c r="I38" i="6"/>
  <c r="J37" i="6"/>
  <c r="I37" i="6"/>
  <c r="J36" i="6"/>
  <c r="I36" i="6"/>
  <c r="J32" i="6"/>
  <c r="I32" i="6"/>
  <c r="J31" i="6"/>
  <c r="I31" i="6"/>
  <c r="F36" i="6"/>
  <c r="E36" i="6"/>
  <c r="D36" i="6"/>
  <c r="C36" i="6"/>
  <c r="B36" i="6"/>
  <c r="F35" i="6"/>
  <c r="E35" i="6"/>
  <c r="D35" i="6"/>
  <c r="C35" i="6"/>
  <c r="B35" i="6"/>
  <c r="F34" i="6"/>
  <c r="E34" i="6"/>
  <c r="D34" i="6"/>
  <c r="C34" i="6"/>
  <c r="B34" i="6"/>
  <c r="F33" i="6"/>
  <c r="E33" i="6"/>
  <c r="D33" i="6"/>
  <c r="C33" i="6"/>
  <c r="B33" i="6"/>
  <c r="F32" i="6"/>
  <c r="E32" i="6"/>
  <c r="D32" i="6"/>
  <c r="C32" i="6"/>
  <c r="B32" i="6"/>
  <c r="F31" i="6"/>
  <c r="E31" i="6"/>
  <c r="D31" i="6"/>
  <c r="C31" i="6"/>
  <c r="B31" i="6"/>
  <c r="I24" i="6"/>
  <c r="H24" i="6"/>
  <c r="G24" i="6"/>
  <c r="I23" i="6"/>
  <c r="H23" i="6"/>
  <c r="G23" i="6"/>
  <c r="I22" i="6"/>
  <c r="H22" i="6"/>
  <c r="G22" i="6"/>
  <c r="I21" i="6"/>
  <c r="H21" i="6"/>
  <c r="G21" i="6"/>
  <c r="C26" i="6"/>
  <c r="B26" i="6"/>
  <c r="C25" i="6"/>
  <c r="B25" i="6"/>
  <c r="C24" i="6"/>
  <c r="B24" i="6"/>
  <c r="C23" i="6"/>
  <c r="B23" i="6"/>
  <c r="C22" i="6"/>
  <c r="B22" i="6"/>
  <c r="C21" i="6"/>
  <c r="B21" i="6"/>
  <c r="J16" i="6"/>
  <c r="I16" i="6"/>
  <c r="H16" i="6"/>
  <c r="G16" i="6"/>
  <c r="J15" i="6"/>
  <c r="I15" i="6"/>
  <c r="H15" i="6"/>
  <c r="G15" i="6"/>
  <c r="J14" i="6"/>
  <c r="I14" i="6"/>
  <c r="H14" i="6"/>
  <c r="G14" i="6"/>
  <c r="J13" i="6"/>
  <c r="I13" i="6"/>
  <c r="H13" i="6"/>
  <c r="G13" i="6"/>
  <c r="J12" i="6"/>
  <c r="I12" i="6"/>
  <c r="H12" i="6"/>
  <c r="G12" i="6"/>
  <c r="D13" i="6"/>
  <c r="C13" i="6"/>
  <c r="B13" i="6"/>
  <c r="D12" i="6"/>
  <c r="C12" i="6"/>
  <c r="B12" i="6"/>
  <c r="I7" i="6"/>
  <c r="H7" i="6"/>
  <c r="G7" i="6"/>
  <c r="F7" i="6"/>
  <c r="D7" i="6"/>
  <c r="C7" i="6"/>
  <c r="B7" i="6"/>
  <c r="A7" i="6"/>
  <c r="D57" i="4"/>
  <c r="C57" i="4"/>
  <c r="B57" i="4"/>
  <c r="D56" i="4"/>
  <c r="C56" i="4"/>
  <c r="B56" i="4"/>
  <c r="D55" i="4"/>
  <c r="C55" i="4"/>
  <c r="B55" i="4"/>
  <c r="F51" i="4"/>
  <c r="E51" i="4"/>
  <c r="D51" i="4"/>
  <c r="C51" i="4"/>
  <c r="B51" i="4"/>
  <c r="F50" i="4"/>
  <c r="E50" i="4"/>
  <c r="D50" i="4"/>
  <c r="C50" i="4"/>
  <c r="B50" i="4"/>
  <c r="F49" i="4"/>
  <c r="E49" i="4"/>
  <c r="D49" i="4"/>
  <c r="C49" i="4"/>
  <c r="B49" i="4"/>
  <c r="F48" i="4"/>
  <c r="E48" i="4"/>
  <c r="D48" i="4"/>
  <c r="C48" i="4"/>
  <c r="B48" i="4"/>
  <c r="F47" i="4"/>
  <c r="E47" i="4"/>
  <c r="D47" i="4"/>
  <c r="C47" i="4"/>
  <c r="B47" i="4"/>
  <c r="F46" i="4"/>
  <c r="E46" i="4"/>
  <c r="D46" i="4"/>
  <c r="C46" i="4"/>
  <c r="B46" i="4"/>
  <c r="J39" i="4"/>
  <c r="I39" i="4"/>
  <c r="H39" i="4"/>
  <c r="J38" i="4"/>
  <c r="I38" i="4"/>
  <c r="H38" i="4"/>
  <c r="J37" i="4"/>
  <c r="I37" i="4"/>
  <c r="H37" i="4"/>
  <c r="J36" i="4"/>
  <c r="I36" i="4"/>
  <c r="H36" i="4"/>
  <c r="J35" i="4"/>
  <c r="I35" i="4"/>
  <c r="H35" i="4"/>
  <c r="J34" i="4"/>
  <c r="I34" i="4"/>
  <c r="H34" i="4"/>
  <c r="J33" i="4"/>
  <c r="I33" i="4"/>
  <c r="H33" i="4"/>
  <c r="J32" i="4"/>
  <c r="I32" i="4"/>
  <c r="H32" i="4"/>
  <c r="L28" i="4"/>
  <c r="K28" i="4"/>
  <c r="J28" i="4"/>
  <c r="I28" i="4"/>
  <c r="H28" i="4"/>
  <c r="L27" i="4"/>
  <c r="K27" i="4"/>
  <c r="J27" i="4"/>
  <c r="I27" i="4"/>
  <c r="H27" i="4"/>
  <c r="L26" i="4"/>
  <c r="K26" i="4"/>
  <c r="J26" i="4"/>
  <c r="I26" i="4"/>
  <c r="H26" i="4"/>
  <c r="L25" i="4"/>
  <c r="K25" i="4"/>
  <c r="J25" i="4"/>
  <c r="I25" i="4"/>
  <c r="H25" i="4"/>
  <c r="L24" i="4"/>
  <c r="K24" i="4"/>
  <c r="J24" i="4"/>
  <c r="I24" i="4"/>
  <c r="H24" i="4"/>
  <c r="K20" i="4"/>
  <c r="J20" i="4"/>
  <c r="I20" i="4"/>
  <c r="H20" i="4"/>
  <c r="K19" i="4"/>
  <c r="J19" i="4"/>
  <c r="I19" i="4"/>
  <c r="H19" i="4"/>
  <c r="K15" i="4"/>
  <c r="J15" i="4"/>
  <c r="I15" i="4"/>
  <c r="H15" i="4"/>
  <c r="K14" i="4"/>
  <c r="J14" i="4"/>
  <c r="I14" i="4"/>
  <c r="H14" i="4"/>
  <c r="I10" i="4"/>
  <c r="H10" i="4"/>
  <c r="I9" i="4"/>
  <c r="H9" i="4"/>
  <c r="I8" i="4"/>
  <c r="H8" i="4"/>
  <c r="I7" i="4"/>
  <c r="H7" i="4"/>
  <c r="I6" i="4"/>
  <c r="H6" i="4"/>
  <c r="I5" i="4"/>
  <c r="H5" i="4"/>
  <c r="E41" i="4"/>
  <c r="D41" i="4"/>
  <c r="C41" i="4"/>
  <c r="B41" i="4"/>
  <c r="E40" i="4"/>
  <c r="D40" i="4"/>
  <c r="C40" i="4"/>
  <c r="B40" i="4"/>
  <c r="E39" i="4"/>
  <c r="D39" i="4"/>
  <c r="C39" i="4"/>
  <c r="B39" i="4"/>
  <c r="E38" i="4"/>
  <c r="D38" i="4"/>
  <c r="C38" i="4"/>
  <c r="B38" i="4"/>
  <c r="E34" i="4"/>
  <c r="D34" i="4"/>
  <c r="C34" i="4"/>
  <c r="B34" i="4"/>
  <c r="E33" i="4"/>
  <c r="D33" i="4"/>
  <c r="C33" i="4"/>
  <c r="B33" i="4"/>
  <c r="E32" i="4"/>
  <c r="D32" i="4"/>
  <c r="C32" i="4"/>
  <c r="B32" i="4"/>
  <c r="E31" i="4"/>
  <c r="D31" i="4"/>
  <c r="C31" i="4"/>
  <c r="B31" i="4"/>
  <c r="E30" i="4"/>
  <c r="D30" i="4"/>
  <c r="C30" i="4"/>
  <c r="B30" i="4"/>
  <c r="E29" i="4"/>
  <c r="D29" i="4"/>
  <c r="C29" i="4"/>
  <c r="B29" i="4"/>
  <c r="E25" i="4"/>
  <c r="E24" i="4"/>
  <c r="E23" i="4"/>
  <c r="E22" i="4"/>
  <c r="E21" i="4"/>
  <c r="E20" i="4"/>
  <c r="D25" i="4"/>
  <c r="D24" i="4"/>
  <c r="D23" i="4"/>
  <c r="D22" i="4"/>
  <c r="D21" i="4"/>
  <c r="D20" i="4"/>
  <c r="C25" i="4"/>
  <c r="C24" i="4"/>
  <c r="C23" i="4"/>
  <c r="C22" i="4"/>
  <c r="C21" i="4"/>
  <c r="C20" i="4"/>
  <c r="B25" i="4"/>
  <c r="B24" i="4"/>
  <c r="B23" i="4"/>
  <c r="B22" i="4"/>
  <c r="B21" i="4"/>
  <c r="B20" i="4"/>
  <c r="F10" i="4"/>
  <c r="F11" i="4"/>
  <c r="F12" i="4"/>
  <c r="F13" i="4"/>
  <c r="F14" i="4"/>
  <c r="F15" i="4"/>
  <c r="F16" i="4"/>
  <c r="E10" i="4"/>
  <c r="E11" i="4"/>
  <c r="E12" i="4"/>
  <c r="E13" i="4"/>
  <c r="E14" i="4"/>
  <c r="E15" i="4"/>
  <c r="E16" i="4"/>
  <c r="D10" i="4"/>
  <c r="D11" i="4"/>
  <c r="D12" i="4"/>
  <c r="D13" i="4"/>
  <c r="D14" i="4"/>
  <c r="D15" i="4"/>
  <c r="D16" i="4"/>
  <c r="C10" i="4"/>
  <c r="C11" i="4"/>
  <c r="C12" i="4"/>
  <c r="C13" i="4"/>
  <c r="C14" i="4"/>
  <c r="C15" i="4"/>
  <c r="C16" i="4"/>
  <c r="B10" i="4"/>
  <c r="B11" i="4"/>
  <c r="B12" i="4"/>
  <c r="B13" i="4"/>
  <c r="B14" i="4"/>
  <c r="B15" i="4"/>
  <c r="B16" i="4"/>
  <c r="D6" i="4"/>
  <c r="C6" i="4"/>
  <c r="B6" i="4"/>
  <c r="D5" i="4"/>
  <c r="C5" i="4"/>
  <c r="B5" i="4"/>
  <c r="Y8" i="2"/>
  <c r="J8" i="2"/>
  <c r="G8" i="2"/>
  <c r="D8" i="2"/>
  <c r="V8" i="2"/>
  <c r="A8" i="2"/>
</calcChain>
</file>

<file path=xl/sharedStrings.xml><?xml version="1.0" encoding="utf-8"?>
<sst xmlns="http://schemas.openxmlformats.org/spreadsheetml/2006/main" count="8385" uniqueCount="2241">
  <si>
    <t>PROP00001</t>
  </si>
  <si>
    <t>Chennai</t>
  </si>
  <si>
    <t>Anna Nagar</t>
  </si>
  <si>
    <t>Apartment</t>
  </si>
  <si>
    <t>West</t>
  </si>
  <si>
    <t>Pool; AC; Elevator; Security; Garden; Gym; Library; Playground</t>
  </si>
  <si>
    <t>Premium</t>
  </si>
  <si>
    <t>Available</t>
  </si>
  <si>
    <t>PROP00002</t>
  </si>
  <si>
    <t>Mumbai</t>
  </si>
  <si>
    <t>Bandra</t>
  </si>
  <si>
    <t>Studio</t>
  </si>
  <si>
    <t>South-East</t>
  </si>
  <si>
    <t>Pool; Elevator; Library; Gym; Parking</t>
  </si>
  <si>
    <t>Luxury</t>
  </si>
  <si>
    <t>PROP00003</t>
  </si>
  <si>
    <t>Pool; Library; Security; Garden</t>
  </si>
  <si>
    <t>PROP00004</t>
  </si>
  <si>
    <t>Pune</t>
  </si>
  <si>
    <t>Viman Nagar</t>
  </si>
  <si>
    <t>Independent House</t>
  </si>
  <si>
    <t>South-West</t>
  </si>
  <si>
    <t>Garden; Gym; Playground</t>
  </si>
  <si>
    <t>Rented</t>
  </si>
  <si>
    <t>PROP00005</t>
  </si>
  <si>
    <t>Bangalore</t>
  </si>
  <si>
    <t>Indiranagar</t>
  </si>
  <si>
    <t>Villa</t>
  </si>
  <si>
    <t>North</t>
  </si>
  <si>
    <t>Library; Playground; Garden; Pool; Security; Concierge; Gym</t>
  </si>
  <si>
    <t>Sold</t>
  </si>
  <si>
    <t>PROP00006</t>
  </si>
  <si>
    <t>Hyderabad</t>
  </si>
  <si>
    <t>Jubilee Hills</t>
  </si>
  <si>
    <t>North-East</t>
  </si>
  <si>
    <t>Library; Parking; Concierge; Gym; Playground</t>
  </si>
  <si>
    <t>PROP00007</t>
  </si>
  <si>
    <t>Marathahalli</t>
  </si>
  <si>
    <t>Penthouse</t>
  </si>
  <si>
    <t>Pool; Playground; Security</t>
  </si>
  <si>
    <t>PROP00008</t>
  </si>
  <si>
    <t>Madhapur</t>
  </si>
  <si>
    <t>North-West</t>
  </si>
  <si>
    <t>Garden; Security; Library; Playground; Concierge; Parking; Elevator</t>
  </si>
  <si>
    <t>PROP00009</t>
  </si>
  <si>
    <t>T Nagar</t>
  </si>
  <si>
    <t>Pool; AC; Garden; Parking; Playground</t>
  </si>
  <si>
    <t>PROP00010</t>
  </si>
  <si>
    <t>Thiruvanmiyur</t>
  </si>
  <si>
    <t>Gym; Pool; Elevator; Garden; Playground; Parking; Concierge; Library</t>
  </si>
  <si>
    <t>PROP00011</t>
  </si>
  <si>
    <t>Kilpauk</t>
  </si>
  <si>
    <t>Concierge; Garden; Library; Gym; Pool; AC</t>
  </si>
  <si>
    <t>PROP00012</t>
  </si>
  <si>
    <t>Delhi</t>
  </si>
  <si>
    <t>Gurgaon</t>
  </si>
  <si>
    <t>Elevator; Concierge; Parking</t>
  </si>
  <si>
    <t>PROP00013</t>
  </si>
  <si>
    <t>South</t>
  </si>
  <si>
    <t>Playground; Garden; Security; AC; Pool; Parking; Library; Elevator</t>
  </si>
  <si>
    <t>PROP00014</t>
  </si>
  <si>
    <t>East</t>
  </si>
  <si>
    <t>Security; AC; Gym; Playground; Elevator; Parking; Concierge</t>
  </si>
  <si>
    <t>PROP00015</t>
  </si>
  <si>
    <t>South Delhi</t>
  </si>
  <si>
    <t>Playground; Parking; Security</t>
  </si>
  <si>
    <t>PROP00016</t>
  </si>
  <si>
    <t>Kondapur</t>
  </si>
  <si>
    <t>Gym; Playground; Garden; AC; Pool</t>
  </si>
  <si>
    <t>PROP00017</t>
  </si>
  <si>
    <t>Pool; Library; Gym; AC</t>
  </si>
  <si>
    <t>PROP00018</t>
  </si>
  <si>
    <t>Noida</t>
  </si>
  <si>
    <t>Playground; Gym; Pool; Parking; Concierge; Security; Library</t>
  </si>
  <si>
    <t>PROP00019</t>
  </si>
  <si>
    <t>Playground; Elevator; Pool</t>
  </si>
  <si>
    <t>PROP00020</t>
  </si>
  <si>
    <t>Security; Elevator; Garden</t>
  </si>
  <si>
    <t>PROP00021</t>
  </si>
  <si>
    <t>Rohini</t>
  </si>
  <si>
    <t>Garden; Elevator; Parking; Gym; Library</t>
  </si>
  <si>
    <t>PROP00022</t>
  </si>
  <si>
    <t>Koramangala</t>
  </si>
  <si>
    <t>AC; Concierge; Gym; Security; Pool; Elevator; Garden; Library</t>
  </si>
  <si>
    <t>PROP00023</t>
  </si>
  <si>
    <t>Concierge; Garden; Security; AC; Gym; Parking; Pool</t>
  </si>
  <si>
    <t>PROP00024</t>
  </si>
  <si>
    <t>Library; Elevator; Gym; AC</t>
  </si>
  <si>
    <t>PROP00025</t>
  </si>
  <si>
    <t>Dwarka</t>
  </si>
  <si>
    <t>Library; Parking; Concierge; Pool; Security; Playground; Gym; Elevator</t>
  </si>
  <si>
    <t>PROP00026</t>
  </si>
  <si>
    <t>Concierge; Gym; AC</t>
  </si>
  <si>
    <t>PROP00027</t>
  </si>
  <si>
    <t>Jayanagar</t>
  </si>
  <si>
    <t>Playground; Parking; Pool; Library; Concierge</t>
  </si>
  <si>
    <t>PROP00028</t>
  </si>
  <si>
    <t>Besant Nagar</t>
  </si>
  <si>
    <t>Library; Playground; Pool; Security; AC; Parking; Gym</t>
  </si>
  <si>
    <t>PROP00029</t>
  </si>
  <si>
    <t>Elevator; Security; Playground; Library; Pool; Gym; Parking; Concierge</t>
  </si>
  <si>
    <t>PROP00030</t>
  </si>
  <si>
    <t>Pool; Garden; Library; AC</t>
  </si>
  <si>
    <t>PROP00031</t>
  </si>
  <si>
    <t>Pitampura</t>
  </si>
  <si>
    <t>AC; Playground; Elevator; Concierge; Garden; Parking; Security; Pool</t>
  </si>
  <si>
    <t>PROP00032</t>
  </si>
  <si>
    <t>Security; Garden; Playground; Pool</t>
  </si>
  <si>
    <t>PROP00033</t>
  </si>
  <si>
    <t>Borivali</t>
  </si>
  <si>
    <t>Gym; Security; Concierge; Elevator</t>
  </si>
  <si>
    <t>PROP00034</t>
  </si>
  <si>
    <t>Security; Library; Elevator; Concierge; AC; Gym</t>
  </si>
  <si>
    <t>PROP00035</t>
  </si>
  <si>
    <t>Dadar</t>
  </si>
  <si>
    <t>Security; Elevator; Concierge; Gym</t>
  </si>
  <si>
    <t>PROP00036</t>
  </si>
  <si>
    <t>Elevator; Security; Concierge; Gym; Garden; Parking; Playground; Pool</t>
  </si>
  <si>
    <t>PROP00037</t>
  </si>
  <si>
    <t>Concierge; Security; Parking; AC; Garden; Playground; Gym; Pool</t>
  </si>
  <si>
    <t>PROP00038</t>
  </si>
  <si>
    <t>Library; AC; Gym</t>
  </si>
  <si>
    <t>PROP00039</t>
  </si>
  <si>
    <t>Security; AC; Gym; Elevator</t>
  </si>
  <si>
    <t>PROP00040</t>
  </si>
  <si>
    <t>AC; Parking; Pool; Elevator; Garden; Library; Security</t>
  </si>
  <si>
    <t>PROP00041</t>
  </si>
  <si>
    <t>Garden; Library; Elevator; AC</t>
  </si>
  <si>
    <t>PROP00042</t>
  </si>
  <si>
    <t>Concierge; Gym; Parking; Garden; Playground; Pool; AC</t>
  </si>
  <si>
    <t>PROP00043</t>
  </si>
  <si>
    <t>Pool; Library; Elevator; AC; Playground; Gym; Garden; Security</t>
  </si>
  <si>
    <t>PROP00044</t>
  </si>
  <si>
    <t>Parking; Garden; Concierge; Playground; Elevator; AC; Library</t>
  </si>
  <si>
    <t>PROP00045</t>
  </si>
  <si>
    <t>Pool; Garden; Library; Security; Parking; Concierge</t>
  </si>
  <si>
    <t>PROP00046</t>
  </si>
  <si>
    <t>Parking; Pool; Gym; Elevator; Garden; Concierge; Library; Playground</t>
  </si>
  <si>
    <t>PROP00047</t>
  </si>
  <si>
    <t>Magarpatta</t>
  </si>
  <si>
    <t>Parking; Garden; Library</t>
  </si>
  <si>
    <t>PROP00048</t>
  </si>
  <si>
    <t>Navi Mumbai</t>
  </si>
  <si>
    <t>Garden; Pool; Concierge; Playground; Parking; Elevator; Gym</t>
  </si>
  <si>
    <t>PROP00049</t>
  </si>
  <si>
    <t>Pool; Concierge; Library; Parking; Gym; AC</t>
  </si>
  <si>
    <t>PROP00050</t>
  </si>
  <si>
    <t>Elevator; Gym; AC; Library; Parking; Pool; Security; Playground</t>
  </si>
  <si>
    <t>PROP00051</t>
  </si>
  <si>
    <t>Parking; Gym; Playground</t>
  </si>
  <si>
    <t>PROP00052</t>
  </si>
  <si>
    <t>Elevator; Gym; Security; Garden</t>
  </si>
  <si>
    <t>PROP00053</t>
  </si>
  <si>
    <t>Elevator; AC; Playground; Garden; Security; Concierge; Parking; Pool</t>
  </si>
  <si>
    <t>PROP00054</t>
  </si>
  <si>
    <t>Playground; Security; Elevator; Pool; Concierge; Garden</t>
  </si>
  <si>
    <t>PROP00055</t>
  </si>
  <si>
    <t>Elevator; AC; Garden</t>
  </si>
  <si>
    <t>PROP00056</t>
  </si>
  <si>
    <t>Security; Gym; Parking; Concierge; Playground; Library; Elevator; Pool</t>
  </si>
  <si>
    <t>PROP00057</t>
  </si>
  <si>
    <t>Elevator; Pool; Gym; AC; Library; Security; Concierge</t>
  </si>
  <si>
    <t>PROP00058</t>
  </si>
  <si>
    <t>Andheri</t>
  </si>
  <si>
    <t>Library; Gym; AC; Pool</t>
  </si>
  <si>
    <t>PROP00059</t>
  </si>
  <si>
    <t>Camp</t>
  </si>
  <si>
    <t>Gym; Library; Elevator; Garden; Concierge; Parking; AC; Security</t>
  </si>
  <si>
    <t>PROP00060</t>
  </si>
  <si>
    <t>Baner</t>
  </si>
  <si>
    <t>Playground; Garden; Elevator; Library; Pool</t>
  </si>
  <si>
    <t>PROP00061</t>
  </si>
  <si>
    <t>Concierge; Elevator; AC; Playground; Security; Library; Parking; Garden</t>
  </si>
  <si>
    <t>PROP00062</t>
  </si>
  <si>
    <t>Pool; Elevator; Library; Garden; Security</t>
  </si>
  <si>
    <t>PROP00063</t>
  </si>
  <si>
    <t>Concierge; Elevator; Parking; AC; Library; Playground; Garden; Pool</t>
  </si>
  <si>
    <t>PROP00064</t>
  </si>
  <si>
    <t>Parking; Playground; Security; AC; Library; Garden; Pool; Elevator</t>
  </si>
  <si>
    <t>PROP00065</t>
  </si>
  <si>
    <t>Parking; Elevator; Pool; AC</t>
  </si>
  <si>
    <t>PROP00066</t>
  </si>
  <si>
    <t>HSR Layout</t>
  </si>
  <si>
    <t>Playground; Garden; Concierge; Security; Parking; AC</t>
  </si>
  <si>
    <t>PROP00067</t>
  </si>
  <si>
    <t>Parking; Security; Gym; Playground; Garden; Elevator; Concierge</t>
  </si>
  <si>
    <t>PROP00068</t>
  </si>
  <si>
    <t>Pool; Playground; Garden; Gym; Parking; Library</t>
  </si>
  <si>
    <t>PROP00069</t>
  </si>
  <si>
    <t>South Mumbai</t>
  </si>
  <si>
    <t>Garden; Security; Pool; Gym; Concierge</t>
  </si>
  <si>
    <t>PROP00070</t>
  </si>
  <si>
    <t>Pool; AC; Playground; Gym; Security; Concierge; Library; Elevator</t>
  </si>
  <si>
    <t>PROP00071</t>
  </si>
  <si>
    <t>Gachibowli</t>
  </si>
  <si>
    <t>Parking; Concierge; AC; Playground; Pool</t>
  </si>
  <si>
    <t>PROP00072</t>
  </si>
  <si>
    <t>Banjara Hills</t>
  </si>
  <si>
    <t>Garden; Security; Playground; Library; Gym; Parking; AC; Concierge</t>
  </si>
  <si>
    <t>PROP00073</t>
  </si>
  <si>
    <t>HITEC City</t>
  </si>
  <si>
    <t>AC; Security; Playground; Gym</t>
  </si>
  <si>
    <t>PROP00074</t>
  </si>
  <si>
    <t>Pool; Library; Playground</t>
  </si>
  <si>
    <t>PROP00075</t>
  </si>
  <si>
    <t>Playground; Elevator; Concierge; Library; Gym; Security</t>
  </si>
  <si>
    <t>PROP00076</t>
  </si>
  <si>
    <t>Parking; Pool; Concierge</t>
  </si>
  <si>
    <t>PROP00077</t>
  </si>
  <si>
    <t>Garden; Concierge; Gym; Parking</t>
  </si>
  <si>
    <t>PROP00078</t>
  </si>
  <si>
    <t>AC; Playground; Parking; Library; Security; Elevator</t>
  </si>
  <si>
    <t>PROP00079</t>
  </si>
  <si>
    <t>AC; Security; Parking; Playground</t>
  </si>
  <si>
    <t>PROP00080</t>
  </si>
  <si>
    <t>Library; Gym; Concierge; Playground; Security; Parking; Elevator</t>
  </si>
  <si>
    <t>PROP00081</t>
  </si>
  <si>
    <t>Hinjewadi</t>
  </si>
  <si>
    <t>Playground; Elevator; Library; Pool; Parking; Security; Gym; Concierge</t>
  </si>
  <si>
    <t>PROP00082</t>
  </si>
  <si>
    <t>Concierge; Security; Elevator; Gym; Library; Garden</t>
  </si>
  <si>
    <t>PROP00083</t>
  </si>
  <si>
    <t>Library; Gym; Garden</t>
  </si>
  <si>
    <t>PROP00084</t>
  </si>
  <si>
    <t>AC; Library; Gym; Concierge; Elevator; Pool; Parking</t>
  </si>
  <si>
    <t>PROP00085</t>
  </si>
  <si>
    <t>PROP00086</t>
  </si>
  <si>
    <t>Garden; Gym; Pool; Concierge; AC; Elevator; Parking; Library</t>
  </si>
  <si>
    <t>PROP00087</t>
  </si>
  <si>
    <t>Playground; AC; Elevator; Concierge; Library; Parking; Garden</t>
  </si>
  <si>
    <t>PROP00088</t>
  </si>
  <si>
    <t>Elevator; AC; Library</t>
  </si>
  <si>
    <t>PROP00089</t>
  </si>
  <si>
    <t>Elevator; Garden; AC</t>
  </si>
  <si>
    <t>PROP00090</t>
  </si>
  <si>
    <t>Security; Playground; Elevator; AC</t>
  </si>
  <si>
    <t>PROP00091</t>
  </si>
  <si>
    <t>Elevator; Pool; Playground; Parking; Garden; Security; Concierge</t>
  </si>
  <si>
    <t>PROP00092</t>
  </si>
  <si>
    <t>Library; Elevator; Playground; Gym; Garden; AC; Pool; Security</t>
  </si>
  <si>
    <t>PROP00093</t>
  </si>
  <si>
    <t>Library; AC; Security; Playground</t>
  </si>
  <si>
    <t>PROP00094</t>
  </si>
  <si>
    <t>Kondhwa</t>
  </si>
  <si>
    <t>Elevator; Pool; Concierge; Security</t>
  </si>
  <si>
    <t>PROP00095</t>
  </si>
  <si>
    <t>Concierge; Gym; Elevator; Pool; Security; Garden; Playground</t>
  </si>
  <si>
    <t>PROP00096</t>
  </si>
  <si>
    <t>Gym; Security; Library; Pool; Concierge; Garden</t>
  </si>
  <si>
    <t>PROP00097</t>
  </si>
  <si>
    <t>Gym; Security; Concierge</t>
  </si>
  <si>
    <t>PROP00098</t>
  </si>
  <si>
    <t>Concierge; Gym; Garden</t>
  </si>
  <si>
    <t>PROP00099</t>
  </si>
  <si>
    <t>Garden; Library; Security; Parking; Gym; Concierge; Pool</t>
  </si>
  <si>
    <t>PROP00100</t>
  </si>
  <si>
    <t>Security; Parking; Concierge; Gym</t>
  </si>
  <si>
    <t>PROP00101</t>
  </si>
  <si>
    <t>Elevator; Gym; Pool; Concierge; Security; Playground; Library</t>
  </si>
  <si>
    <t>PROP00102</t>
  </si>
  <si>
    <t>Library; Concierge; Playground; Parking; Elevator</t>
  </si>
  <si>
    <t>PROP00103</t>
  </si>
  <si>
    <t>AC; Library; Security; Pool; Elevator</t>
  </si>
  <si>
    <t>PROP00104</t>
  </si>
  <si>
    <t>Gym; AC; Elevator; Library; Concierge; Playground; Security</t>
  </si>
  <si>
    <t>PROP00105</t>
  </si>
  <si>
    <t>AC; Elevator; Library</t>
  </si>
  <si>
    <t>PROP00106</t>
  </si>
  <si>
    <t>Security; Library; Pool; Parking; Garden</t>
  </si>
  <si>
    <t>PROP00107</t>
  </si>
  <si>
    <t>Pool; Concierge; Library; Playground</t>
  </si>
  <si>
    <t>PROP00108</t>
  </si>
  <si>
    <t>Gym; Garden; Parking; Library; Playground</t>
  </si>
  <si>
    <t>PROP00109</t>
  </si>
  <si>
    <t>Garden; Pool; Playground; Security; Library; Concierge</t>
  </si>
  <si>
    <t>PROP00110</t>
  </si>
  <si>
    <t>Security; Garden; Pool; Gym; Parking; Concierge; AC</t>
  </si>
  <si>
    <t>PROP00111</t>
  </si>
  <si>
    <t>Playground; AC; Pool</t>
  </si>
  <si>
    <t>PROP00112</t>
  </si>
  <si>
    <t>Library; Security; Elevator; Parking</t>
  </si>
  <si>
    <t>PROP00113</t>
  </si>
  <si>
    <t>Library; Parking; Security; AC; Concierge</t>
  </si>
  <si>
    <t>PROP00114</t>
  </si>
  <si>
    <t>Gym; Concierge; Garden; AC; Parking; Elevator; Library</t>
  </si>
  <si>
    <t>PROP00115</t>
  </si>
  <si>
    <t>PROP00116</t>
  </si>
  <si>
    <t>Library; Concierge; Parking; AC; Gym</t>
  </si>
  <si>
    <t>PROP00117</t>
  </si>
  <si>
    <t>Concierge; Playground; Pool; Parking; Gym; AC; Security; Elevator</t>
  </si>
  <si>
    <t>PROP00118</t>
  </si>
  <si>
    <t>Elevator; Garden; Concierge; Security; AC; Playground; Gym; Parking</t>
  </si>
  <si>
    <t>PROP00119</t>
  </si>
  <si>
    <t>Elevator; Library; Pool; Parking; AC; Garden</t>
  </si>
  <si>
    <t>PROP00120</t>
  </si>
  <si>
    <t>Library; Parking; Elevator; Garden; Pool; Concierge</t>
  </si>
  <si>
    <t>PROP00121</t>
  </si>
  <si>
    <t>Library; Concierge; AC; Pool; Gym; Security</t>
  </si>
  <si>
    <t>PROP00122</t>
  </si>
  <si>
    <t>Concierge; AC; Garden; Elevator; Gym; Pool; Parking; Playground</t>
  </si>
  <si>
    <t>PROP00123</t>
  </si>
  <si>
    <t>Elevator; AC; Parking; Concierge; Playground</t>
  </si>
  <si>
    <t>PROP00124</t>
  </si>
  <si>
    <t>Velachery</t>
  </si>
  <si>
    <t>Library; Concierge; Parking; Security</t>
  </si>
  <si>
    <t>PROP00125</t>
  </si>
  <si>
    <t>Playground; Pool; Library; AC; Garden; Concierge</t>
  </si>
  <si>
    <t>PROP00126</t>
  </si>
  <si>
    <t>Gym; Library; Garden; Playground; Pool; Parking</t>
  </si>
  <si>
    <t>PROP00127</t>
  </si>
  <si>
    <t>Concierge; Pool; Parking; Security</t>
  </si>
  <si>
    <t>PROP00128</t>
  </si>
  <si>
    <t>Parking; Library; Elevator; Playground; AC</t>
  </si>
  <si>
    <t>PROP00129</t>
  </si>
  <si>
    <t>Whitefield</t>
  </si>
  <si>
    <t>Playground; Parking; Garden; AC; Elevator; Gym</t>
  </si>
  <si>
    <t>PROP00130</t>
  </si>
  <si>
    <t>Pool; Garden; Concierge; Playground; Security; Gym</t>
  </si>
  <si>
    <t>PROP00131</t>
  </si>
  <si>
    <t>Gym; Library; Security</t>
  </si>
  <si>
    <t>PROP00132</t>
  </si>
  <si>
    <t>Pool; Security; Library; Playground; Elevator; Gym; Concierge; AC</t>
  </si>
  <si>
    <t>PROP00133</t>
  </si>
  <si>
    <t>Security; Pool; Gym; Parking</t>
  </si>
  <si>
    <t>PROP00134</t>
  </si>
  <si>
    <t>Elevator; Pool; Garden</t>
  </si>
  <si>
    <t>PROP00135</t>
  </si>
  <si>
    <t>Elevator; Playground; Pool</t>
  </si>
  <si>
    <t>PROP00136</t>
  </si>
  <si>
    <t>Elevator; Garden; Concierge; Parking; Security</t>
  </si>
  <si>
    <t>PROP00137</t>
  </si>
  <si>
    <t>Security; Pool; Garden; Elevator; AC; Concierge; Library; Gym</t>
  </si>
  <si>
    <t>PROP00138</t>
  </si>
  <si>
    <t>Elevator; Gym; Library; Playground; Pool; Concierge; Parking</t>
  </si>
  <si>
    <t>PROP00139</t>
  </si>
  <si>
    <t>Concierge; Elevator; Playground; Garden</t>
  </si>
  <si>
    <t>PROP00140</t>
  </si>
  <si>
    <t>Garden; Playground; Library</t>
  </si>
  <si>
    <t>PROP00141</t>
  </si>
  <si>
    <t>Library; Playground; Pool; Security</t>
  </si>
  <si>
    <t>PROP00142</t>
  </si>
  <si>
    <t>Library; Elevator; Parking</t>
  </si>
  <si>
    <t>PROP00143</t>
  </si>
  <si>
    <t>Library; Garden; AC; Playground</t>
  </si>
  <si>
    <t>PROP00144</t>
  </si>
  <si>
    <t>Gym; Concierge; Playground; Library; Security</t>
  </si>
  <si>
    <t>PROP00145</t>
  </si>
  <si>
    <t>Gym; Playground; Parking; Security; Pool; Garden; Concierge</t>
  </si>
  <si>
    <t>PROP00146</t>
  </si>
  <si>
    <t>Parking; Pool; Playground; Gym; Elevator; Garden; Library</t>
  </si>
  <si>
    <t>PROP00147</t>
  </si>
  <si>
    <t>Security; Parking; AC; Playground; Gym; Elevator; Garden; Concierge</t>
  </si>
  <si>
    <t>PROP00148</t>
  </si>
  <si>
    <t>Security; Garden; AC</t>
  </si>
  <si>
    <t>PROP00149</t>
  </si>
  <si>
    <t>Pool; Gym; Security; AC; Parking; Playground</t>
  </si>
  <si>
    <t>PROP00150</t>
  </si>
  <si>
    <t>Playground; Garden; AC</t>
  </si>
  <si>
    <t>PROP00151</t>
  </si>
  <si>
    <t>Pool; Security; Concierge; Elevator; Gym; Playground</t>
  </si>
  <si>
    <t>PROP00152</t>
  </si>
  <si>
    <t>Playground; Parking; Concierge; Gym; AC; Garden</t>
  </si>
  <si>
    <t>PROP00153</t>
  </si>
  <si>
    <t>Concierge; Security; Pool; Garden</t>
  </si>
  <si>
    <t>PROP00154</t>
  </si>
  <si>
    <t>Garden; Parking; Security; AC; Playground; Gym</t>
  </si>
  <si>
    <t>PROP00155</t>
  </si>
  <si>
    <t>Elevator; Pool; Security</t>
  </si>
  <si>
    <t>PROP00156</t>
  </si>
  <si>
    <t>Playground; Garden; Gym; Elevator; AC; Parking</t>
  </si>
  <si>
    <t>PROP00157</t>
  </si>
  <si>
    <t>Pool; Garden; Concierge; Elevator; AC; Playground; Parking; Gym</t>
  </si>
  <si>
    <t>PROP00158</t>
  </si>
  <si>
    <t>Garden; Security; Playground; Library; Elevator</t>
  </si>
  <si>
    <t>PROP00159</t>
  </si>
  <si>
    <t>Elevator; Garden; AC; Playground</t>
  </si>
  <si>
    <t>PROP00160</t>
  </si>
  <si>
    <t>Playground; Concierge; Security; Pool; Garden; Parking</t>
  </si>
  <si>
    <t>PROP00161</t>
  </si>
  <si>
    <t>Security; Garden; Parking; Elevator; Pool; Gym; AC; Concierge</t>
  </si>
  <si>
    <t>PROP00162</t>
  </si>
  <si>
    <t>Garden; AC; Concierge; Playground; Parking; Security; Library; Gym</t>
  </si>
  <si>
    <t>PROP00163</t>
  </si>
  <si>
    <t>Security; Concierge; Pool; Garden; Gym; Elevator; Playground</t>
  </si>
  <si>
    <t>PROP00164</t>
  </si>
  <si>
    <t>Parking; Pool; Concierge; Elevator; Playground; AC; Library; Garden</t>
  </si>
  <si>
    <t>PROP00165</t>
  </si>
  <si>
    <t>Playground; Gym; Elevator; Library</t>
  </si>
  <si>
    <t>PROP00166</t>
  </si>
  <si>
    <t>Elevator; AC; Playground; Garden; Concierge; Pool; Parking</t>
  </si>
  <si>
    <t>PROP00167</t>
  </si>
  <si>
    <t>Pool; Gym; AC</t>
  </si>
  <si>
    <t>PROP00168</t>
  </si>
  <si>
    <t>AC; Pool; Security</t>
  </si>
  <si>
    <t>PROP00169</t>
  </si>
  <si>
    <t>Gym; Elevator; Pool; AC</t>
  </si>
  <si>
    <t>PROP00170</t>
  </si>
  <si>
    <t>Playground; Elevator; Library; AC; Gym</t>
  </si>
  <si>
    <t>PROP00171</t>
  </si>
  <si>
    <t>Library; Concierge; Security; Elevator; Garden; Playground</t>
  </si>
  <si>
    <t>PROP00172</t>
  </si>
  <si>
    <t>Parking; Concierge; AC</t>
  </si>
  <si>
    <t>PROP00173</t>
  </si>
  <si>
    <t>Elevator; Gym; AC; Playground; Pool; Security; Garden</t>
  </si>
  <si>
    <t>PROP00174</t>
  </si>
  <si>
    <t>Concierge; Playground; Pool; Garden; AC; Gym</t>
  </si>
  <si>
    <t>PROP00175</t>
  </si>
  <si>
    <t>Playground; Concierge; Pool; Gym; Elevator; AC; Library; Security</t>
  </si>
  <si>
    <t>PROP00176</t>
  </si>
  <si>
    <t>Library; Garden; Concierge</t>
  </si>
  <si>
    <t>PROP00177</t>
  </si>
  <si>
    <t>Concierge; AC; Parking; Playground; Security; Pool; Library</t>
  </si>
  <si>
    <t>PROP00178</t>
  </si>
  <si>
    <t>AC; Security; Playground; Concierge; Library; Elevator; Pool; Gym</t>
  </si>
  <si>
    <t>PROP00179</t>
  </si>
  <si>
    <t>AC; Security; Library; Concierge; Gym; Elevator; Playground; Garden</t>
  </si>
  <si>
    <t>PROP00180</t>
  </si>
  <si>
    <t>Pool; AC; Garden; Playground; Library; Security</t>
  </si>
  <si>
    <t>PROP00181</t>
  </si>
  <si>
    <t>Playground; AC; Garden; Library</t>
  </si>
  <si>
    <t>PROP00182</t>
  </si>
  <si>
    <t>Concierge; Parking; Gym; Pool; AC</t>
  </si>
  <si>
    <t>PROP00183</t>
  </si>
  <si>
    <t>AC; Library; Pool; Parking; Concierge; Playground; Elevator</t>
  </si>
  <si>
    <t>PROP00184</t>
  </si>
  <si>
    <t>Library; Security; AC</t>
  </si>
  <si>
    <t>PROP00185</t>
  </si>
  <si>
    <t>Garden; Elevator; Library</t>
  </si>
  <si>
    <t>PROP00186</t>
  </si>
  <si>
    <t>Security; Library; AC; Garden</t>
  </si>
  <si>
    <t>PROP00187</t>
  </si>
  <si>
    <t>Library; Elevator; Gym; Garden; Pool; Security</t>
  </si>
  <si>
    <t>PROP00188</t>
  </si>
  <si>
    <t>Playground; Garden; Library; Elevator</t>
  </si>
  <si>
    <t>PROP00189</t>
  </si>
  <si>
    <t>Playground; Parking; Garden; Gym; AC</t>
  </si>
  <si>
    <t>PROP00190</t>
  </si>
  <si>
    <t>Library; Security; Playground; Pool; Concierge; Parking; Garden; Elevator</t>
  </si>
  <si>
    <t>PROP00191</t>
  </si>
  <si>
    <t>Elevator; Library; Garden; Gym; Security; Parking; Concierge</t>
  </si>
  <si>
    <t>PROP00192</t>
  </si>
  <si>
    <t>Parking; Elevator; Concierge; AC</t>
  </si>
  <si>
    <t>PROP00193</t>
  </si>
  <si>
    <t>Security; Elevator; Parking; Garden; Playground; Library; Concierge</t>
  </si>
  <si>
    <t>PROP00194</t>
  </si>
  <si>
    <t>Parking; Playground; Pool; AC</t>
  </si>
  <si>
    <t>PROP00195</t>
  </si>
  <si>
    <t>Gym; Parking; Elevator; Pool; AC; Library; Garden</t>
  </si>
  <si>
    <t>PROP00196</t>
  </si>
  <si>
    <t>AC; Security; Parking; Playground; Library; Concierge; Garden; Elevator</t>
  </si>
  <si>
    <t>PROP00197</t>
  </si>
  <si>
    <t>Parking; AC; Gym; Library; Playground; Garden</t>
  </si>
  <si>
    <t>PROP00198</t>
  </si>
  <si>
    <t>Library; Security; Garden; Gym; Playground; Elevator; AC</t>
  </si>
  <si>
    <t>PROP00199</t>
  </si>
  <si>
    <t>Library; AC; Concierge; Pool</t>
  </si>
  <si>
    <t>PROP00200</t>
  </si>
  <si>
    <t>Elevator; Gym; Parking; Garden; Playground; AC; Security</t>
  </si>
  <si>
    <t>PROP00201</t>
  </si>
  <si>
    <t>Concierge; Elevator; Gym; Pool</t>
  </si>
  <si>
    <t>PROP00202</t>
  </si>
  <si>
    <t>Library; Elevator; Garden; Security; Gym; Playground; AC; Parking</t>
  </si>
  <si>
    <t>PROP00203</t>
  </si>
  <si>
    <t>AC; Security; Playground</t>
  </si>
  <si>
    <t>PROP00204</t>
  </si>
  <si>
    <t>Security; Pool; Library</t>
  </si>
  <si>
    <t>PROP00205</t>
  </si>
  <si>
    <t>Concierge; Playground; AC; Pool</t>
  </si>
  <si>
    <t>PROP00206</t>
  </si>
  <si>
    <t>PROP00207</t>
  </si>
  <si>
    <t>Gym; AC; Playground; Garden; Concierge; Pool; Library</t>
  </si>
  <si>
    <t>PROP00208</t>
  </si>
  <si>
    <t>Elevator; Playground; AC; Pool; Garden; Concierge</t>
  </si>
  <si>
    <t>PROP00209</t>
  </si>
  <si>
    <t>Parking; Concierge; Gym; Pool</t>
  </si>
  <si>
    <t>PROP00210</t>
  </si>
  <si>
    <t>Pool; Concierge; Playground; Parking; Library; AC; Security; Elevator</t>
  </si>
  <si>
    <t>PROP00211</t>
  </si>
  <si>
    <t>Library; Security; Concierge</t>
  </si>
  <si>
    <t>PROP00212</t>
  </si>
  <si>
    <t>Library; Security; Concierge; Elevator; Parking; AC; Garden; Pool</t>
  </si>
  <si>
    <t>PROP00213</t>
  </si>
  <si>
    <t>AC; Pool; Elevator; Parking; Security; Concierge</t>
  </si>
  <si>
    <t>PROP00214</t>
  </si>
  <si>
    <t>Security; AC; Concierge; Pool; Playground; Elevator; Library</t>
  </si>
  <si>
    <t>PROP00215</t>
  </si>
  <si>
    <t>Gym; Elevator; Parking; Concierge; Library</t>
  </si>
  <si>
    <t>PROP00216</t>
  </si>
  <si>
    <t>Parking; Library; AC; Pool</t>
  </si>
  <si>
    <t>PROP00217</t>
  </si>
  <si>
    <t>Security; Concierge; Garden; Parking; Gym; Pool</t>
  </si>
  <si>
    <t>PROP00218</t>
  </si>
  <si>
    <t>Playground; Concierge; Gym; Parking; AC; Pool</t>
  </si>
  <si>
    <t>PROP00219</t>
  </si>
  <si>
    <t>AC; Garden; Concierge</t>
  </si>
  <si>
    <t>PROP00220</t>
  </si>
  <si>
    <t>Library; Playground; Gym; Pool</t>
  </si>
  <si>
    <t>PROP00221</t>
  </si>
  <si>
    <t>Gym; Elevator; Playground; Concierge; Pool; Security; AC; Garden</t>
  </si>
  <si>
    <t>PROP00222</t>
  </si>
  <si>
    <t>AC; Concierge; Garden; Security; Pool</t>
  </si>
  <si>
    <t>PROP00223</t>
  </si>
  <si>
    <t>Gym; Playground; Garden; Parking</t>
  </si>
  <si>
    <t>PROP00224</t>
  </si>
  <si>
    <t>Parking; Gym; Garden; AC</t>
  </si>
  <si>
    <t>PROP00225</t>
  </si>
  <si>
    <t>Concierge; Gym; Playground</t>
  </si>
  <si>
    <t>PROP00226</t>
  </si>
  <si>
    <t>AC; Garden; Parking; Security</t>
  </si>
  <si>
    <t>PROP00227</t>
  </si>
  <si>
    <t>AC; Playground; Elevator; Garden; Concierge</t>
  </si>
  <si>
    <t>PROP00228</t>
  </si>
  <si>
    <t>Security; Gym; Elevator; Pool</t>
  </si>
  <si>
    <t>PROP00229</t>
  </si>
  <si>
    <t>Garden; Elevator; Security; Library; Parking; Gym; AC</t>
  </si>
  <si>
    <t>PROP00230</t>
  </si>
  <si>
    <t>Garden; Gym; Library</t>
  </si>
  <si>
    <t>PROP00231</t>
  </si>
  <si>
    <t>Library; Parking; AC; Concierge; Gym</t>
  </si>
  <si>
    <t>PROP00232</t>
  </si>
  <si>
    <t>Security; Library; Playground</t>
  </si>
  <si>
    <t>PROP00233</t>
  </si>
  <si>
    <t>Garden; Playground; Parking; Library</t>
  </si>
  <si>
    <t>PROP00234</t>
  </si>
  <si>
    <t>AC; Security; Concierge; Elevator; Playground; Pool; Gym</t>
  </si>
  <si>
    <t>PROP00235</t>
  </si>
  <si>
    <t>Gym; Security; Library</t>
  </si>
  <si>
    <t>PROP00236</t>
  </si>
  <si>
    <t>Security; Playground; Concierge; Garden; AC; Pool; Gym</t>
  </si>
  <si>
    <t>PROP00237</t>
  </si>
  <si>
    <t>Pool; Library; Garden; Concierge</t>
  </si>
  <si>
    <t>PROP00238</t>
  </si>
  <si>
    <t>Elevator; Parking; Playground; Gym</t>
  </si>
  <si>
    <t>PROP00239</t>
  </si>
  <si>
    <t>Gym; Security; Garden; AC</t>
  </si>
  <si>
    <t>PROP00240</t>
  </si>
  <si>
    <t>Library; Gym; Security</t>
  </si>
  <si>
    <t>PROP00241</t>
  </si>
  <si>
    <t>Elevator; AC; Gym; Security; Concierge; Garden; Library</t>
  </si>
  <si>
    <t>PROP00242</t>
  </si>
  <si>
    <t>Security; Gym; Parking; Garden; Playground; Library</t>
  </si>
  <si>
    <t>PROP00243</t>
  </si>
  <si>
    <t>Playground; Parking; Pool; Gym; Library</t>
  </si>
  <si>
    <t>PROP00244</t>
  </si>
  <si>
    <t>Parking; Gym; Library; Elevator</t>
  </si>
  <si>
    <t>PROP00245</t>
  </si>
  <si>
    <t>Elevator; Concierge; AC; Garden</t>
  </si>
  <si>
    <t>PROP00246</t>
  </si>
  <si>
    <t>Elevator; Security; Playground; Gym; Library; Concierge; Garden</t>
  </si>
  <si>
    <t>PROP00247</t>
  </si>
  <si>
    <t>Library; AC; Pool</t>
  </si>
  <si>
    <t>PROP00248</t>
  </si>
  <si>
    <t>Playground; Security; Elevator; Pool; AC; Concierge; Garden</t>
  </si>
  <si>
    <t>PROP00249</t>
  </si>
  <si>
    <t>Playground; AC; Garden; Gym; Elevator</t>
  </si>
  <si>
    <t>PROP00250</t>
  </si>
  <si>
    <t>Playground; Concierge; AC; Library; Gym</t>
  </si>
  <si>
    <t>PROP00251</t>
  </si>
  <si>
    <t>Gym; Playground; Library; AC; Security</t>
  </si>
  <si>
    <t>PROP00252</t>
  </si>
  <si>
    <t>Garden; AC; Security; Pool; Gym</t>
  </si>
  <si>
    <t>PROP00253</t>
  </si>
  <si>
    <t>AC; Parking; Garden</t>
  </si>
  <si>
    <t>PROP00254</t>
  </si>
  <si>
    <t>Security; Garden; Playground; Pool; Library; Parking; Elevator</t>
  </si>
  <si>
    <t>PROP00255</t>
  </si>
  <si>
    <t>Security; Playground; Concierge</t>
  </si>
  <si>
    <t>PROP00256</t>
  </si>
  <si>
    <t>Security; Playground; Garden; AC; Library</t>
  </si>
  <si>
    <t>PROP00257</t>
  </si>
  <si>
    <t>Playground; Elevator; Concierge; Garden</t>
  </si>
  <si>
    <t>PROP00258</t>
  </si>
  <si>
    <t>Library; Elevator; Garden; Security; Pool; AC</t>
  </si>
  <si>
    <t>PROP00259</t>
  </si>
  <si>
    <t>Concierge; Playground; Pool; Library; Garden; Elevator; Parking</t>
  </si>
  <si>
    <t>PROP00260</t>
  </si>
  <si>
    <t>Library; Concierge; Garden; Pool; Playground</t>
  </si>
  <si>
    <t>PROP00261</t>
  </si>
  <si>
    <t>Playground; Pool; Security; Library; Gym; AC; Garden</t>
  </si>
  <si>
    <t>PROP00262</t>
  </si>
  <si>
    <t>Parking; Elevator; Gym; Concierge; Playground; Library; Pool; AC</t>
  </si>
  <si>
    <t>PROP00263</t>
  </si>
  <si>
    <t>Parking; Library; Gym; Security</t>
  </si>
  <si>
    <t>PROP00264</t>
  </si>
  <si>
    <t>AC; Security; Concierge; Elevator; Gym; Library; Playground; Garden</t>
  </si>
  <si>
    <t>PROP00265</t>
  </si>
  <si>
    <t>Security; Elevator; Parking; Gym; Playground</t>
  </si>
  <si>
    <t>PROP00266</t>
  </si>
  <si>
    <t>Elevator; Security; AC; Library</t>
  </si>
  <si>
    <t>PROP00267</t>
  </si>
  <si>
    <t>Parking; Elevator; Concierge</t>
  </si>
  <si>
    <t>PROP00268</t>
  </si>
  <si>
    <t>AC; Garden; Library; Playground; Concierge; Elevator</t>
  </si>
  <si>
    <t>PROP00269</t>
  </si>
  <si>
    <t>Security; Pool; Elevator; Playground; Concierge</t>
  </si>
  <si>
    <t>PROP00270</t>
  </si>
  <si>
    <t>Pool; Concierge; Playground; Elevator; AC; Parking; Security</t>
  </si>
  <si>
    <t>PROP00271</t>
  </si>
  <si>
    <t>Security; Elevator; Concierge; Playground</t>
  </si>
  <si>
    <t>PROP00272</t>
  </si>
  <si>
    <t>Parking; Concierge; Pool; Garden; AC</t>
  </si>
  <si>
    <t>PROP00273</t>
  </si>
  <si>
    <t>Parking; Gym; AC; Playground; Garden; Elevator</t>
  </si>
  <si>
    <t>PROP00274</t>
  </si>
  <si>
    <t>Playground; Elevator; Security; Garden; Gym; AC; Parking</t>
  </si>
  <si>
    <t>PROP00275</t>
  </si>
  <si>
    <t>Concierge; Garden; Parking; Gym; Pool; Library; Playground; AC</t>
  </si>
  <si>
    <t>PROP00276</t>
  </si>
  <si>
    <t>AC; Concierge; Parking; Playground; Security; Pool; Gym; Garden</t>
  </si>
  <si>
    <t>PROP00277</t>
  </si>
  <si>
    <t>Pool; Concierge; Garden</t>
  </si>
  <si>
    <t>PROP00278</t>
  </si>
  <si>
    <t>Library; Parking; Playground; Security</t>
  </si>
  <si>
    <t>PROP00279</t>
  </si>
  <si>
    <t>Parking; Garden; Elevator; Playground; Concierge; Security</t>
  </si>
  <si>
    <t>PROP00280</t>
  </si>
  <si>
    <t>Elevator; Playground; Garden</t>
  </si>
  <si>
    <t>PROP00281</t>
  </si>
  <si>
    <t>Security; Playground; Concierge; Gym; Library; AC</t>
  </si>
  <si>
    <t>PROP00282</t>
  </si>
  <si>
    <t>Garden; Library; Elevator</t>
  </si>
  <si>
    <t>PROP00283</t>
  </si>
  <si>
    <t>Parking; Gym; AC; Elevator; Pool</t>
  </si>
  <si>
    <t>PROP00284</t>
  </si>
  <si>
    <t>Security; Gym; Library; Playground; Pool; Concierge</t>
  </si>
  <si>
    <t>PROP00285</t>
  </si>
  <si>
    <t>Pool; Concierge; AC; Elevator; Gym; Security; Playground; Parking</t>
  </si>
  <si>
    <t>PROP00286</t>
  </si>
  <si>
    <t>Library; Parking; Playground; Concierge</t>
  </si>
  <si>
    <t>PROP00287</t>
  </si>
  <si>
    <t>Pool; Playground; Gym; Security; AC; Parking; Concierge; Garden</t>
  </si>
  <si>
    <t>PROP00288</t>
  </si>
  <si>
    <t>Garden; Elevator; Playground; Parking; Library; Security; AC</t>
  </si>
  <si>
    <t>PROP00289</t>
  </si>
  <si>
    <t>Parking; Security; Pool; Gym; Concierge; Elevator</t>
  </si>
  <si>
    <t>PROP00290</t>
  </si>
  <si>
    <t>Gym; Garden; Playground</t>
  </si>
  <si>
    <t>PROP00291</t>
  </si>
  <si>
    <t>Security; Gym; Parking; Concierge; Library</t>
  </si>
  <si>
    <t>PROP00292</t>
  </si>
  <si>
    <t>Parking; Garden; Gym; Playground; Elevator</t>
  </si>
  <si>
    <t>PROP00293</t>
  </si>
  <si>
    <t>Elevator; Parking; Concierge; AC; Playground</t>
  </si>
  <si>
    <t>PROP00294</t>
  </si>
  <si>
    <t>Garden; Gym; Pool; Security; Elevator</t>
  </si>
  <si>
    <t>PROP00295</t>
  </si>
  <si>
    <t>Playground; Security; Concierge; Library; AC</t>
  </si>
  <si>
    <t>PROP00296</t>
  </si>
  <si>
    <t>Library; Pool; Gym; Garden; Playground; Parking; Elevator</t>
  </si>
  <si>
    <t>PROP00297</t>
  </si>
  <si>
    <t>Parking; Security; AC</t>
  </si>
  <si>
    <t>PROP00298</t>
  </si>
  <si>
    <t>Concierge; Pool; Playground; Security; Elevator</t>
  </si>
  <si>
    <t>PROP00299</t>
  </si>
  <si>
    <t>Pool; AC; Garden; Library; Playground; Elevator; Gym; Parking</t>
  </si>
  <si>
    <t>PROP00300</t>
  </si>
  <si>
    <t>Pool; Garden; Parking; Security</t>
  </si>
  <si>
    <t>PROP00301</t>
  </si>
  <si>
    <t>Playground; Parking; Concierge; Security; Library; AC; Pool; Elevator</t>
  </si>
  <si>
    <t>PROP00302</t>
  </si>
  <si>
    <t>Library; Gym; Garden; AC; Elevator; Security</t>
  </si>
  <si>
    <t>PROP00303</t>
  </si>
  <si>
    <t>Security; Playground; AC; Pool; Elevator; Concierge; Library; Parking</t>
  </si>
  <si>
    <t>PROP00304</t>
  </si>
  <si>
    <t>Parking; Playground; Library</t>
  </si>
  <si>
    <t>PROP00305</t>
  </si>
  <si>
    <t>Pool; Library; Security; Garden; Concierge; Parking</t>
  </si>
  <si>
    <t>PROP00306</t>
  </si>
  <si>
    <t>Library; Elevator; Pool; Playground</t>
  </si>
  <si>
    <t>PROP00307</t>
  </si>
  <si>
    <t>Elevator; Library; Concierge; Security; Parking; Pool</t>
  </si>
  <si>
    <t>PROP00308</t>
  </si>
  <si>
    <t>Elevator; Pool; AC; Playground; Security; Garden; Library</t>
  </si>
  <si>
    <t>PROP00309</t>
  </si>
  <si>
    <t>Gym; Parking; Security</t>
  </si>
  <si>
    <t>PROP00310</t>
  </si>
  <si>
    <t>Library; Playground; Security; Parking; Gym; AC; Concierge</t>
  </si>
  <si>
    <t>PROP00311</t>
  </si>
  <si>
    <t>Security; Pool; AC; Library; Parking; Gym; Playground; Elevator</t>
  </si>
  <si>
    <t>PROP00312</t>
  </si>
  <si>
    <t>Concierge; Pool; Garden</t>
  </si>
  <si>
    <t>PROP00313</t>
  </si>
  <si>
    <t>Elevator; Library; Garden; Security; Playground</t>
  </si>
  <si>
    <t>PROP00314</t>
  </si>
  <si>
    <t>Playground; Garden; Library; AC; Parking; Security; Concierge</t>
  </si>
  <si>
    <t>PROP00315</t>
  </si>
  <si>
    <t>Garden; Parking; Security; Library</t>
  </si>
  <si>
    <t>PROP00316</t>
  </si>
  <si>
    <t>Gym; Garden; Security; AC</t>
  </si>
  <si>
    <t>PROP00317</t>
  </si>
  <si>
    <t>Concierge; Gym; AC; Library; Elevator; Parking; Security; Playground</t>
  </si>
  <si>
    <t>PROP00318</t>
  </si>
  <si>
    <t>Library; Garden; Elevator; Pool; Concierge; Gym; Playground</t>
  </si>
  <si>
    <t>PROP00319</t>
  </si>
  <si>
    <t>Playground; Concierge; Elevator; Library</t>
  </si>
  <si>
    <t>PROP00320</t>
  </si>
  <si>
    <t>Library; Gym; Elevator; Parking; Concierge; AC</t>
  </si>
  <si>
    <t>PROP00321</t>
  </si>
  <si>
    <t>Parking; Security; Pool</t>
  </si>
  <si>
    <t>PROP00322</t>
  </si>
  <si>
    <t>Pool; Parking; Garden</t>
  </si>
  <si>
    <t>PROP00323</t>
  </si>
  <si>
    <t>Elevator; Garden; Gym; Concierge; Security; Playground</t>
  </si>
  <si>
    <t>PROP00324</t>
  </si>
  <si>
    <t>Library; Concierge; AC; Gym; Pool; Playground; Security</t>
  </si>
  <si>
    <t>PROP00325</t>
  </si>
  <si>
    <t>Garden; Playground; Concierge; Gym; Library; Elevator</t>
  </si>
  <si>
    <t>PROP00326</t>
  </si>
  <si>
    <t>Elevator; Gym; AC; Parking; Security</t>
  </si>
  <si>
    <t>PROP00327</t>
  </si>
  <si>
    <t>AC; Library; Parking; Concierge; Gym; Elevator; Playground; Garden</t>
  </si>
  <si>
    <t>PROP00328</t>
  </si>
  <si>
    <t>Gym; Garden; Parking; Elevator</t>
  </si>
  <si>
    <t>PROP00329</t>
  </si>
  <si>
    <t>Parking; Elevator; Security; Concierge; Playground</t>
  </si>
  <si>
    <t>PROP00330</t>
  </si>
  <si>
    <t>Pool; Playground; Parking; Gym; Library; Garden; Security</t>
  </si>
  <si>
    <t>PROP00331</t>
  </si>
  <si>
    <t>Library; Pool; Elevator; Parking; AC; Playground; Garden</t>
  </si>
  <si>
    <t>PROP00332</t>
  </si>
  <si>
    <t>AC; Garden; Concierge; Elevator; Library</t>
  </si>
  <si>
    <t>PROP00333</t>
  </si>
  <si>
    <t>Parking; Concierge; Pool; Elevator; Garden; Playground; Gym; AC</t>
  </si>
  <si>
    <t>PROP00334</t>
  </si>
  <si>
    <t>Elevator; Security; Playground; Parking; AC; Gym; Concierge; Garden</t>
  </si>
  <si>
    <t>PROP00335</t>
  </si>
  <si>
    <t>Pool; Library; Gym; Concierge; Garden; AC; Security; Playground</t>
  </si>
  <si>
    <t>PROP00336</t>
  </si>
  <si>
    <t>Garden; Gym; Elevator</t>
  </si>
  <si>
    <t>PROP00337</t>
  </si>
  <si>
    <t>Concierge; Elevator; AC; Gym</t>
  </si>
  <si>
    <t>PROP00338</t>
  </si>
  <si>
    <t>Library; Concierge; AC; Pool; Playground; Gym</t>
  </si>
  <si>
    <t>PROP00339</t>
  </si>
  <si>
    <t>Concierge; Playground; Elevator; Pool</t>
  </si>
  <si>
    <t>PROP00340</t>
  </si>
  <si>
    <t>Security; Pool; Concierge; AC</t>
  </si>
  <si>
    <t>PROP00341</t>
  </si>
  <si>
    <t>Gym; Pool; Playground; Garden; Elevator; Security; AC</t>
  </si>
  <si>
    <t>PROP00342</t>
  </si>
  <si>
    <t>Elevator; Pool; Gym; Security; Concierge; AC; Playground</t>
  </si>
  <si>
    <t>PROP00343</t>
  </si>
  <si>
    <t>Garden; Concierge; Playground</t>
  </si>
  <si>
    <t>PROP00344</t>
  </si>
  <si>
    <t>Playground; Gym; Concierge; Pool; AC; Security; Elevator</t>
  </si>
  <si>
    <t>PROP00345</t>
  </si>
  <si>
    <t>Gym; Security; Parking; Playground; Garden</t>
  </si>
  <si>
    <t>PROP00346</t>
  </si>
  <si>
    <t>Parking; AC; Security; Pool; Gym; Concierge; Elevator; Garden</t>
  </si>
  <si>
    <t>PROP00347</t>
  </si>
  <si>
    <t>Pool; Concierge; Security; AC; Playground; Gym; Garden; Elevator</t>
  </si>
  <si>
    <t>PROP00348</t>
  </si>
  <si>
    <t>Garden; Pool; Playground; Security; Library; AC; Parking; Concierge</t>
  </si>
  <si>
    <t>PROP00349</t>
  </si>
  <si>
    <t>Elevator; Concierge; Library; Garden; Playground</t>
  </si>
  <si>
    <t>PROP00350</t>
  </si>
  <si>
    <t>Playground; Pool; Library; Gym; Concierge; Parking; Security</t>
  </si>
  <si>
    <t>PROP00351</t>
  </si>
  <si>
    <t>Concierge; Gym; Pool; Security; Parking; AC; Library; Elevator</t>
  </si>
  <si>
    <t>PROP00352</t>
  </si>
  <si>
    <t>Playground; AC; Gym; Elevator; Garden; Parking</t>
  </si>
  <si>
    <t>PROP00353</t>
  </si>
  <si>
    <t>AC; Gym; Pool; Playground; Security; Concierge</t>
  </si>
  <si>
    <t>PROP00354</t>
  </si>
  <si>
    <t>Playground; Library; Security; Gym; AC; Elevator; Pool</t>
  </si>
  <si>
    <t>PROP00355</t>
  </si>
  <si>
    <t>Playground; Security; Library; Concierge; Gym; Elevator</t>
  </si>
  <si>
    <t>PROP00356</t>
  </si>
  <si>
    <t>Garden; Gym; Security; Concierge; Library; AC</t>
  </si>
  <si>
    <t>PROP00357</t>
  </si>
  <si>
    <t>Concierge; Security; Parking</t>
  </si>
  <si>
    <t>PROP00358</t>
  </si>
  <si>
    <t>Pool; Parking; Security; Garden; Elevator; Concierge</t>
  </si>
  <si>
    <t>PROP00359</t>
  </si>
  <si>
    <t>Elevator; Concierge; Gym</t>
  </si>
  <si>
    <t>PROP00360</t>
  </si>
  <si>
    <t>Gym; Pool; Concierge; Parking</t>
  </si>
  <si>
    <t>PROP00361</t>
  </si>
  <si>
    <t>Elevator; Garden; Gym; Pool; Playground; AC; Concierge; Library</t>
  </si>
  <si>
    <t>PROP00362</t>
  </si>
  <si>
    <t>Gym; AC; Security; Playground; Concierge; Garden; Elevator; Pool</t>
  </si>
  <si>
    <t>PROP00363</t>
  </si>
  <si>
    <t>Library; Garden; Playground</t>
  </si>
  <si>
    <t>PROP00364</t>
  </si>
  <si>
    <t>Elevator; Playground; Security</t>
  </si>
  <si>
    <t>PROP00365</t>
  </si>
  <si>
    <t>Library; Playground; Pool</t>
  </si>
  <si>
    <t>PROP00366</t>
  </si>
  <si>
    <t>Elevator; Gym; Concierge; Garden; Library; Playground; AC</t>
  </si>
  <si>
    <t>PROP00367</t>
  </si>
  <si>
    <t>Security; Playground; Library; Garden; AC; Elevator; Concierge</t>
  </si>
  <si>
    <t>PROP00368</t>
  </si>
  <si>
    <t>AC; Parking; Gym</t>
  </si>
  <si>
    <t>PROP00369</t>
  </si>
  <si>
    <t>Library; Playground; Parking; Gym; Garden</t>
  </si>
  <si>
    <t>PROP00370</t>
  </si>
  <si>
    <t>Playground; Gym; Pool</t>
  </si>
  <si>
    <t>PROP00371</t>
  </si>
  <si>
    <t>Garden; Parking; Elevator; Gym; Pool; AC; Library</t>
  </si>
  <si>
    <t>PROP00372</t>
  </si>
  <si>
    <t>Parking; Garden; AC; Security</t>
  </si>
  <si>
    <t>PROP00373</t>
  </si>
  <si>
    <t>Elevator; Concierge; Garden; Playground; Gym; AC; Library</t>
  </si>
  <si>
    <t>PROP00374</t>
  </si>
  <si>
    <t>Elevator; Library; Gym; Pool; AC</t>
  </si>
  <si>
    <t>PROP00375</t>
  </si>
  <si>
    <t>Concierge; AC; Playground</t>
  </si>
  <si>
    <t>PROP00376</t>
  </si>
  <si>
    <t>AC; Elevator; Pool; Library; Parking; Concierge; Gym</t>
  </si>
  <si>
    <t>PROP00377</t>
  </si>
  <si>
    <t>Security; Playground; Library; Garden; Elevator</t>
  </si>
  <si>
    <t>PROP00378</t>
  </si>
  <si>
    <t>Library; Elevator; Garden; Concierge</t>
  </si>
  <si>
    <t>PROP00379</t>
  </si>
  <si>
    <t>Elevator; Gym; Parking</t>
  </si>
  <si>
    <t>PROP00380</t>
  </si>
  <si>
    <t>Concierge; Security; Pool; Elevator; Gym; AC; Library</t>
  </si>
  <si>
    <t>PROP00381</t>
  </si>
  <si>
    <t>PROP00382</t>
  </si>
  <si>
    <t>Concierge; Security; Garden; Gym; Pool; Elevator; Library; Playground</t>
  </si>
  <si>
    <t>PROP00383</t>
  </si>
  <si>
    <t>Elevator; Library; Concierge; Garden</t>
  </si>
  <si>
    <t>PROP00384</t>
  </si>
  <si>
    <t>AC; Playground; Library</t>
  </si>
  <si>
    <t>PROP00385</t>
  </si>
  <si>
    <t>Concierge; Elevator; AC; Gym; Library; Security; Pool; Parking</t>
  </si>
  <si>
    <t>PROP00386</t>
  </si>
  <si>
    <t>Garden; Gym; Elevator; Concierge</t>
  </si>
  <si>
    <t>PROP00387</t>
  </si>
  <si>
    <t>Garden; Pool; Gym; Elevator</t>
  </si>
  <si>
    <t>PROP00388</t>
  </si>
  <si>
    <t>AC; Library; Elevator; Gym</t>
  </si>
  <si>
    <t>PROP00389</t>
  </si>
  <si>
    <t>Library; Security; Concierge; Gym</t>
  </si>
  <si>
    <t>PROP00390</t>
  </si>
  <si>
    <t>Elevator; Concierge; Library</t>
  </si>
  <si>
    <t>PROP00391</t>
  </si>
  <si>
    <t>Parking; Library; Garden; Playground</t>
  </si>
  <si>
    <t>PROP00392</t>
  </si>
  <si>
    <t>AC; Gym; Garden; Library</t>
  </si>
  <si>
    <t>PROP00393</t>
  </si>
  <si>
    <t>AC; Garden; Elevator; Security; Gym; Concierge; Library</t>
  </si>
  <si>
    <t>PROP00394</t>
  </si>
  <si>
    <t>Library; AC; Elevator; Concierge; Pool; Garden</t>
  </si>
  <si>
    <t>PROP00395</t>
  </si>
  <si>
    <t>Parking; Concierge; Garden; Pool; Library</t>
  </si>
  <si>
    <t>PROP00396</t>
  </si>
  <si>
    <t>Parking; Garden; Library; Elevator; Playground; Concierge; AC</t>
  </si>
  <si>
    <t>PROP00397</t>
  </si>
  <si>
    <t>Elevator; Parking; Gym; Concierge; Library; Garden; Security</t>
  </si>
  <si>
    <t>PROP00398</t>
  </si>
  <si>
    <t>Garden; Library; Security; Gym; Pool; Elevator; AC; Concierge</t>
  </si>
  <si>
    <t>PROP00399</t>
  </si>
  <si>
    <t>Garden; Parking; Elevator; Gym; Playground; Pool; Security</t>
  </si>
  <si>
    <t>PROP00400</t>
  </si>
  <si>
    <t>Garden; Concierge; AC; Playground; Gym; Library; Security</t>
  </si>
  <si>
    <t>PROP00401</t>
  </si>
  <si>
    <t>Playground; Elevator; Garden; Parking; AC; Concierge; Security; Library</t>
  </si>
  <si>
    <t>PROP00402</t>
  </si>
  <si>
    <t>Gym; Playground; Elevator; AC</t>
  </si>
  <si>
    <t>PROP00403</t>
  </si>
  <si>
    <t>AC; Elevator; Gym; Pool</t>
  </si>
  <si>
    <t>PROP00404</t>
  </si>
  <si>
    <t>Pool; Elevator; Library; Playground; Gym; AC; Parking; Security</t>
  </si>
  <si>
    <t>PROP00405</t>
  </si>
  <si>
    <t>Library; AC; Elevator; Concierge; Pool; Playground; Parking; Gym</t>
  </si>
  <si>
    <t>PROP00406</t>
  </si>
  <si>
    <t>Library; Playground; AC; Elevator; Concierge; Pool</t>
  </si>
  <si>
    <t>PROP00407</t>
  </si>
  <si>
    <t>Pool; Security; Concierge; Playground; Elevator; Garden; Parking</t>
  </si>
  <si>
    <t>PROP00408</t>
  </si>
  <si>
    <t>Playground; Library; Concierge; Parking; Garden; Elevator</t>
  </si>
  <si>
    <t>PROP00409</t>
  </si>
  <si>
    <t>Concierge; Security; Parking; Pool; Library; Playground; Gym; AC</t>
  </si>
  <si>
    <t>PROP00410</t>
  </si>
  <si>
    <t>Library; Garden; Gym; Concierge; Pool; AC; Security; Playground</t>
  </si>
  <si>
    <t>PROP00411</t>
  </si>
  <si>
    <t>AC; Garden; Gym; Security; Library; Playground; Elevator; Pool</t>
  </si>
  <si>
    <t>PROP00412</t>
  </si>
  <si>
    <t>AC; Elevator; Concierge; Gym; Security; Playground; Library</t>
  </si>
  <si>
    <t>PROP00413</t>
  </si>
  <si>
    <t>Security; Gym; Pool; AC; Elevator; Parking; Playground</t>
  </si>
  <si>
    <t>PROP00414</t>
  </si>
  <si>
    <t>Gym; Garden; Elevator</t>
  </si>
  <si>
    <t>PROP00415</t>
  </si>
  <si>
    <t>Parking; Library; Concierge; Gym; Elevator; Garden; Pool; Playground</t>
  </si>
  <si>
    <t>PROP00416</t>
  </si>
  <si>
    <t>AC; Pool; Library</t>
  </si>
  <si>
    <t>PROP00417</t>
  </si>
  <si>
    <t>Pool; AC; Playground; Concierge; Security; Parking</t>
  </si>
  <si>
    <t>PROP00418</t>
  </si>
  <si>
    <t>Elevator; Security; Gym; Playground; Library; Parking</t>
  </si>
  <si>
    <t>PROP00419</t>
  </si>
  <si>
    <t>Pool; Elevator; AC; Playground; Concierge</t>
  </si>
  <si>
    <t>PROP00420</t>
  </si>
  <si>
    <t>Garden; Gym; Library; Playground; Security; Parking; Pool</t>
  </si>
  <si>
    <t>PROP00421</t>
  </si>
  <si>
    <t>Playground; Pool; Elevator; Concierge</t>
  </si>
  <si>
    <t>PROP00422</t>
  </si>
  <si>
    <t>Concierge; Gym; Playground; AC; Security; Garden; Parking</t>
  </si>
  <si>
    <t>PROP00423</t>
  </si>
  <si>
    <t>Security; Garden; Concierge; AC</t>
  </si>
  <si>
    <t>PROP00424</t>
  </si>
  <si>
    <t>Security; Gym; Parking; Garden</t>
  </si>
  <si>
    <t>PROP00425</t>
  </si>
  <si>
    <t>Pool; Gym; Parking</t>
  </si>
  <si>
    <t>PROP00426</t>
  </si>
  <si>
    <t>AC; Parking; Garden; Elevator</t>
  </si>
  <si>
    <t>PROP00427</t>
  </si>
  <si>
    <t>Security; Garden; Parking</t>
  </si>
  <si>
    <t>PROP00428</t>
  </si>
  <si>
    <t>Security; Playground; Elevator</t>
  </si>
  <si>
    <t>PROP00429</t>
  </si>
  <si>
    <t>Playground; Elevator; Security; Gym; Library; AC</t>
  </si>
  <si>
    <t>PROP00430</t>
  </si>
  <si>
    <t>Elevator; Pool; Gym; Security; Playground; AC; Library; Parking</t>
  </si>
  <si>
    <t>PROP00431</t>
  </si>
  <si>
    <t>Concierge; Pool; Library; Gym; Garden</t>
  </si>
  <si>
    <t>PROP00432</t>
  </si>
  <si>
    <t>Library; AC; Elevator; Garden; Security; Parking; Pool</t>
  </si>
  <si>
    <t>PROP00433</t>
  </si>
  <si>
    <t>AC; Garden; Security</t>
  </si>
  <si>
    <t>PROP00434</t>
  </si>
  <si>
    <t>AC; Security; Parking; Garden; Elevator; Concierge; Playground; Gym</t>
  </si>
  <si>
    <t>PROP00435</t>
  </si>
  <si>
    <t>Security; Garden; Library; Pool; AC</t>
  </si>
  <si>
    <t>PROP00436</t>
  </si>
  <si>
    <t>Parking; Library; Garden; Gym</t>
  </si>
  <si>
    <t>PROP00437</t>
  </si>
  <si>
    <t>Security; Parking; Gym</t>
  </si>
  <si>
    <t>PROP00438</t>
  </si>
  <si>
    <t>Security; AC; Pool; Gym; Library; Playground; Parking; Elevator</t>
  </si>
  <si>
    <t>PROP00439</t>
  </si>
  <si>
    <t>Security; Playground; Pool</t>
  </si>
  <si>
    <t>PROP00440</t>
  </si>
  <si>
    <t>Security; Concierge; Playground</t>
  </si>
  <si>
    <t>PROP00441</t>
  </si>
  <si>
    <t>Security; Parking; Pool; AC; Concierge; Playground; Garden; Elevator</t>
  </si>
  <si>
    <t>PROP00442</t>
  </si>
  <si>
    <t>Elevator; Library; Garden</t>
  </si>
  <si>
    <t>PROP00443</t>
  </si>
  <si>
    <t>Gym; Parking; Pool; Playground</t>
  </si>
  <si>
    <t>PROP00444</t>
  </si>
  <si>
    <t>Elevator; Library; Parking</t>
  </si>
  <si>
    <t>PROP00445</t>
  </si>
  <si>
    <t>Gym; Library; AC; Playground</t>
  </si>
  <si>
    <t>PROP00446</t>
  </si>
  <si>
    <t>Parking; AC; Pool; Library; Playground; Garden</t>
  </si>
  <si>
    <t>PROP00447</t>
  </si>
  <si>
    <t>Parking; AC; Pool; Gym; Concierge</t>
  </si>
  <si>
    <t>PROP00448</t>
  </si>
  <si>
    <t>Library; AC; Garden; Parking; Concierge</t>
  </si>
  <si>
    <t>PROP00449</t>
  </si>
  <si>
    <t>Pool; Elevator; Garden; AC; Playground; Library</t>
  </si>
  <si>
    <t>PROP00450</t>
  </si>
  <si>
    <t>Elevator; Pool; Parking; Security; Playground; Garden; Gym</t>
  </si>
  <si>
    <t>PROP00451</t>
  </si>
  <si>
    <t>Pool; Parking; Concierge</t>
  </si>
  <si>
    <t>PROP00452</t>
  </si>
  <si>
    <t>Elevator; Playground; AC; Gym; Concierge; Garden; Security</t>
  </si>
  <si>
    <t>PROP00453</t>
  </si>
  <si>
    <t>Concierge; Pool; Playground; Garden; Library; Security</t>
  </si>
  <si>
    <t>PROP00454</t>
  </si>
  <si>
    <t>Concierge; Gym; Parking; Garden; Pool</t>
  </si>
  <si>
    <t>PROP00455</t>
  </si>
  <si>
    <t>Pool; Security; Library; Gym</t>
  </si>
  <si>
    <t>PROP00456</t>
  </si>
  <si>
    <t>AC; Parking; Library; Elevator; Playground; Security</t>
  </si>
  <si>
    <t>PROP00457</t>
  </si>
  <si>
    <t>Library; Security; Gym; Garden; Pool; Elevator; Concierge; AC</t>
  </si>
  <si>
    <t>PROP00458</t>
  </si>
  <si>
    <t>AC; Pool; Concierge; Playground; Garden</t>
  </si>
  <si>
    <t>PROP00459</t>
  </si>
  <si>
    <t>Library; Security; Pool; Gym; Elevator</t>
  </si>
  <si>
    <t>PROP00460</t>
  </si>
  <si>
    <t>Pool; Playground; Concierge; Garden; AC; Library</t>
  </si>
  <si>
    <t>PROP00461</t>
  </si>
  <si>
    <t>Elevator; Playground; AC; Pool; Security; Garden; Library</t>
  </si>
  <si>
    <t>PROP00462</t>
  </si>
  <si>
    <t>AC; Pool; Library; Concierge</t>
  </si>
  <si>
    <t>PROP00463</t>
  </si>
  <si>
    <t>Parking; Concierge; Playground; Pool; Library; AC; Elevator; Gym</t>
  </si>
  <si>
    <t>PROP00464</t>
  </si>
  <si>
    <t>Security; Elevator; Parking; Gym</t>
  </si>
  <si>
    <t>PROP00465</t>
  </si>
  <si>
    <t>Parking; Security; Gym; Pool</t>
  </si>
  <si>
    <t>PROP00466</t>
  </si>
  <si>
    <t>Pool; Garden; Gym; Parking; Elevator</t>
  </si>
  <si>
    <t>PROP00467</t>
  </si>
  <si>
    <t>Garden; Security; Library; Gym</t>
  </si>
  <si>
    <t>PROP00468</t>
  </si>
  <si>
    <t>Pool; Concierge; Parking; Gym; Security; AC; Garden; Elevator</t>
  </si>
  <si>
    <t>PROP00469</t>
  </si>
  <si>
    <t>Playground; Garden; Concierge</t>
  </si>
  <si>
    <t>PROP00470</t>
  </si>
  <si>
    <t>Garden; Elevator; Gym; Library; AC</t>
  </si>
  <si>
    <t>PROP00471</t>
  </si>
  <si>
    <t>Gym; AC; Elevator; Parking; Playground; Concierge</t>
  </si>
  <si>
    <t>PROP00472</t>
  </si>
  <si>
    <t>Pool; Playground; Elevator; Gym; Concierge; Library; Security; Garden</t>
  </si>
  <si>
    <t>PROP00473</t>
  </si>
  <si>
    <t>Elevator; Library; Security; Playground; Pool; AC; Garden; Gym</t>
  </si>
  <si>
    <t>PROP00474</t>
  </si>
  <si>
    <t>Security; Pool; Playground; Elevator; AC</t>
  </si>
  <si>
    <t>PROP00475</t>
  </si>
  <si>
    <t>Parking; AC; Pool; Concierge; Library; Elevator</t>
  </si>
  <si>
    <t>PROP00476</t>
  </si>
  <si>
    <t>Pool; Garden; Gym</t>
  </si>
  <si>
    <t>PROP00477</t>
  </si>
  <si>
    <t>Security; Playground; Pool; Gym; AC; Garden</t>
  </si>
  <si>
    <t>PROP00478</t>
  </si>
  <si>
    <t>Elevator; Security; Garden</t>
  </si>
  <si>
    <t>PROP00479</t>
  </si>
  <si>
    <t>Security; Gym; Pool; Concierge; Elevator; Playground; Garden</t>
  </si>
  <si>
    <t>PROP00480</t>
  </si>
  <si>
    <t>Pool; Parking; Gym; Security; AC</t>
  </si>
  <si>
    <t>PROP00481</t>
  </si>
  <si>
    <t>Playground; AC; Security; Elevator; Garden; Parking; Concierge; Pool</t>
  </si>
  <si>
    <t>PROP00482</t>
  </si>
  <si>
    <t>Library; Playground; Garden; AC; Gym; Pool; Concierge</t>
  </si>
  <si>
    <t>PROP00483</t>
  </si>
  <si>
    <t>AC; Playground; Pool; Garden; Library; Security; Parking</t>
  </si>
  <si>
    <t>PROP00484</t>
  </si>
  <si>
    <t>Security; Pool; Gym; Garden</t>
  </si>
  <si>
    <t>PROP00485</t>
  </si>
  <si>
    <t>Concierge; Playground; Garden</t>
  </si>
  <si>
    <t>PROP00486</t>
  </si>
  <si>
    <t>Pool; Security; Concierge; AC; Elevator</t>
  </si>
  <si>
    <t>PROP00487</t>
  </si>
  <si>
    <t>Gym; Library; Pool; AC; Concierge; Security; Parking</t>
  </si>
  <si>
    <t>PROP00488</t>
  </si>
  <si>
    <t>Security; Pool; Playground</t>
  </si>
  <si>
    <t>PROP00489</t>
  </si>
  <si>
    <t>Security; Gym; Concierge; Elevator; Playground; Pool; AC; Garden</t>
  </si>
  <si>
    <t>PROP00490</t>
  </si>
  <si>
    <t>AC; Security; Concierge; Library</t>
  </si>
  <si>
    <t>PROP00491</t>
  </si>
  <si>
    <t>Library; Elevator; Pool; Garden; AC</t>
  </si>
  <si>
    <t>PROP00492</t>
  </si>
  <si>
    <t>AC; Elevator; Garden; Parking; Playground</t>
  </si>
  <si>
    <t>PROP00493</t>
  </si>
  <si>
    <t>Elevator; Parking; Security; Pool; Playground; AC</t>
  </si>
  <si>
    <t>PROP00494</t>
  </si>
  <si>
    <t>Library; Elevator; Pool; Gym</t>
  </si>
  <si>
    <t>PROP00495</t>
  </si>
  <si>
    <t>Concierge; Security; Garden; Pool; Playground; Library</t>
  </si>
  <si>
    <t>PROP00496</t>
  </si>
  <si>
    <t>AC; Concierge; Garden; Library; Pool; Security; Elevator; Parking</t>
  </si>
  <si>
    <t>PROP00497</t>
  </si>
  <si>
    <t>Elevator; AC; Playground</t>
  </si>
  <si>
    <t>PROP00498</t>
  </si>
  <si>
    <t>Pool; Concierge; Security; Playground; Gym; Library; Parking; Elevator</t>
  </si>
  <si>
    <t>PROP00499</t>
  </si>
  <si>
    <t>Elevator; Pool; Concierge; AC; Parking; Gym</t>
  </si>
  <si>
    <t>PROP00500</t>
  </si>
  <si>
    <t>Gym; Library; AC; Playground; Pool; Garden</t>
  </si>
  <si>
    <t>PROP00501</t>
  </si>
  <si>
    <t>AC; Gym; Elevator; Library; Playground; Pool; Concierge; Garden</t>
  </si>
  <si>
    <t>PROP00502</t>
  </si>
  <si>
    <t>Playground; Garden; Concierge; Elevator; Parking; Library; Security; AC</t>
  </si>
  <si>
    <t>PROP00503</t>
  </si>
  <si>
    <t>Garden; Pool; Playground; Concierge; AC; Gym; Library</t>
  </si>
  <si>
    <t>PROP00504</t>
  </si>
  <si>
    <t>Library; Concierge; Gym; Pool; Elevator; Garden</t>
  </si>
  <si>
    <t>PROP00505</t>
  </si>
  <si>
    <t>AC; Library; Security</t>
  </si>
  <si>
    <t>PROP00506</t>
  </si>
  <si>
    <t>Gym; Security; Playground; Parking; Concierge; Library</t>
  </si>
  <si>
    <t>PROP00507</t>
  </si>
  <si>
    <t>PROP00508</t>
  </si>
  <si>
    <t>AC; Concierge; Playground; Gym; Security; Pool; Library; Parking</t>
  </si>
  <si>
    <t>PROP00509</t>
  </si>
  <si>
    <t>Library; Pool; Elevator; Parking; AC</t>
  </si>
  <si>
    <t>PROP00510</t>
  </si>
  <si>
    <t>Playground; AC; Elevator; Pool</t>
  </si>
  <si>
    <t>PROP00511</t>
  </si>
  <si>
    <t>Garden; Security; Elevator; Parking; Pool</t>
  </si>
  <si>
    <t>PROP00512</t>
  </si>
  <si>
    <t>Garden; Parking; Elevator; Library; Concierge; Security</t>
  </si>
  <si>
    <t>PROP00513</t>
  </si>
  <si>
    <t>Concierge; Pool; Parking; Library; Gym; Garden; Playground</t>
  </si>
  <si>
    <t>PROP00514</t>
  </si>
  <si>
    <t>Playground; Concierge; Library; Elevator; Garden; AC; Parking; Pool</t>
  </si>
  <si>
    <t>PROP00515</t>
  </si>
  <si>
    <t>Concierge; Playground; Gym; Security; Library</t>
  </si>
  <si>
    <t>PROP00516</t>
  </si>
  <si>
    <t>Garden; Parking; Security; AC; Concierge; Gym</t>
  </si>
  <si>
    <t>PROP00517</t>
  </si>
  <si>
    <t>AC; Parking; Concierge; Elevator; Gym; Playground</t>
  </si>
  <si>
    <t>PROP00518</t>
  </si>
  <si>
    <t>AC; Pool; Playground; Gym; Garden; Library; Parking; Security</t>
  </si>
  <si>
    <t>PROP00519</t>
  </si>
  <si>
    <t>Pool; AC; Garden; Gym; Concierge; Library; Playground; Parking</t>
  </si>
  <si>
    <t>PROP00520</t>
  </si>
  <si>
    <t>Library; Playground; Concierge; Parking; Gym; Pool; AC; Security</t>
  </si>
  <si>
    <t>PROP00521</t>
  </si>
  <si>
    <t>Security; AC; Garden; Library; Concierge</t>
  </si>
  <si>
    <t>PROP00522</t>
  </si>
  <si>
    <t>Garden; Parking; Elevator; Library; Playground; Gym</t>
  </si>
  <si>
    <t>PROP00523</t>
  </si>
  <si>
    <t>Playground; Elevator; Library; Pool</t>
  </si>
  <si>
    <t>PROP00524</t>
  </si>
  <si>
    <t>Pool; Library; AC; Elevator; Playground</t>
  </si>
  <si>
    <t>PROP00525</t>
  </si>
  <si>
    <t>Gym; Security; AC; Garden; Pool; Elevator; Parking</t>
  </si>
  <si>
    <t>PROP00526</t>
  </si>
  <si>
    <t>Gym; Library; Garden; Concierge; Parking; AC; Elevator</t>
  </si>
  <si>
    <t>PROP00527</t>
  </si>
  <si>
    <t>Security; Library; Elevator; Playground; Parking; Pool</t>
  </si>
  <si>
    <t>PROP00528</t>
  </si>
  <si>
    <t>Library; Pool; Elevator</t>
  </si>
  <si>
    <t>PROP00529</t>
  </si>
  <si>
    <t>Pool; Library; Security; Playground; AC</t>
  </si>
  <si>
    <t>PROP00530</t>
  </si>
  <si>
    <t>Concierge; Gym; Playground; Garden; Pool; Elevator; Library; AC</t>
  </si>
  <si>
    <t>PROP00531</t>
  </si>
  <si>
    <t>Security; Elevator; Library; AC</t>
  </si>
  <si>
    <t>PROP00532</t>
  </si>
  <si>
    <t>Elevator; Library; Playground; Security; AC; Concierge; Parking</t>
  </si>
  <si>
    <t>PROP00533</t>
  </si>
  <si>
    <t>Playground; Security; Pool; Concierge; AC; Garden</t>
  </si>
  <si>
    <t>PROP00534</t>
  </si>
  <si>
    <t>Pool; AC; Library; Playground; Parking</t>
  </si>
  <si>
    <t>PROP00535</t>
  </si>
  <si>
    <t>Gym; Security; Playground; Elevator</t>
  </si>
  <si>
    <t>PROP00536</t>
  </si>
  <si>
    <t>Concierge; Elevator; AC; Pool; Garden; Security; Gym; Playground</t>
  </si>
  <si>
    <t>PROP00537</t>
  </si>
  <si>
    <t>Elevator; Gym; Playground; Library</t>
  </si>
  <si>
    <t>PROP00538</t>
  </si>
  <si>
    <t>Concierge; Gym; Security; Elevator</t>
  </si>
  <si>
    <t>PROP00539</t>
  </si>
  <si>
    <t>Pool; Elevator; AC; Concierge; Playground; Gym</t>
  </si>
  <si>
    <t>PROP00540</t>
  </si>
  <si>
    <t>Library; Security; Parking</t>
  </si>
  <si>
    <t>PROP00541</t>
  </si>
  <si>
    <t>AC; Concierge; Parking; Gym; Security; Garden; Pool; Elevator</t>
  </si>
  <si>
    <t>PROP00542</t>
  </si>
  <si>
    <t>AC; Parking; Concierge</t>
  </si>
  <si>
    <t>PROP00543</t>
  </si>
  <si>
    <t>Security; Parking; Concierge; Elevator; Pool</t>
  </si>
  <si>
    <t>PROP00544</t>
  </si>
  <si>
    <t>AC; Pool; Library; Garden</t>
  </si>
  <si>
    <t>PROP00545</t>
  </si>
  <si>
    <t>Concierge; Library; Parking; Garden; Gym</t>
  </si>
  <si>
    <t>PROP00546</t>
  </si>
  <si>
    <t>Concierge; AC; Library</t>
  </si>
  <si>
    <t>PROP00547</t>
  </si>
  <si>
    <t>Playground; Concierge; Gym</t>
  </si>
  <si>
    <t>PROP00548</t>
  </si>
  <si>
    <t>Playground; Library; Parking</t>
  </si>
  <si>
    <t>PROP00549</t>
  </si>
  <si>
    <t>Pool; Library; Gym; Elevator; Parking; AC; Garden; Playground</t>
  </si>
  <si>
    <t>PROP00550</t>
  </si>
  <si>
    <t>Playground; Pool; Parking; Garden; Security; Library; Gym</t>
  </si>
  <si>
    <t>PROP00551</t>
  </si>
  <si>
    <t>PROP00552</t>
  </si>
  <si>
    <t>AC; Library; Garden</t>
  </si>
  <si>
    <t>PROP00553</t>
  </si>
  <si>
    <t>Pool; Library; Elevator; Parking; Playground; AC; Garden; Concierge</t>
  </si>
  <si>
    <t>PROP00554</t>
  </si>
  <si>
    <t>Concierge; Garden; Library; Parking; Playground; Pool; Elevator</t>
  </si>
  <si>
    <t>PROP00555</t>
  </si>
  <si>
    <t>Gym; Playground; Garden; Elevator</t>
  </si>
  <si>
    <t>PROP00556</t>
  </si>
  <si>
    <t>Concierge; Garden; Parking; Playground; AC; Elevator; Library; Gym</t>
  </si>
  <si>
    <t>PROP00557</t>
  </si>
  <si>
    <t>Elevator; Library; AC; Concierge; Gym</t>
  </si>
  <si>
    <t>PROP00558</t>
  </si>
  <si>
    <t>Library; AC; Elevator; Parking</t>
  </si>
  <si>
    <t>PROP00559</t>
  </si>
  <si>
    <t>Library; Security; Gym; AC</t>
  </si>
  <si>
    <t>PROP00560</t>
  </si>
  <si>
    <t>AC; Pool; Library; Gym; Parking; Security; Elevator</t>
  </si>
  <si>
    <t>PROP00561</t>
  </si>
  <si>
    <t>Security; Pool; Gym; AC</t>
  </si>
  <si>
    <t>PROP00562</t>
  </si>
  <si>
    <t>Concierge; Library; Pool; AC; Garden; Parking; Gym</t>
  </si>
  <si>
    <t>PROP00563</t>
  </si>
  <si>
    <t>Playground; Parking; Garden; Library; Concierge; Pool</t>
  </si>
  <si>
    <t>PROP00564</t>
  </si>
  <si>
    <t>Elevator; Gym; Parking; Pool; Security</t>
  </si>
  <si>
    <t>PROP00565</t>
  </si>
  <si>
    <t>Library; Security; Garden; Gym; Pool</t>
  </si>
  <si>
    <t>PROP00566</t>
  </si>
  <si>
    <t>Library; Concierge; Parking; Elevator; Security</t>
  </si>
  <si>
    <t>PROP00567</t>
  </si>
  <si>
    <t>Playground; Concierge; AC; Security</t>
  </si>
  <si>
    <t>PROP00568</t>
  </si>
  <si>
    <t>AC; Garden; Elevator; Parking; Playground; Pool; Security</t>
  </si>
  <si>
    <t>PROP00569</t>
  </si>
  <si>
    <t>Elevator; Concierge; AC; Gym; Security; Library; Parking</t>
  </si>
  <si>
    <t>PROP00570</t>
  </si>
  <si>
    <t>Garden; Concierge; Gym; Parking; Elevator; Security; Library; Pool</t>
  </si>
  <si>
    <t>PROP00571</t>
  </si>
  <si>
    <t>Concierge; Gym; Playground; Security</t>
  </si>
  <si>
    <t>PROP00572</t>
  </si>
  <si>
    <t>Concierge; Pool; Security; Elevator; AC; Library; Playground</t>
  </si>
  <si>
    <t>PROP00573</t>
  </si>
  <si>
    <t>Playground; Elevator; Concierge; Parking; Garden</t>
  </si>
  <si>
    <t>PROP00574</t>
  </si>
  <si>
    <t>Gym; Playground; Library; Concierge; Garden</t>
  </si>
  <si>
    <t>PROP00575</t>
  </si>
  <si>
    <t>Library; Concierge; Garden; Parking; Security; Playground; AC; Gym</t>
  </si>
  <si>
    <t>PROP00576</t>
  </si>
  <si>
    <t>Concierge; Garden; Playground</t>
  </si>
  <si>
    <t>PROP00577</t>
  </si>
  <si>
    <t>Playground; Garden; Security; Parking; Concierge</t>
  </si>
  <si>
    <t>PROP00578</t>
  </si>
  <si>
    <t>Playground; Pool; AC; Security; Gym; Library; Elevator</t>
  </si>
  <si>
    <t>PROP00579</t>
  </si>
  <si>
    <t>Elevator; Playground; Concierge; Security; AC; Garden; Gym; Pool</t>
  </si>
  <si>
    <t>PROP00580</t>
  </si>
  <si>
    <t>Garden; Security; Parking; Gym</t>
  </si>
  <si>
    <t>PROP00581</t>
  </si>
  <si>
    <t>Garden; Playground; Gym; Pool</t>
  </si>
  <si>
    <t>PROP00582</t>
  </si>
  <si>
    <t>Elevator; AC; Pool; Concierge; Library; Gym; Garden</t>
  </si>
  <si>
    <t>PROP00583</t>
  </si>
  <si>
    <t>Playground; Elevator; Security</t>
  </si>
  <si>
    <t>PROP00584</t>
  </si>
  <si>
    <t>Gym; Parking; AC; Pool; Playground; Garden; Elevator</t>
  </si>
  <si>
    <t>PROP00585</t>
  </si>
  <si>
    <t>Garden; Security; Library; Playground; Parking; Concierge</t>
  </si>
  <si>
    <t>PROP00586</t>
  </si>
  <si>
    <t>Pool; Concierge; AC</t>
  </si>
  <si>
    <t>PROP00587</t>
  </si>
  <si>
    <t>Elevator; Garden; Parking; Pool; Security; Library</t>
  </si>
  <si>
    <t>PROP00588</t>
  </si>
  <si>
    <t>Playground; Library; Elevator; Concierge</t>
  </si>
  <si>
    <t>PROP00589</t>
  </si>
  <si>
    <t>Elevator; Concierge; AC</t>
  </si>
  <si>
    <t>PROP00590</t>
  </si>
  <si>
    <t>Concierge; AC; Elevator; Playground; Gym</t>
  </si>
  <si>
    <t>PROP00591</t>
  </si>
  <si>
    <t>Security; Concierge; Library; Elevator; Gym</t>
  </si>
  <si>
    <t>PROP00592</t>
  </si>
  <si>
    <t>AC; Parking; Playground; Pool</t>
  </si>
  <si>
    <t>PROP00593</t>
  </si>
  <si>
    <t>Parking; Security; Gym; Concierge; Elevator</t>
  </si>
  <si>
    <t>PROP00594</t>
  </si>
  <si>
    <t>Garden; Playground; Pool; Concierge</t>
  </si>
  <si>
    <t>PROP00595</t>
  </si>
  <si>
    <t>Elevator; Concierge; Garden; Playground; AC; Parking; Gym; Security</t>
  </si>
  <si>
    <t>PROP00596</t>
  </si>
  <si>
    <t>Elevator; Playground; Garden; Library; AC; Concierge; Security; Pool</t>
  </si>
  <si>
    <t>PROP00597</t>
  </si>
  <si>
    <t>Garden; Library; Security; Gym; Playground; Elevator</t>
  </si>
  <si>
    <t>PROP00598</t>
  </si>
  <si>
    <t>Gym; Playground; Concierge; Library; Garden; Security</t>
  </si>
  <si>
    <t>PROP00599</t>
  </si>
  <si>
    <t>Playground; Elevator; Garden; Parking; Concierge; Gym; Library; Pool</t>
  </si>
  <si>
    <t>PROP00600</t>
  </si>
  <si>
    <t>Pool; Elevator; Library; Parking; Security</t>
  </si>
  <si>
    <t>PROP00601</t>
  </si>
  <si>
    <t>AC; Elevator; Security; Library; Concierge</t>
  </si>
  <si>
    <t>PROP00602</t>
  </si>
  <si>
    <t>Concierge; Gym; Garden; Security</t>
  </si>
  <si>
    <t>PROP00603</t>
  </si>
  <si>
    <t>Library; AC; Garden; Concierge; Pool; Security</t>
  </si>
  <si>
    <t>PROP00604</t>
  </si>
  <si>
    <t>Garden; AC; Parking; Gym; Security; Elevator; Concierge; Library</t>
  </si>
  <si>
    <t>PROP00605</t>
  </si>
  <si>
    <t>Gym; AC; Concierge; Security</t>
  </si>
  <si>
    <t>PROP00606</t>
  </si>
  <si>
    <t>Concierge; Security; AC; Parking; Pool; Elevator; Garden; Gym</t>
  </si>
  <si>
    <t>PROP00607</t>
  </si>
  <si>
    <t>Concierge; Pool; Playground; Gym; Library; Garden; Security; AC</t>
  </si>
  <si>
    <t>PROP00608</t>
  </si>
  <si>
    <t>Pool; Playground; Concierge; Library; Gym; Security; Parking; AC</t>
  </si>
  <si>
    <t>PROP00609</t>
  </si>
  <si>
    <t>Garden; Concierge; Parking; Security</t>
  </si>
  <si>
    <t>PROP00610</t>
  </si>
  <si>
    <t>Security; Pool; Playground; Concierge; AC</t>
  </si>
  <si>
    <t>PROP00611</t>
  </si>
  <si>
    <t>Concierge; Garden; Library; Gym</t>
  </si>
  <si>
    <t>PROP00612</t>
  </si>
  <si>
    <t>PROP00613</t>
  </si>
  <si>
    <t>Gym; AC; Elevator; Concierge; Parking</t>
  </si>
  <si>
    <t>PROP00614</t>
  </si>
  <si>
    <t>Garden; Concierge; Elevator; Security; Playground; Library; Gym; AC</t>
  </si>
  <si>
    <t>PROP00615</t>
  </si>
  <si>
    <t>Elevator; Security; Garden; Playground; Library; Parking</t>
  </si>
  <si>
    <t>PROP00616</t>
  </si>
  <si>
    <t>PROP00617</t>
  </si>
  <si>
    <t>AC; Gym; Concierge; Garden</t>
  </si>
  <si>
    <t>PROP00618</t>
  </si>
  <si>
    <t>Playground; Gym; AC; Pool</t>
  </si>
  <si>
    <t>PROP00619</t>
  </si>
  <si>
    <t>Concierge; Gym; Elevator; AC; Pool; Security; Parking; Garden</t>
  </si>
  <si>
    <t>PROP00620</t>
  </si>
  <si>
    <t>Elevator; Gym; Library</t>
  </si>
  <si>
    <t>PROP00621</t>
  </si>
  <si>
    <t>Playground; Concierge; AC; Pool; Garden</t>
  </si>
  <si>
    <t>PROP00622</t>
  </si>
  <si>
    <t>Playground; Garden; Library; AC</t>
  </si>
  <si>
    <t>PROP00623</t>
  </si>
  <si>
    <t>AC; Library; Playground; Concierge; Parking; Pool</t>
  </si>
  <si>
    <t>PROP00624</t>
  </si>
  <si>
    <t>Gym; Garden; Library; Security; Playground; Pool</t>
  </si>
  <si>
    <t>PROP00625</t>
  </si>
  <si>
    <t>Pool; Elevator; Gym</t>
  </si>
  <si>
    <t>PROP00626</t>
  </si>
  <si>
    <t>Parking; Security; AC; Gym; Concierge</t>
  </si>
  <si>
    <t>PROP00627</t>
  </si>
  <si>
    <t>Concierge; Library; Elevator; Pool; Gym; Security</t>
  </si>
  <si>
    <t>PROP00628</t>
  </si>
  <si>
    <t>Pool; Garden; Playground; Parking</t>
  </si>
  <si>
    <t>PROP00629</t>
  </si>
  <si>
    <t>Gym; Garden; Security; Parking</t>
  </si>
  <si>
    <t>PROP00630</t>
  </si>
  <si>
    <t>Concierge; Library; AC; Gym</t>
  </si>
  <si>
    <t>PROP00631</t>
  </si>
  <si>
    <t>Concierge; Pool; Playground</t>
  </si>
  <si>
    <t>PROP00632</t>
  </si>
  <si>
    <t>Concierge; Playground; Pool; Security; Gym; AC; Elevator; Library</t>
  </si>
  <si>
    <t>PROP00633</t>
  </si>
  <si>
    <t>Elevator; Parking; Concierge; AC; Playground; Security</t>
  </si>
  <si>
    <t>PROP00634</t>
  </si>
  <si>
    <t>Elevator; Security; Library; AC; Playground; Parking; Pool; Garden</t>
  </si>
  <si>
    <t>PROP00635</t>
  </si>
  <si>
    <t>Concierge; Gym; Pool; Parking; Security; Library; AC; Playground</t>
  </si>
  <si>
    <t>PROP00636</t>
  </si>
  <si>
    <t>Library; Concierge; AC; Parking; Garden</t>
  </si>
  <si>
    <t>PROP00637</t>
  </si>
  <si>
    <t>Parking; Elevator; AC; Pool; Gym; Playground; Garden; Library</t>
  </si>
  <si>
    <t>PROP00638</t>
  </si>
  <si>
    <t>Gym; Playground; Pool; Elevator; Parking; Garden; AC; Library</t>
  </si>
  <si>
    <t>PROP00639</t>
  </si>
  <si>
    <t>Playground; Elevator; Parking; Concierge; Security</t>
  </si>
  <si>
    <t>PROP00640</t>
  </si>
  <si>
    <t>Elevator; Garden; AC; Concierge; Security; Library; Gym</t>
  </si>
  <si>
    <t>PROP00641</t>
  </si>
  <si>
    <t>Concierge; Garden; AC</t>
  </si>
  <si>
    <t>PROP00642</t>
  </si>
  <si>
    <t>Garden; AC; Security</t>
  </si>
  <si>
    <t>PROP00643</t>
  </si>
  <si>
    <t>Elevator; Concierge; Playground; Gym</t>
  </si>
  <si>
    <t>PROP00644</t>
  </si>
  <si>
    <t>Library; AC; Gym; Playground; Garden; Parking; Elevator; Concierge</t>
  </si>
  <si>
    <t>PROP00645</t>
  </si>
  <si>
    <t>Garden; Pool; Playground; Parking; Library; Gym; Elevator; AC</t>
  </si>
  <si>
    <t>PROP00646</t>
  </si>
  <si>
    <t>AC; Gym; Elevator; Playground; Library; Pool; Garden; Concierge</t>
  </si>
  <si>
    <t>PROP00647</t>
  </si>
  <si>
    <t>PROP00648</t>
  </si>
  <si>
    <t>AC; Library; Parking; Elevator; Pool</t>
  </si>
  <si>
    <t>PROP00649</t>
  </si>
  <si>
    <t>Garden; Security; Elevator; AC</t>
  </si>
  <si>
    <t>PROP00650</t>
  </si>
  <si>
    <t>Concierge; Library; Parking; Garden; AC</t>
  </si>
  <si>
    <t>PROP00651</t>
  </si>
  <si>
    <t>Garden; Elevator; Library; Playground; Parking</t>
  </si>
  <si>
    <t>PROP00652</t>
  </si>
  <si>
    <t>Garden; Concierge; Security</t>
  </si>
  <si>
    <t>PROP00653</t>
  </si>
  <si>
    <t>Gym; Pool; Security; Playground; Parking; Garden; AC</t>
  </si>
  <si>
    <t>PROP00654</t>
  </si>
  <si>
    <t>Concierge; Elevator; Parking; AC; Playground</t>
  </si>
  <si>
    <t>PROP00655</t>
  </si>
  <si>
    <t>Pool; Security; Parking; Concierge; Library; Garden</t>
  </si>
  <si>
    <t>PROP00656</t>
  </si>
  <si>
    <t>Pool; AC; Gym; Security; Concierge; Library</t>
  </si>
  <si>
    <t>PROP00657</t>
  </si>
  <si>
    <t>Library; Pool; Garden; Playground; Elevator</t>
  </si>
  <si>
    <t>PROP00658</t>
  </si>
  <si>
    <t>Pool; Garden; Gym; Concierge; Library; Parking; Playground; AC</t>
  </si>
  <si>
    <t>PROP00659</t>
  </si>
  <si>
    <t>Concierge; Gym; Elevator; AC; Garden; Parking; Security</t>
  </si>
  <si>
    <t>PROP00660</t>
  </si>
  <si>
    <t>Pool; Garden; Elevator</t>
  </si>
  <si>
    <t>PROP00661</t>
  </si>
  <si>
    <t>Parking; Concierge; Security; Playground; AC; Garden; Gym</t>
  </si>
  <si>
    <t>PROP00662</t>
  </si>
  <si>
    <t>Gym; Library; Parking; AC</t>
  </si>
  <si>
    <t>PROP00663</t>
  </si>
  <si>
    <t>Library; Gym; Playground; Concierge; Security</t>
  </si>
  <si>
    <t>PROP00664</t>
  </si>
  <si>
    <t>Pool; Parking; Garden; Concierge</t>
  </si>
  <si>
    <t>PROP00665</t>
  </si>
  <si>
    <t>AC; Gym; Pool</t>
  </si>
  <si>
    <t>PROP00666</t>
  </si>
  <si>
    <t>Parking; AC; Elevator; Library; Gym; Garden; Playground; Concierge</t>
  </si>
  <si>
    <t>PROP00667</t>
  </si>
  <si>
    <t>Garden; Parking; Concierge; Security; Library; Elevator; Pool</t>
  </si>
  <si>
    <t>PROP00668</t>
  </si>
  <si>
    <t>Elevator; Playground; Security; Library; Garden; Concierge; AC</t>
  </si>
  <si>
    <t>PROP00669</t>
  </si>
  <si>
    <t>Security; Elevator; Garden; Parking; Library</t>
  </si>
  <si>
    <t>PROP00670</t>
  </si>
  <si>
    <t>Playground; AC; Elevator; Pool; Garden; Security; Library; Gym</t>
  </si>
  <si>
    <t>PROP00671</t>
  </si>
  <si>
    <t>Elevator; Pool; Security; Gym; Garden</t>
  </si>
  <si>
    <t>PROP00672</t>
  </si>
  <si>
    <t>Library; Playground; Pool; Concierge; Elevator; Gym</t>
  </si>
  <si>
    <t>PROP00673</t>
  </si>
  <si>
    <t>Playground; Security; AC</t>
  </si>
  <si>
    <t>PROP00674</t>
  </si>
  <si>
    <t>Garden; AC; Gym; Pool; Concierge; Security</t>
  </si>
  <si>
    <t>PROP00675</t>
  </si>
  <si>
    <t>Library; Concierge; Garden; Pool; Gym; Playground; AC</t>
  </si>
  <si>
    <t>PROP00676</t>
  </si>
  <si>
    <t>Library; Concierge; Garden; Parking; Pool; Gym; AC</t>
  </si>
  <si>
    <t>PROP00677</t>
  </si>
  <si>
    <t>Gym; Library; Playground; Parking; Garden; Elevator; Concierge; Pool</t>
  </si>
  <si>
    <t>PROP00678</t>
  </si>
  <si>
    <t>Library; Playground; Gym</t>
  </si>
  <si>
    <t>PROP00679</t>
  </si>
  <si>
    <t>Security; Parking; Pool; Concierge; Gym; Elevator</t>
  </si>
  <si>
    <t>PROP00680</t>
  </si>
  <si>
    <t>AC; Pool; Concierge; Security</t>
  </si>
  <si>
    <t>PROP00681</t>
  </si>
  <si>
    <t>Garden; Playground; Security; Elevator</t>
  </si>
  <si>
    <t>PROP00682</t>
  </si>
  <si>
    <t>Library; AC; Concierge; Playground; Security; Parking; Garden</t>
  </si>
  <si>
    <t>PROP00683</t>
  </si>
  <si>
    <t>Playground; Concierge; Garden</t>
  </si>
  <si>
    <t>PROP00684</t>
  </si>
  <si>
    <t>Concierge; Playground; Garden; Elevator; Pool; Library</t>
  </si>
  <si>
    <t>PROP00685</t>
  </si>
  <si>
    <t>AC; Concierge; Gym; Library; Garden; Elevator; Parking</t>
  </si>
  <si>
    <t>PROP00686</t>
  </si>
  <si>
    <t>Elevator; Concierge; Playground; Security; Parking</t>
  </si>
  <si>
    <t>PROP00687</t>
  </si>
  <si>
    <t>PROP00688</t>
  </si>
  <si>
    <t>Pool; Garden; Concierge; Elevator; Playground; AC</t>
  </si>
  <si>
    <t>PROP00689</t>
  </si>
  <si>
    <t>Garden; Elevator; Gym; AC; Library; Parking; Security</t>
  </si>
  <si>
    <t>PROP00690</t>
  </si>
  <si>
    <t>Library; Elevator; Playground; Parking; Gym; Pool; Security; AC</t>
  </si>
  <si>
    <t>PROP00691</t>
  </si>
  <si>
    <t>Concierge; Library; Garden; Elevator; AC; Pool</t>
  </si>
  <si>
    <t>PROP00692</t>
  </si>
  <si>
    <t>Parking; Gym; AC</t>
  </si>
  <si>
    <t>PROP00693</t>
  </si>
  <si>
    <t>Garden; Parking; Library</t>
  </si>
  <si>
    <t>PROP00694</t>
  </si>
  <si>
    <t>Gym; Library; Playground; Concierge; Pool</t>
  </si>
  <si>
    <t>PROP00695</t>
  </si>
  <si>
    <t>Elevator; Pool; Parking</t>
  </si>
  <si>
    <t>PROP00696</t>
  </si>
  <si>
    <t>Garden; Concierge; Gym; Parking; Pool; Elevator; Playground; Security</t>
  </si>
  <si>
    <t>PROP00697</t>
  </si>
  <si>
    <t>Security; Library; Pool; Garden</t>
  </si>
  <si>
    <t>PROP00698</t>
  </si>
  <si>
    <t>PROP00699</t>
  </si>
  <si>
    <t>Playground; Gym; Library; Security; Elevator</t>
  </si>
  <si>
    <t>PROP00700</t>
  </si>
  <si>
    <t>AC; Garden; Gym</t>
  </si>
  <si>
    <t>PROP00701</t>
  </si>
  <si>
    <t>Garden; Library; Playground</t>
  </si>
  <si>
    <t>PROP00702</t>
  </si>
  <si>
    <t>Library; Garden; Parking; Concierge</t>
  </si>
  <si>
    <t>PROP00703</t>
  </si>
  <si>
    <t>AC; Elevator; Concierge</t>
  </si>
  <si>
    <t>PROP00704</t>
  </si>
  <si>
    <t>Playground; Parking; Garden; Concierge</t>
  </si>
  <si>
    <t>PROP00705</t>
  </si>
  <si>
    <t>Playground; Garden; Gym; Concierge; AC</t>
  </si>
  <si>
    <t>PROP00706</t>
  </si>
  <si>
    <t>AC; Elevator; Playground; Gym; Security; Library</t>
  </si>
  <si>
    <t>PROP00707</t>
  </si>
  <si>
    <t>Pool; Concierge; Security; Playground; Parking</t>
  </si>
  <si>
    <t>PROP00708</t>
  </si>
  <si>
    <t>Elevator; Pool; Garden; Gym</t>
  </si>
  <si>
    <t>PROP00709</t>
  </si>
  <si>
    <t>Gym; Parking; Pool; Elevator; Security; Library; Playground; Concierge</t>
  </si>
  <si>
    <t>PROP00710</t>
  </si>
  <si>
    <t>Parking; Elevator; Garden; Concierge</t>
  </si>
  <si>
    <t>PROP00711</t>
  </si>
  <si>
    <t>Elevator; Library; Security; Parking; Pool; Concierge</t>
  </si>
  <si>
    <t>PROP00712</t>
  </si>
  <si>
    <t>Gym; Garden; AC; Playground; Elevator; Library; Concierge; Security</t>
  </si>
  <si>
    <t>PROP00713</t>
  </si>
  <si>
    <t>Playground; Library; AC; Elevator; Security</t>
  </si>
  <si>
    <t>PROP00714</t>
  </si>
  <si>
    <t>Gym; Elevator; Concierge; Security</t>
  </si>
  <si>
    <t>PROP00715</t>
  </si>
  <si>
    <t>Security; Concierge; Library; Parking; Pool; Garden; Playground; Elevator</t>
  </si>
  <si>
    <t>PROP00716</t>
  </si>
  <si>
    <t>AC; Security; Library; Gym; Concierge; Elevator; Playground; Garden</t>
  </si>
  <si>
    <t>PROP00717</t>
  </si>
  <si>
    <t>Garden; Parking; Pool; Playground; AC; Elevator</t>
  </si>
  <si>
    <t>PROP00718</t>
  </si>
  <si>
    <t>Playground; Concierge; Garden; Security; Parking</t>
  </si>
  <si>
    <t>PROP00719</t>
  </si>
  <si>
    <t>Concierge; Parking; Garden; Playground; Pool; Library; AC</t>
  </si>
  <si>
    <t>PROP00720</t>
  </si>
  <si>
    <t>Security; AC; Parking; Playground; Library; Gym</t>
  </si>
  <si>
    <t>PROP00721</t>
  </si>
  <si>
    <t>Pool; Gym; Security; Elevator; Library; Playground; Concierge; Parking</t>
  </si>
  <si>
    <t>PROP00722</t>
  </si>
  <si>
    <t>Pool; Parking; Concierge; Garden; Gym; Elevator; AC; Playground</t>
  </si>
  <si>
    <t>PROP00723</t>
  </si>
  <si>
    <t>AC; Garden; Concierge; Elevator; Pool; Security; Library</t>
  </si>
  <si>
    <t>PROP00724</t>
  </si>
  <si>
    <t>Elevator; Parking; Gym; Security; Pool; Library; Playground; Concierge</t>
  </si>
  <si>
    <t>PROP00725</t>
  </si>
  <si>
    <t>Concierge; Garden; Parking; Library; Pool; Gym</t>
  </si>
  <si>
    <t>PROP00726</t>
  </si>
  <si>
    <t>Parking; Pool; AC; Playground; Concierge</t>
  </si>
  <si>
    <t>PROP00727</t>
  </si>
  <si>
    <t>Pool; AC; Parking; Security</t>
  </si>
  <si>
    <t>PROP00728</t>
  </si>
  <si>
    <t>Gym; Elevator; Security; Pool; Garden; Parking; Concierge</t>
  </si>
  <si>
    <t>PROP00729</t>
  </si>
  <si>
    <t>Parking; Library; Gym; Security; Playground</t>
  </si>
  <si>
    <t>PROP00730</t>
  </si>
  <si>
    <t>Security; AC; Pool; Elevator; Library; Gym</t>
  </si>
  <si>
    <t>PROP00731</t>
  </si>
  <si>
    <t>Pool; Parking; Library; Security; Playground; AC; Elevator; Concierge</t>
  </si>
  <si>
    <t>PROP00732</t>
  </si>
  <si>
    <t>Library; Parking; Playground; Elevator; AC; Concierge; Gym; Garden</t>
  </si>
  <si>
    <t>PROP00733</t>
  </si>
  <si>
    <t>AC; Elevator; Gym; Library; Pool; Concierge; Parking</t>
  </si>
  <si>
    <t>PROP00734</t>
  </si>
  <si>
    <t>Garden; Playground; Elevator; Library</t>
  </si>
  <si>
    <t>PROP00735</t>
  </si>
  <si>
    <t>Pool; Garden; Concierge; Elevator; Library; AC; Parking</t>
  </si>
  <si>
    <t>PROP00736</t>
  </si>
  <si>
    <t>Garden; Gym; AC; Security</t>
  </si>
  <si>
    <t>PROP00737</t>
  </si>
  <si>
    <t>Library; Gym; Garden; Concierge; Parking; Security; Playground; AC</t>
  </si>
  <si>
    <t>PROP00738</t>
  </si>
  <si>
    <t>Library; Garden; Parking; Elevator</t>
  </si>
  <si>
    <t>PROP00739</t>
  </si>
  <si>
    <t>Library; Gym; Playground; Concierge; AC; Parking; Pool</t>
  </si>
  <si>
    <t>PROP00740</t>
  </si>
  <si>
    <t>Pool; Gym; Library; Elevator; Playground; Garden; AC</t>
  </si>
  <si>
    <t>PROP00741</t>
  </si>
  <si>
    <t>Parking; Garden; Security; Elevator; Playground; Gym; Concierge</t>
  </si>
  <si>
    <t>PROP00742</t>
  </si>
  <si>
    <t>Playground; Pool; Gym; Concierge</t>
  </si>
  <si>
    <t>PROP00743</t>
  </si>
  <si>
    <t>Elevator; Library; AC; Concierge; Playground; Parking; Garden</t>
  </si>
  <si>
    <t>PROP00744</t>
  </si>
  <si>
    <t>Garden; Pool; Parking; Library</t>
  </si>
  <si>
    <t>PROP00745</t>
  </si>
  <si>
    <t>Parking; Garden; Security; Concierge; Playground; Pool</t>
  </si>
  <si>
    <t>PROP00746</t>
  </si>
  <si>
    <t>Parking; Library; Playground; Security; Concierge; Pool; Garden</t>
  </si>
  <si>
    <t>PROP00747</t>
  </si>
  <si>
    <t>Security; Garden; Elevator</t>
  </si>
  <si>
    <t>PROP00748</t>
  </si>
  <si>
    <t>Pool; Gym; Elevator; Library; Garden; Security</t>
  </si>
  <si>
    <t>PROP00749</t>
  </si>
  <si>
    <t>Playground; Gym; Concierge; Garden; Pool; Security; Elevator; Parking</t>
  </si>
  <si>
    <t>PROP00750</t>
  </si>
  <si>
    <t>Parking; Library; AC; Playground; Pool; Security</t>
  </si>
  <si>
    <t>PROP00751</t>
  </si>
  <si>
    <t>Garden; Concierge; Elevator; Gym</t>
  </si>
  <si>
    <t>PROP00752</t>
  </si>
  <si>
    <t>PROP00753</t>
  </si>
  <si>
    <t>Elevator; Playground; Gym; Pool</t>
  </si>
  <si>
    <t>PROP00754</t>
  </si>
  <si>
    <t>Concierge; AC; Parking; Pool; Gym; Playground</t>
  </si>
  <si>
    <t>PROP00755</t>
  </si>
  <si>
    <t>Elevator; Concierge; Garden; Library; AC; Pool; Security; Gym</t>
  </si>
  <si>
    <t>PROP00756</t>
  </si>
  <si>
    <t>Garden; Library; Parking; AC; Gym; Concierge</t>
  </si>
  <si>
    <t>PROP00757</t>
  </si>
  <si>
    <t>Security; Library; Parking</t>
  </si>
  <si>
    <t>PROP00758</t>
  </si>
  <si>
    <t>Elevator; AC; Security; Library; Concierge; Gym</t>
  </si>
  <si>
    <t>PROP00759</t>
  </si>
  <si>
    <t>PROP00760</t>
  </si>
  <si>
    <t>Concierge; Security; Library; Elevator; Gym; AC; Playground</t>
  </si>
  <si>
    <t>PROP00761</t>
  </si>
  <si>
    <t>AC; Playground; Gym; Garden; Elevator; Pool; Security; Library</t>
  </si>
  <si>
    <t>PROP00762</t>
  </si>
  <si>
    <t>Playground; Elevator; Security; Parking; Pool; Concierge; Garden; AC</t>
  </si>
  <si>
    <t>PROP00763</t>
  </si>
  <si>
    <t>Security; Pool; Playground; AC</t>
  </si>
  <si>
    <t>PROP00764</t>
  </si>
  <si>
    <t>Pool; AC; Library; Parking; Concierge; Gym; Garden</t>
  </si>
  <si>
    <t>PROP00765</t>
  </si>
  <si>
    <t>Concierge; Elevator; Parking</t>
  </si>
  <si>
    <t>PROP00766</t>
  </si>
  <si>
    <t>Garden; Pool; Elevator; Playground; AC</t>
  </si>
  <si>
    <t>PROP00767</t>
  </si>
  <si>
    <t>Pool; Security; Elevator; Gym; Parking; Concierge; Garden; AC</t>
  </si>
  <si>
    <t>PROP00768</t>
  </si>
  <si>
    <t>Parking; Playground; Library; Garden</t>
  </si>
  <si>
    <t>PROP00769</t>
  </si>
  <si>
    <t>Playground; Library; Elevator; AC; Parking; Security; Concierge; Gym</t>
  </si>
  <si>
    <t>PROP00770</t>
  </si>
  <si>
    <t>Garden; Pool; Elevator; AC; Playground; Gym; Parking; Library</t>
  </si>
  <si>
    <t>PROP00771</t>
  </si>
  <si>
    <t>Elevator; Concierge; Parking; Garden; Playground; Pool; Library</t>
  </si>
  <si>
    <t>PROP00772</t>
  </si>
  <si>
    <t>Pool; Parking; Garden; Library; Gym; Elevator; Security</t>
  </si>
  <si>
    <t>PROP00773</t>
  </si>
  <si>
    <t>PROP00774</t>
  </si>
  <si>
    <t>Parking; Gym; Playground; Pool; Security; AC</t>
  </si>
  <si>
    <t>PROP00775</t>
  </si>
  <si>
    <t>Garden; Parking; Gym; AC; Pool; Playground</t>
  </si>
  <si>
    <t>PROP00776</t>
  </si>
  <si>
    <t>Playground; Elevator; Garden; Library</t>
  </si>
  <si>
    <t>PROP00777</t>
  </si>
  <si>
    <t>Elevator; Concierge; Pool; AC; Garden</t>
  </si>
  <si>
    <t>PROP00778</t>
  </si>
  <si>
    <t>Pool; Parking; Playground</t>
  </si>
  <si>
    <t>PROP00779</t>
  </si>
  <si>
    <t>PROP00780</t>
  </si>
  <si>
    <t>Playground; Parking; Garden</t>
  </si>
  <si>
    <t>PROP00781</t>
  </si>
  <si>
    <t>Gym; Library; Concierge; Elevator</t>
  </si>
  <si>
    <t>PROP00782</t>
  </si>
  <si>
    <t>Parking; Gym; Pool; Security; Playground; AC; Library; Garden</t>
  </si>
  <si>
    <t>PROP00783</t>
  </si>
  <si>
    <t>Elevator; Garden; Library; AC; Parking</t>
  </si>
  <si>
    <t>PROP00784</t>
  </si>
  <si>
    <t>Parking; Playground; Gym; Security; AC; Elevator; Pool</t>
  </si>
  <si>
    <t>PROP00785</t>
  </si>
  <si>
    <t>Elevator; Concierge; Gym; Library; AC; Pool; Garden; Playground</t>
  </si>
  <si>
    <t>PROP00786</t>
  </si>
  <si>
    <t>Library; Pool; Playground</t>
  </si>
  <si>
    <t>PROP00787</t>
  </si>
  <si>
    <t>AC; Pool; Playground; Parking; Library</t>
  </si>
  <si>
    <t>PROP00788</t>
  </si>
  <si>
    <t>Security; Pool; Playground; Garden; Elevator; Parking</t>
  </si>
  <si>
    <t>PROP00789</t>
  </si>
  <si>
    <t>Pool; Gym; Garden; AC; Playground; Concierge; Elevator</t>
  </si>
  <si>
    <t>PROP00790</t>
  </si>
  <si>
    <t>Gym; Concierge; Pool; AC; Security; Elevator; Garden; Library</t>
  </si>
  <si>
    <t>PROP00791</t>
  </si>
  <si>
    <t>Library; Parking; Playground; Security; Elevator; AC; Garden</t>
  </si>
  <si>
    <t>PROP00792</t>
  </si>
  <si>
    <t>Library; Parking; Pool; AC; Security; Gym</t>
  </si>
  <si>
    <t>PROP00793</t>
  </si>
  <si>
    <t>Elevator; Concierge; AC; Gym; Parking; Library</t>
  </si>
  <si>
    <t>PROP00794</t>
  </si>
  <si>
    <t>Elevator; AC; Gym; Library; Security; Parking; Garden</t>
  </si>
  <si>
    <t>PROP00795</t>
  </si>
  <si>
    <t>Library; Pool; Parking; AC; Garden; Concierge</t>
  </si>
  <si>
    <t>PROP00796</t>
  </si>
  <si>
    <t>Security; Parking; Library; Concierge; Playground; Pool; Gym; Garden</t>
  </si>
  <si>
    <t>PROP00797</t>
  </si>
  <si>
    <t>Elevator; AC; Concierge; Pool; Gym; Playground; Garden; Security</t>
  </si>
  <si>
    <t>PROP00798</t>
  </si>
  <si>
    <t>AC; Playground; Concierge; Gym; Security; Pool</t>
  </si>
  <si>
    <t>PROP00799</t>
  </si>
  <si>
    <t>Pool; Parking; Concierge; Playground; Security; AC; Elevator; Library</t>
  </si>
  <si>
    <t>PROP00800</t>
  </si>
  <si>
    <t>Elevator; Library; Pool</t>
  </si>
  <si>
    <t>PROP00801</t>
  </si>
  <si>
    <t>Gym; Library; Security; AC; Concierge; Garden; Playground; Parking</t>
  </si>
  <si>
    <t>PROP00802</t>
  </si>
  <si>
    <t>Playground; Garden; Library; Parking</t>
  </si>
  <si>
    <t>PROP00803</t>
  </si>
  <si>
    <t>Pool; Library; Gym; Security; Concierge; Playground; Parking</t>
  </si>
  <si>
    <t>PROP00804</t>
  </si>
  <si>
    <t>Garden; Gym; Security; Parking</t>
  </si>
  <si>
    <t>PROP00805</t>
  </si>
  <si>
    <t>Garden; Security; AC</t>
  </si>
  <si>
    <t>PROP00806</t>
  </si>
  <si>
    <t>Pool; Concierge; Security; Garden; AC</t>
  </si>
  <si>
    <t>PROP00807</t>
  </si>
  <si>
    <t>Pool; Playground; AC; Security; Parking</t>
  </si>
  <si>
    <t>PROP00808</t>
  </si>
  <si>
    <t>PROP00809</t>
  </si>
  <si>
    <t>Elevator; Security; Parking; Concierge; AC; Playground; Library</t>
  </si>
  <si>
    <t>PROP00810</t>
  </si>
  <si>
    <t>Security; Playground; Library</t>
  </si>
  <si>
    <t>PROP00811</t>
  </si>
  <si>
    <t>Security; Library; AC; Concierge; Pool</t>
  </si>
  <si>
    <t>PROP00812</t>
  </si>
  <si>
    <t>Security; Parking; Concierge; Garden</t>
  </si>
  <si>
    <t>PROP00813</t>
  </si>
  <si>
    <t>Library; Gym; AC; Elevator; Security; Concierge; Playground</t>
  </si>
  <si>
    <t>PROP00814</t>
  </si>
  <si>
    <t>Parking; Library; Pool; Concierge; Playground</t>
  </si>
  <si>
    <t>PROP00815</t>
  </si>
  <si>
    <t>Parking; Playground; Security; Concierge; Pool</t>
  </si>
  <si>
    <t>PROP00816</t>
  </si>
  <si>
    <t>Concierge; Playground; Parking; Library; Pool; Gym; Security; Garden</t>
  </si>
  <si>
    <t>PROP00817</t>
  </si>
  <si>
    <t>Gym; Garden; Library; Playground</t>
  </si>
  <si>
    <t>PROP00818</t>
  </si>
  <si>
    <t>Garden; Playground; Parking; Concierge; Security; Pool; Library</t>
  </si>
  <si>
    <t>PROP00819</t>
  </si>
  <si>
    <t>Security; Elevator; AC; Playground</t>
  </si>
  <si>
    <t>PROP00820</t>
  </si>
  <si>
    <t>Elevator; Pool; Parking; Security; Garden; Library; Concierge; Playground</t>
  </si>
  <si>
    <t>PROP00821</t>
  </si>
  <si>
    <t>Parking; Security; Library; Pool; Gym; Playground</t>
  </si>
  <si>
    <t>PROP00822</t>
  </si>
  <si>
    <t>AC; Concierge; Gym; Garden; Pool; Security; Playground; Elevator</t>
  </si>
  <si>
    <t>PROP00823</t>
  </si>
  <si>
    <t>Pool; Gym; AC; Security; Playground; Library</t>
  </si>
  <si>
    <t>PROP00824</t>
  </si>
  <si>
    <t>Pool; AC; Gym; Library</t>
  </si>
  <si>
    <t>PROP00825</t>
  </si>
  <si>
    <t>Gym; Playground; Security; Parking</t>
  </si>
  <si>
    <t>PROP00826</t>
  </si>
  <si>
    <t>Pool; Garden; Security</t>
  </si>
  <si>
    <t>PROP00827</t>
  </si>
  <si>
    <t>Parking; Library; AC; Pool; Garden; Security; Playground</t>
  </si>
  <si>
    <t>PROP00828</t>
  </si>
  <si>
    <t>Pool; Concierge; Library; Gym; Playground; Security</t>
  </si>
  <si>
    <t>PROP00829</t>
  </si>
  <si>
    <t>Pool; Concierge; Playground; Parking</t>
  </si>
  <si>
    <t>PROP00830</t>
  </si>
  <si>
    <t>PROP00831</t>
  </si>
  <si>
    <t>Playground; Security; Elevator; Garden; Gym; Parking; Library</t>
  </si>
  <si>
    <t>PROP00832</t>
  </si>
  <si>
    <t>Concierge; Parking; Garden</t>
  </si>
  <si>
    <t>PROP00833</t>
  </si>
  <si>
    <t>Garden; Pool; Parking; Elevator; Gym; Library</t>
  </si>
  <si>
    <t>PROP00834</t>
  </si>
  <si>
    <t>Pool; Gym; Playground; Elevator; Garden; AC</t>
  </si>
  <si>
    <t>PROP00835</t>
  </si>
  <si>
    <t>Garden; Parking; Concierge; Elevator; Security</t>
  </si>
  <si>
    <t>PROP00836</t>
  </si>
  <si>
    <t>Pool; Gym; Security; Parking; AC; Elevator; Library; Garden</t>
  </si>
  <si>
    <t>PROP00837</t>
  </si>
  <si>
    <t>Gym; Library; Concierge; Pool; Security; Playground</t>
  </si>
  <si>
    <t>PROP00838</t>
  </si>
  <si>
    <t>Gym; Concierge; AC; Parking; Playground</t>
  </si>
  <si>
    <t>PROP00839</t>
  </si>
  <si>
    <t>Security; Gym; Pool; Concierge; AC; Playground</t>
  </si>
  <si>
    <t>PROP00840</t>
  </si>
  <si>
    <t>Elevator; Playground; Garden; Parking; Library; Gym; Pool; Security</t>
  </si>
  <si>
    <t>PROP00841</t>
  </si>
  <si>
    <t>Parking; Playground; Security; Garden; AC; Concierge; Elevator; Gym</t>
  </si>
  <si>
    <t>PROP00842</t>
  </si>
  <si>
    <t>Pool; Gym; AC; Garden</t>
  </si>
  <si>
    <t>PROP00843</t>
  </si>
  <si>
    <t>Security; Pool; AC; Elevator; Parking; Library; Gym</t>
  </si>
  <si>
    <t>PROP00844</t>
  </si>
  <si>
    <t>Gym; Elevator; Library</t>
  </si>
  <si>
    <t>PROP00845</t>
  </si>
  <si>
    <t>Security; Parking; Garden; Playground; Pool; Elevator; AC</t>
  </si>
  <si>
    <t>PROP00846</t>
  </si>
  <si>
    <t>Gym; Pool; Concierge; AC; Garden</t>
  </si>
  <si>
    <t>PROP00847</t>
  </si>
  <si>
    <t>PROP00848</t>
  </si>
  <si>
    <t>Parking; Gym; Security; Playground</t>
  </si>
  <si>
    <t>PROP00849</t>
  </si>
  <si>
    <t>Library; Gym; Garden; Elevator</t>
  </si>
  <si>
    <t>PROP00850</t>
  </si>
  <si>
    <t>Pool; Elevator; Playground; Library; AC; Concierge</t>
  </si>
  <si>
    <t>PROP00851</t>
  </si>
  <si>
    <t>PROP00852</t>
  </si>
  <si>
    <t>Garden; Concierge; Elevator; Gym; Security</t>
  </si>
  <si>
    <t>PROP00853</t>
  </si>
  <si>
    <t>Gym; Parking; Garden</t>
  </si>
  <si>
    <t>PROP00854</t>
  </si>
  <si>
    <t>Playground; Garden; Gym; Elevator; Pool; Concierge</t>
  </si>
  <si>
    <t>PROP00855</t>
  </si>
  <si>
    <t>Garden; Gym; Parking; Security; AC; Elevator; Concierge; Playground</t>
  </si>
  <si>
    <t>PROP00856</t>
  </si>
  <si>
    <t>Gym; Parking; Pool</t>
  </si>
  <si>
    <t>PROP00857</t>
  </si>
  <si>
    <t>Library; Parking; AC; Security; Gym; Pool</t>
  </si>
  <si>
    <t>PROP00858</t>
  </si>
  <si>
    <t>Gym; Security; AC; Library; Parking</t>
  </si>
  <si>
    <t>PROP00859</t>
  </si>
  <si>
    <t>Parking; Elevator; Library; Pool</t>
  </si>
  <si>
    <t>PROP00860</t>
  </si>
  <si>
    <t>Elevator; Pool; Library; AC; Playground; Concierge; Parking</t>
  </si>
  <si>
    <t>PROP00861</t>
  </si>
  <si>
    <t>Garden; Elevator; Security; Pool</t>
  </si>
  <si>
    <t>PROP00862</t>
  </si>
  <si>
    <t>Concierge; Library; Security; Playground; AC</t>
  </si>
  <si>
    <t>PROP00863</t>
  </si>
  <si>
    <t>Security; Playground; Gym; Elevator; AC</t>
  </si>
  <si>
    <t>PROP00864</t>
  </si>
  <si>
    <t>Concierge; Parking; Pool; Library; Elevator</t>
  </si>
  <si>
    <t>PROP00865</t>
  </si>
  <si>
    <t>Library; Pool; Security; Elevator</t>
  </si>
  <si>
    <t>PROP00866</t>
  </si>
  <si>
    <t>Playground; Parking; AC; Gym; Library; Concierge; Garden</t>
  </si>
  <si>
    <t>PROP00867</t>
  </si>
  <si>
    <t>Parking; Gym; Library; Concierge; Elevator; Pool; Security; Garden</t>
  </si>
  <si>
    <t>PROP00868</t>
  </si>
  <si>
    <t>AC; Pool; Gym; Parking; Library; Security</t>
  </si>
  <si>
    <t>PROP00869</t>
  </si>
  <si>
    <t>Garden; Pool; Elevator; Library; Concierge</t>
  </si>
  <si>
    <t>PROP00870</t>
  </si>
  <si>
    <t>Concierge; Garden; Playground; Pool; Elevator; Parking; Security; AC</t>
  </si>
  <si>
    <t>PROP00871</t>
  </si>
  <si>
    <t>Library; Elevator; Pool; Security</t>
  </si>
  <si>
    <t>PROP00872</t>
  </si>
  <si>
    <t>Concierge; Pool; Parking</t>
  </si>
  <si>
    <t>PROP00873</t>
  </si>
  <si>
    <t>Playground; Concierge; Security; Pool</t>
  </si>
  <si>
    <t>PROP00874</t>
  </si>
  <si>
    <t>Playground; Library; Gym; Garden; Pool; Security; Parking; Concierge</t>
  </si>
  <si>
    <t>PROP00875</t>
  </si>
  <si>
    <t>Playground; Garden; Security; Library; Gym; Concierge</t>
  </si>
  <si>
    <t>PROP00876</t>
  </si>
  <si>
    <t>Security; Concierge; Gym; Parking; Library</t>
  </si>
  <si>
    <t>PROP00877</t>
  </si>
  <si>
    <t>Pool; Library; Garden; Security; Parking; Concierge; AC</t>
  </si>
  <si>
    <t>PROP00878</t>
  </si>
  <si>
    <t>Pool; Garden; AC; Library; Playground</t>
  </si>
  <si>
    <t>PROP00879</t>
  </si>
  <si>
    <t>Parking; Elevator; Concierge; Playground; Garden; Gym; Library</t>
  </si>
  <si>
    <t>PROP00880</t>
  </si>
  <si>
    <t>Elevator; Pool; Library</t>
  </si>
  <si>
    <t>PROP00881</t>
  </si>
  <si>
    <t>Playground; Concierge; Library</t>
  </si>
  <si>
    <t>PROP00882</t>
  </si>
  <si>
    <t>Library; Concierge; Elevator; Parking; Security; Garden; Playground; Pool</t>
  </si>
  <si>
    <t>PROP00883</t>
  </si>
  <si>
    <t>Elevator; Library; Security</t>
  </si>
  <si>
    <t>PROP00884</t>
  </si>
  <si>
    <t>Parking; Playground; AC</t>
  </si>
  <si>
    <t>PROP00885</t>
  </si>
  <si>
    <t>Playground; Security; Library; Elevator; Garden; Pool</t>
  </si>
  <si>
    <t>PROP00886</t>
  </si>
  <si>
    <t>Security; Elevator; Concierge; Parking; Pool; AC; Library; Playground</t>
  </si>
  <si>
    <t>PROP00887</t>
  </si>
  <si>
    <t>Pool; Gym; Concierge; Elevator</t>
  </si>
  <si>
    <t>PROP00888</t>
  </si>
  <si>
    <t>Parking; Elevator; Gym; Pool; Concierge; Playground; AC</t>
  </si>
  <si>
    <t>PROP00889</t>
  </si>
  <si>
    <t>Playground; Library; Elevator; Security; Concierge; AC</t>
  </si>
  <si>
    <t>PROP00890</t>
  </si>
  <si>
    <t>Playground; Library; AC; Pool; Gym; Elevator; Concierge; Parking</t>
  </si>
  <si>
    <t>PROP00891</t>
  </si>
  <si>
    <t>Pool; Gym; Security; Elevator</t>
  </si>
  <si>
    <t>PROP00892</t>
  </si>
  <si>
    <t>Gym; Parking; Pool; Playground; Library; Garden; Security</t>
  </si>
  <si>
    <t>PROP00893</t>
  </si>
  <si>
    <t>Parking; Concierge; Playground; AC; Pool</t>
  </si>
  <si>
    <t>PROP00894</t>
  </si>
  <si>
    <t>Garden; Elevator; Security</t>
  </si>
  <si>
    <t>PROP00895</t>
  </si>
  <si>
    <t>Gym; Parking; Security; Playground; AC; Pool; Elevator; Garden</t>
  </si>
  <si>
    <t>PROP00896</t>
  </si>
  <si>
    <t>Elevator; Gym; Pool</t>
  </si>
  <si>
    <t>PROP00897</t>
  </si>
  <si>
    <t>Concierge; Playground; Security; Garden; Gym; Elevator</t>
  </si>
  <si>
    <t>PROP00898</t>
  </si>
  <si>
    <t>Elevator; Playground; Library</t>
  </si>
  <si>
    <t>PROP00899</t>
  </si>
  <si>
    <t>Gym; Pool; Concierge</t>
  </si>
  <si>
    <t>PROP00900</t>
  </si>
  <si>
    <t>Elevator; Security; Playground</t>
  </si>
  <si>
    <t>PROP00901</t>
  </si>
  <si>
    <t>Security; Parking; AC; Gym; Garden</t>
  </si>
  <si>
    <t>PROP00902</t>
  </si>
  <si>
    <t>AC; Concierge; Playground; Gym; Parking; Garden; Library</t>
  </si>
  <si>
    <t>PROP00903</t>
  </si>
  <si>
    <t>Garden; Parking; Playground; Elevator; Pool; AC; Concierge; Library</t>
  </si>
  <si>
    <t>PROP00904</t>
  </si>
  <si>
    <t>Elevator; Parking; AC; Security; Concierge</t>
  </si>
  <si>
    <t>PROP00905</t>
  </si>
  <si>
    <t>Security; Parking; Gym; Garden; Library; Concierge; AC</t>
  </si>
  <si>
    <t>PROP00906</t>
  </si>
  <si>
    <t>Pool; Parking; AC; Gym; Elevator; Library; Concierge; Garden</t>
  </si>
  <si>
    <t>PROP00907</t>
  </si>
  <si>
    <t>AC; Gym; Library; Parking; Concierge; Pool; Elevator</t>
  </si>
  <si>
    <t>PROP00908</t>
  </si>
  <si>
    <t>Security; Pool; Library; Playground; AC; Concierge</t>
  </si>
  <si>
    <t>PROP00909</t>
  </si>
  <si>
    <t>AC; Garden; Pool; Parking; Playground</t>
  </si>
  <si>
    <t>PROP00910</t>
  </si>
  <si>
    <t>AC; Pool; Parking; Security; Playground; Elevator; Gym; Concierge</t>
  </si>
  <si>
    <t>PROP00911</t>
  </si>
  <si>
    <t>Garden; Pool; Gym; Parking; Playground; Concierge</t>
  </si>
  <si>
    <t>PROP00912</t>
  </si>
  <si>
    <t>Library; Parking; Concierge; Elevator; Garden; Pool; Security</t>
  </si>
  <si>
    <t>PROP00913</t>
  </si>
  <si>
    <t>AC; Library; Parking; Garden; Elevator; Gym; Pool; Playground</t>
  </si>
  <si>
    <t>PROP00914</t>
  </si>
  <si>
    <t>Concierge; Pool; Elevator; Parking</t>
  </si>
  <si>
    <t>PROP00915</t>
  </si>
  <si>
    <t>Elevator; Parking; Concierge</t>
  </si>
  <si>
    <t>PROP00916</t>
  </si>
  <si>
    <t>Library; Playground; Elevator; Security; Garden; Pool</t>
  </si>
  <si>
    <t>PROP00917</t>
  </si>
  <si>
    <t>Security; Parking; Gym; Garden; AC; Library</t>
  </si>
  <si>
    <t>PROP00918</t>
  </si>
  <si>
    <t>Concierge; Security; Playground; Elevator; AC; Library; Parking; Pool</t>
  </si>
  <si>
    <t>PROP00919</t>
  </si>
  <si>
    <t>Elevator; AC; Pool; Garden; Parking; Security; Gym; Concierge</t>
  </si>
  <si>
    <t>PROP00920</t>
  </si>
  <si>
    <t>Security; AC; Gym; Concierge; Elevator; Pool</t>
  </si>
  <si>
    <t>PROP00921</t>
  </si>
  <si>
    <t>Pool; AC; Playground; Garden; Elevator; Gym; Concierge; Library</t>
  </si>
  <si>
    <t>PROP00922</t>
  </si>
  <si>
    <t>Security; Garden; Concierge; Elevator; Playground; Parking; AC</t>
  </si>
  <si>
    <t>PROP00923</t>
  </si>
  <si>
    <t>Pool; Gym; Garden; Parking; Library; Playground; Security; AC</t>
  </si>
  <si>
    <t>PROP00924</t>
  </si>
  <si>
    <t>Library; Concierge; Parking; AC; Garden; Pool; Security</t>
  </si>
  <si>
    <t>PROP00925</t>
  </si>
  <si>
    <t>Garden; Library; Playground; Pool; Gym; AC; Security</t>
  </si>
  <si>
    <t>PROP00926</t>
  </si>
  <si>
    <t>PROP00927</t>
  </si>
  <si>
    <t>Security; Parking; Playground; Pool; Concierge; AC; Gym</t>
  </si>
  <si>
    <t>PROP00928</t>
  </si>
  <si>
    <t>Concierge; Security; AC; Garden; Pool; Parking</t>
  </si>
  <si>
    <t>PROP00929</t>
  </si>
  <si>
    <t>Garden; Gym; Playground; Pool; Elevator; Security; AC</t>
  </si>
  <si>
    <t>PROP00930</t>
  </si>
  <si>
    <t>Pool; Playground; Parking; Garden; Security; Library; Elevator</t>
  </si>
  <si>
    <t>PROP00931</t>
  </si>
  <si>
    <t>Gym; Pool; AC; Parking; Garden; Playground; Concierge</t>
  </si>
  <si>
    <t>PROP00932</t>
  </si>
  <si>
    <t>Security; Playground; Gym; Elevator; Library; AC</t>
  </si>
  <si>
    <t>PROP00933</t>
  </si>
  <si>
    <t>Parking; Security; Library; Elevator; Playground</t>
  </si>
  <si>
    <t>PROP00934</t>
  </si>
  <si>
    <t>Pool; Gym; Parking; Elevator; AC; Garden; Security</t>
  </si>
  <si>
    <t>PROP00935</t>
  </si>
  <si>
    <t>Garden; Library; Concierge; AC; Pool</t>
  </si>
  <si>
    <t>PROP00936</t>
  </si>
  <si>
    <t>Elevator; Gym; AC; Playground; Security</t>
  </si>
  <si>
    <t>PROP00937</t>
  </si>
  <si>
    <t>Concierge; Gym; Playground; Pool; Library; Garden; AC; Parking</t>
  </si>
  <si>
    <t>PROP00938</t>
  </si>
  <si>
    <t>Gym; AC; Playground; Library; Security; Elevator; Concierge</t>
  </si>
  <si>
    <t>PROP00939</t>
  </si>
  <si>
    <t>Pool; Garden; Playground; Security; Concierge; Library</t>
  </si>
  <si>
    <t>PROP00940</t>
  </si>
  <si>
    <t>Library; Elevator; Garden; Security; Concierge</t>
  </si>
  <si>
    <t>PROP00941</t>
  </si>
  <si>
    <t>Library; Elevator; AC; Gym; Parking; Pool; Playground</t>
  </si>
  <si>
    <t>PROP00942</t>
  </si>
  <si>
    <t>Gym; Playground; Pool; Elevator; Concierge</t>
  </si>
  <si>
    <t>PROP00943</t>
  </si>
  <si>
    <t>Elevator; Garden; Playground; Library; Pool; Gym; AC</t>
  </si>
  <si>
    <t>PROP00944</t>
  </si>
  <si>
    <t>Garden; Playground; Concierge; Pool; Elevator; Gym; AC; Library</t>
  </si>
  <si>
    <t>PROP00945</t>
  </si>
  <si>
    <t>Garden; AC; Concierge; Elevator; Playground; Parking</t>
  </si>
  <si>
    <t>PROP00946</t>
  </si>
  <si>
    <t>Library; Gym; Parking; Security; Pool; Garden; Playground; Elevator</t>
  </si>
  <si>
    <t>PROP00947</t>
  </si>
  <si>
    <t>Gym; Concierge; Security</t>
  </si>
  <si>
    <t>PROP00948</t>
  </si>
  <si>
    <t>AC; Concierge; Gym; Security; Playground</t>
  </si>
  <si>
    <t>PROP00949</t>
  </si>
  <si>
    <t>PROP00950</t>
  </si>
  <si>
    <t>Parking; Gym; Elevator; Library; AC; Playground; Concierge; Security</t>
  </si>
  <si>
    <t>PROP00951</t>
  </si>
  <si>
    <t>Garden; Parking; Playground; Library; Security; Gym</t>
  </si>
  <si>
    <t>PROP00952</t>
  </si>
  <si>
    <t>Concierge; Pool; Library; Garden; AC; Playground; Gym</t>
  </si>
  <si>
    <t>PROP00953</t>
  </si>
  <si>
    <t>Library; Gym; Parking; Elevator</t>
  </si>
  <si>
    <t>PROP00954</t>
  </si>
  <si>
    <t>Gym; Security; AC; Playground; Garden; Library; Pool; Concierge</t>
  </si>
  <si>
    <t>PROP00955</t>
  </si>
  <si>
    <t>Security; Playground; AC; Elevator</t>
  </si>
  <si>
    <t>PROP00956</t>
  </si>
  <si>
    <t>Library; AC; Elevator; Pool; Concierge; Garden; Security</t>
  </si>
  <si>
    <t>PROP00957</t>
  </si>
  <si>
    <t>Parking; Pool; Library; Elevator; Gym; Playground; Garden</t>
  </si>
  <si>
    <t>PROP00958</t>
  </si>
  <si>
    <t>AC; Library; Playground; Parking; Garden; Pool; Security</t>
  </si>
  <si>
    <t>PROP00959</t>
  </si>
  <si>
    <t>Library; Garden; Security; Playground; Elevator; AC; Concierge</t>
  </si>
  <si>
    <t>PROP00960</t>
  </si>
  <si>
    <t>Parking; Garden; Elevator; Playground; AC; Pool; Library; Concierge</t>
  </si>
  <si>
    <t>PROP00961</t>
  </si>
  <si>
    <t>Elevator; AC; Security; Playground; Pool; Library; Garden</t>
  </si>
  <si>
    <t>PROP00962</t>
  </si>
  <si>
    <t>Parking; Security; Elevator; Gym; Pool; Concierge; Library</t>
  </si>
  <si>
    <t>PROP00963</t>
  </si>
  <si>
    <t>Gym; Pool; Elevator; Security; AC; Parking; Concierge; Garden</t>
  </si>
  <si>
    <t>PROP00964</t>
  </si>
  <si>
    <t>Playground; Parking; Concierge; Pool; AC</t>
  </si>
  <si>
    <t>PROP00965</t>
  </si>
  <si>
    <t>Pool; Library; Elevator; Playground; Concierge; Parking; Security</t>
  </si>
  <si>
    <t>PROP00966</t>
  </si>
  <si>
    <t>Garden; AC; Parking; Elevator; Gym; Playground; Security</t>
  </si>
  <si>
    <t>PROP00967</t>
  </si>
  <si>
    <t>Library; Elevator; Playground; Pool; Concierge; Parking; Security; AC</t>
  </si>
  <si>
    <t>PROP00968</t>
  </si>
  <si>
    <t>Garden; Security; Concierge; Library; Pool; Parking</t>
  </si>
  <si>
    <t>PROP00969</t>
  </si>
  <si>
    <t>AC; Library; Elevator</t>
  </si>
  <si>
    <t>PROP00970</t>
  </si>
  <si>
    <t>Pool; Parking; Gym; Playground; Elevator; AC</t>
  </si>
  <si>
    <t>PROP00971</t>
  </si>
  <si>
    <t>Library; Elevator; Parking; Gym; Pool</t>
  </si>
  <si>
    <t>PROP00972</t>
  </si>
  <si>
    <t>PROP00973</t>
  </si>
  <si>
    <t>AC; Gym; Library; Garden; Parking; Elevator</t>
  </si>
  <si>
    <t>PROP00974</t>
  </si>
  <si>
    <t>Elevator; AC; Library; Gym; Pool</t>
  </si>
  <si>
    <t>PROP00975</t>
  </si>
  <si>
    <t>Security; Gym; AC</t>
  </si>
  <si>
    <t>PROP00976</t>
  </si>
  <si>
    <t>Security; Pool; Elevator; Library; Playground; Garden; Parking</t>
  </si>
  <si>
    <t>PROP00977</t>
  </si>
  <si>
    <t>Concierge; Gym; Garden; Elevator</t>
  </si>
  <si>
    <t>PROP00978</t>
  </si>
  <si>
    <t>Concierge; Pool; Garden; Elevator; Parking; AC</t>
  </si>
  <si>
    <t>PROP00979</t>
  </si>
  <si>
    <t>Garden; Parking; Elevator; Concierge; Pool</t>
  </si>
  <si>
    <t>PROP00980</t>
  </si>
  <si>
    <t>Playground; Pool; Library; Security; Elevator; Gym; AC; Parking</t>
  </si>
  <si>
    <t>PROP00981</t>
  </si>
  <si>
    <t>AC; Security; Parking</t>
  </si>
  <si>
    <t>PROP00982</t>
  </si>
  <si>
    <t>Library; Pool; Gym</t>
  </si>
  <si>
    <t>PROP00983</t>
  </si>
  <si>
    <t>Pool; Elevator; Gym; Parking; Concierge; Playground; Library</t>
  </si>
  <si>
    <t>PROP00984</t>
  </si>
  <si>
    <t>Concierge; Elevator; Playground</t>
  </si>
  <si>
    <t>PROP00985</t>
  </si>
  <si>
    <t>Gym; Parking; Security; Library; AC; Garden</t>
  </si>
  <si>
    <t>PROP00986</t>
  </si>
  <si>
    <t>Security; Concierge; Garden; AC; Playground; Gym</t>
  </si>
  <si>
    <t>PROP00987</t>
  </si>
  <si>
    <t>Elevator; Parking; Playground; AC</t>
  </si>
  <si>
    <t>PROP00988</t>
  </si>
  <si>
    <t>Garden; Parking; Concierge; Gym; Playground; Pool</t>
  </si>
  <si>
    <t>PROP00989</t>
  </si>
  <si>
    <t>Gym; Security; Library; AC; Playground; Pool; Concierge; Elevator</t>
  </si>
  <si>
    <t>PROP00990</t>
  </si>
  <si>
    <t>Gym; Playground; Garden; AC; Library</t>
  </si>
  <si>
    <t>PROP00991</t>
  </si>
  <si>
    <t>Security; Parking; AC; Garden; Pool; Library; Playground</t>
  </si>
  <si>
    <t>PROP00992</t>
  </si>
  <si>
    <t>Parking; Gym; Security; Pool; Concierge; Playground</t>
  </si>
  <si>
    <t>PROP00993</t>
  </si>
  <si>
    <t>Library; AC; Gym; Concierge</t>
  </si>
  <si>
    <t>PROP00994</t>
  </si>
  <si>
    <t>Playground; Gym; AC</t>
  </si>
  <si>
    <t>PROP00995</t>
  </si>
  <si>
    <t>Gym; AC; Garden; Security; Elevator; Concierge; Parking</t>
  </si>
  <si>
    <t>PROP00996</t>
  </si>
  <si>
    <t>Pool; Library; Garden; Parking; Playground; Gym; AC</t>
  </si>
  <si>
    <t>PROP00997</t>
  </si>
  <si>
    <t>Gym; AC; Library; Parking; Elevator; Garden</t>
  </si>
  <si>
    <t>PROP00998</t>
  </si>
  <si>
    <t>Security; Elevator; Gym</t>
  </si>
  <si>
    <t>PROP00999</t>
  </si>
  <si>
    <t>Pool; Garden; Playground</t>
  </si>
  <si>
    <t>PROP01000</t>
  </si>
  <si>
    <t>Elevator; Library; Parking; Gym</t>
  </si>
  <si>
    <t>Property_Id</t>
  </si>
  <si>
    <t>City</t>
  </si>
  <si>
    <t>District</t>
  </si>
  <si>
    <t>Property_Type</t>
  </si>
  <si>
    <t>Built_Up_Area_Sqft</t>
  </si>
  <si>
    <t>Price_Inr</t>
  </si>
  <si>
    <t>Price_Per_Sqft_Inr</t>
  </si>
  <si>
    <t>Bedrooms</t>
  </si>
  <si>
    <t>Bathrooms</t>
  </si>
  <si>
    <t>Age_Years</t>
  </si>
  <si>
    <t>Facing</t>
  </si>
  <si>
    <t>Amenities</t>
  </si>
  <si>
    <t>Amenities_Count</t>
  </si>
  <si>
    <t>Walkability_Score</t>
  </si>
  <si>
    <t>Monthly_Rental_Estimate_Inr</t>
  </si>
  <si>
    <t>Annual_Rental_Yield_Pct</t>
  </si>
  <si>
    <t>Price_Category</t>
  </si>
  <si>
    <t>Estimated_Roi_5Yr_Pct</t>
  </si>
  <si>
    <t>Listing_Date</t>
  </si>
  <si>
    <t>Days_On_Market</t>
  </si>
  <si>
    <t>Status</t>
  </si>
  <si>
    <t>Registration_Days</t>
  </si>
  <si>
    <t>Is_Gated_Community</t>
  </si>
  <si>
    <t>Has_Maintenance_Fee</t>
  </si>
  <si>
    <t>Monthly_Maintenance_Inr</t>
  </si>
  <si>
    <t xml:space="preserve">Real Estate Performance Dashboard </t>
  </si>
  <si>
    <t xml:space="preserve">🏠Total Properties </t>
  </si>
  <si>
    <t xml:space="preserve">1. No Strong outlier visible in property price </t>
  </si>
  <si>
    <t xml:space="preserve">2. Average or Median are mostly Reliable </t>
  </si>
  <si>
    <t xml:space="preserve">3. Data Distribution looks Balanced </t>
  </si>
  <si>
    <t>💰Average ROI</t>
  </si>
  <si>
    <t xml:space="preserve">🏠Median Property Price </t>
  </si>
  <si>
    <t xml:space="preserve">💰Median Monthly Rent </t>
  </si>
  <si>
    <t>Median Price/SQFT</t>
  </si>
  <si>
    <t xml:space="preserve">🏠Avg. Days On Market </t>
  </si>
  <si>
    <t>🏠Rented Properties</t>
  </si>
  <si>
    <t>🏠Available Properties</t>
  </si>
  <si>
    <t xml:space="preserve">🏠Sold Properties </t>
  </si>
  <si>
    <t>Row Labels</t>
  </si>
  <si>
    <t>Grand Total</t>
  </si>
  <si>
    <t>Average of Price_Inr</t>
  </si>
  <si>
    <t>Count of Property_Type</t>
  </si>
  <si>
    <t>Average of Estimated_Roi_5Yr_Pct</t>
  </si>
  <si>
    <t>Count of Status</t>
  </si>
  <si>
    <t>Average of Days_On_Market</t>
  </si>
  <si>
    <t>FALSE</t>
  </si>
  <si>
    <t>TRUE</t>
  </si>
  <si>
    <t>1. Mumbai dominates the premium real estate market and is costiest city in the dataset.</t>
  </si>
  <si>
    <t>2. These cities provide comparatively affordable property option.</t>
  </si>
  <si>
    <t>3. Apatment-based housing dominates the market inventory.</t>
  </si>
  <si>
    <t>4. More than half of the properties are still available.</t>
  </si>
  <si>
    <t>5. Mumbai not only has the highest property prices but also strong Investment returns.</t>
  </si>
  <si>
    <t>6. ROI differences between cities are small, but Mumbai performs best overall.</t>
  </si>
  <si>
    <t>7. Properties typically remain listed for nearly 6 months before sale/rent.</t>
  </si>
  <si>
    <t>8. Demand differs significantly by district.</t>
  </si>
  <si>
    <t>9. Gated Community properties are priced higher than non-gated properties.</t>
  </si>
  <si>
    <t>Overall Consulsion
The real estate market is dominated by apartment properties and high inventory availability. Mumbai leads in both average property price and ROI, making it the strongest premium investment market. Chennai and Hyderabad provide more affordable alternatives. Gated communities command higher prices due to better amenities and security, while property demand and market activity vary significantly across districts.</t>
  </si>
  <si>
    <t>Additional Property Analysis - Supplementary Insights</t>
  </si>
  <si>
    <t>1. PRICE CATEGORY ANALYSIS</t>
  </si>
  <si>
    <t>Price Category</t>
  </si>
  <si>
    <t>Count</t>
  </si>
  <si>
    <t>Avg Price (₹)</t>
  </si>
  <si>
    <t>Avg ROI (%)</t>
  </si>
  <si>
    <t>2. BEDROOM DISTRIBUTION ANALYSIS</t>
  </si>
  <si>
    <t>% of Total</t>
  </si>
  <si>
    <t>Avg Rent (₹)</t>
  </si>
  <si>
    <t>0 BHK</t>
  </si>
  <si>
    <t>1 BHK</t>
  </si>
  <si>
    <t>2 BHK</t>
  </si>
  <si>
    <t>3 BHK</t>
  </si>
  <si>
    <t>4 BHK</t>
  </si>
  <si>
    <t>5 BHK</t>
  </si>
  <si>
    <t>6 BHK</t>
  </si>
  <si>
    <t>3. PROPERTY AGE ANALYSIS</t>
  </si>
  <si>
    <t>Age Group</t>
  </si>
  <si>
    <t>Avg Price/SQFT (₹)</t>
  </si>
  <si>
    <t>0-5 Years (New)</t>
  </si>
  <si>
    <t>6-10 Years</t>
  </si>
  <si>
    <t>11-15 Years</t>
  </si>
  <si>
    <t>16-20 Years</t>
  </si>
  <si>
    <t>21-25 Years</t>
  </si>
  <si>
    <t>26-30 Years (Old)</t>
  </si>
  <si>
    <t>4. AMENITIES IMPACT ANALYSIS</t>
  </si>
  <si>
    <t>Amenities Count</t>
  </si>
  <si>
    <t>Properties</t>
  </si>
  <si>
    <t>3 Amenities</t>
  </si>
  <si>
    <t>4 Amenities</t>
  </si>
  <si>
    <t>5 Amenities</t>
  </si>
  <si>
    <t>6 Amenities</t>
  </si>
  <si>
    <t>7 Amenities</t>
  </si>
  <si>
    <t>8 Amenities</t>
  </si>
  <si>
    <t>5. WALKABILITY SCORE ANALYSIS</t>
  </si>
  <si>
    <t>Walkability Score</t>
  </si>
  <si>
    <t>Avg Rental Yield (%)</t>
  </si>
  <si>
    <t>Low (1-4)</t>
  </si>
  <si>
    <t>Medium (5-6)</t>
  </si>
  <si>
    <t>High (7-8)</t>
  </si>
  <si>
    <t>Very High (9-10)</t>
  </si>
  <si>
    <t>6. RENTAL YIELD BY CITY</t>
  </si>
  <si>
    <t>Max Yield (%)</t>
  </si>
  <si>
    <t>7. GATED COMMUNITY COMPARISON</t>
  </si>
  <si>
    <t>Type</t>
  </si>
  <si>
    <t>Avg Days On Market</t>
  </si>
  <si>
    <t>Gated Community</t>
  </si>
  <si>
    <t>Non-Gated</t>
  </si>
  <si>
    <t>8. MAINTENANCE FEE ANALYSIS</t>
  </si>
  <si>
    <t>Has Maintenance</t>
  </si>
  <si>
    <t>Avg Monthly Maint. (₹)</t>
  </si>
  <si>
    <t>Yes</t>
  </si>
  <si>
    <t>No</t>
  </si>
  <si>
    <t>9. PROPERTY TYPE PERFORMANCE MATRIX</t>
  </si>
  <si>
    <t>Property Type</t>
  </si>
  <si>
    <t>Avg Area (sqft)</t>
  </si>
  <si>
    <t>10. FACING DIRECTION ANALYSIS</t>
  </si>
  <si>
    <t>11. KEY STATISTICAL SUMMARY</t>
  </si>
  <si>
    <t>Metric</t>
  </si>
  <si>
    <t>Min</t>
  </si>
  <si>
    <t>Max</t>
  </si>
  <si>
    <t>Average</t>
  </si>
  <si>
    <t>Median</t>
  </si>
  <si>
    <t>Std Dev</t>
  </si>
  <si>
    <t>Property Price (₹)</t>
  </si>
  <si>
    <t>Built-up Area (sqft)</t>
  </si>
  <si>
    <t>Price per SQFT (₹)</t>
  </si>
  <si>
    <t>Monthly Rent (₹)</t>
  </si>
  <si>
    <t>Estimated ROI 5-Year (%)</t>
  </si>
  <si>
    <t>Days on Market</t>
  </si>
  <si>
    <t>12. REGISTRATION DAYS VS STATUS</t>
  </si>
  <si>
    <t>Avg Registration Days</t>
  </si>
  <si>
    <t>Avg Days on Market</t>
  </si>
  <si>
    <t>KEY ADDITIONAL INSIGHTS (Formulas-Based)</t>
  </si>
  <si>
    <t>10. Price Category: Premium properties offer comparable ROI to Luxury at lower price points - value opportunity.</t>
  </si>
  <si>
    <t>11. Bedroom Distribution: 3-5 BHK properties dominate, showing family-oriented market demand.</t>
  </si>
  <si>
    <t>12. Property Age: Newer properties (0-5 years) command higher prices but older properties can offer better value.</t>
  </si>
  <si>
    <t>13. Amenities Impact: Properties with more amenities correlate with higher prices and rental income.</t>
  </si>
  <si>
    <t>14. Walkability Score: High walkability areas (7-10) show stronger rental yields - location matters.</t>
  </si>
  <si>
    <t>15. Gated Community Premium: Gated communities average higher prices - security/amenities add value.</t>
  </si>
  <si>
    <t>16. Maintenance Fees: Properties with maintenance fees tend to be in better-maintained complexes.</t>
  </si>
  <si>
    <t>17. Property Type Insight: Studios offer highest price/sqft, Villas offer largest living spaces.</t>
  </si>
  <si>
    <t>18. Facing Direction: East and North-East facing properties are traditionally preferred - check pricing patterns.</t>
  </si>
  <si>
    <t>19. Registration Correlation: Sold properties show different registration patterns than available ones.</t>
  </si>
  <si>
    <t>REAL ESTATE MARKET ANALYSIS - EXECUTIVE SUMMARY</t>
  </si>
  <si>
    <t>Comprehensive Property Portfolio Performance Report | Data Analysis Project</t>
  </si>
  <si>
    <t>Report Generated: May 19, 2026  |  Dataset: 1,000 Properties  |  Cities: 6 Major Metro Areas</t>
  </si>
  <si>
    <t>1. PORTFOLIO OVERVIEW - KEY PERFORMANCE INDICATORS</t>
  </si>
  <si>
    <t>Total Properties</t>
  </si>
  <si>
    <t>Properties Sold</t>
  </si>
  <si>
    <t>Properties Available</t>
  </si>
  <si>
    <t>Properties Rented</t>
  </si>
  <si>
    <t>Median Property Price</t>
  </si>
  <si>
    <t>Average 5-Year ROI</t>
  </si>
  <si>
    <t>Median Monthly Rent</t>
  </si>
  <si>
    <t>2. MARKET SEGMENTATION ANALYSIS</t>
  </si>
  <si>
    <t>2.1 Price Category Distribution</t>
  </si>
  <si>
    <t>Category</t>
  </si>
  <si>
    <t>2.2 Property Type Performance</t>
  </si>
  <si>
    <t>3. GEOGRAPHIC &amp; LOCATION ANALYSIS</t>
  </si>
  <si>
    <t>3.1 City-wise Rental Yield</t>
  </si>
  <si>
    <t>Avg Yield (%)</t>
  </si>
  <si>
    <t>3.2 Walkability Score Impact</t>
  </si>
  <si>
    <t>4. STATISTICAL SUMMARY &amp; COMMUNITY ANALYSIS</t>
  </si>
  <si>
    <t>4.1 Key Metrics Statistical Summary</t>
  </si>
  <si>
    <t>Minimum</t>
  </si>
  <si>
    <t>Maximum</t>
  </si>
  <si>
    <t>ROI 5-Year (%)</t>
  </si>
  <si>
    <t>4.2 Gated Community Comparison</t>
  </si>
  <si>
    <t>Community Type</t>
  </si>
  <si>
    <t>4.3 Property Status Distribution</t>
  </si>
  <si>
    <t>5. KEY FINDINGS &amp; STRATEGIC RECOMMENDATIONS</t>
  </si>
  <si>
    <t>📊 KEY FINDINGS</t>
  </si>
  <si>
    <t>1. Portfolio shows balanced distribution: Premium (49.1%) and Luxury (50.9%) properties.</t>
  </si>
  <si>
    <t>2. Average 5-Year ROI is ~45% with consistent performance across all property types.</t>
  </si>
  <si>
    <t>3. Market liquidity is healthy: 58.4% available, 25.5% sold, 16.1% rented.</t>
  </si>
  <si>
    <t>4. High walkability (9-10) areas generate better rental yields (~4.04%).</t>
  </si>
  <si>
    <t>5. Newer properties (0-5 years) command premium pricing but older ones offer value.</t>
  </si>
  <si>
    <t>6. Gated communities command ~₹9 Lakh premium with comparable ROI.</t>
  </si>
  <si>
    <t>7. Mumbai leads in rental yields, followed by Hyderabad and Delhi.</t>
  </si>
  <si>
    <t>8. 3-5 BHK properties dominate market demand (family-oriented).</t>
  </si>
  <si>
    <t>💡 STRATEGIC RECOMMENDATIONS</t>
  </si>
  <si>
    <t>1. Focus on 3-5 BHK properties in high walkability areas for maximum returns.</t>
  </si>
  <si>
    <t>2. Consider Premium category for value-oriented investments with comparable ROI.</t>
  </si>
  <si>
    <t>3. Prioritize gated communities in tier-1 cities for security-conscious buyers.</t>
  </si>
  <si>
    <t>4. Target properties with 5+ amenities for higher rental income potential.</t>
  </si>
  <si>
    <t>5. Mumbai is ideal for rental income strategy - highest yields observed.</t>
  </si>
  <si>
    <t>6. Monitor Days on Market metrics to optimize pricing strategies.</t>
  </si>
  <si>
    <t>7. East and North-facing properties have traditional market preference.</t>
  </si>
  <si>
    <t>8. Diversify across property types to balance risk and returns.</t>
  </si>
  <si>
    <t>6. DATA SOURCES &amp; METHODOLOGY</t>
  </si>
  <si>
    <t>📁 DATA SOURCES</t>
  </si>
  <si>
    <t>• Property Dataset Worksheet - 1,000 properties with 25 attributes</t>
  </si>
  <si>
    <t>• Dashboard Worksheet - 9 KPI metrics with visual charts</t>
  </si>
  <si>
    <t>• Additional Analysis Worksheet - 12 analytical sections</t>
  </si>
  <si>
    <t>• Stats Worksheet - Box-whisker statistical analysis</t>
  </si>
  <si>
    <t>📐 METHODOLOGY</t>
  </si>
  <si>
    <t>• All metrics calculated using Excel formulas (COUNTIF, AVERAGEIF, etc.)</t>
  </si>
  <si>
    <t>• Statistical analysis includes Min, Max, Mean, Median, Std Dev</t>
  </si>
  <si>
    <t>• Segmentation by Price Category, Property Type, City, Walkability</t>
  </si>
  <si>
    <t>• Cross-referencing Dashboard and Additional Analysis worksheets</t>
  </si>
  <si>
    <t>━━━━━━━━━━━━━━━━━━━━━━━━━━━━━━━━━━━━━━━━━━━━━━━━━━━━━━━━━━━━━━━━━━━━━━━━━━━━━━━━━━━━━━━━━━━━━━━━━━━━━━━━━</t>
  </si>
  <si>
    <t>CONFIDENTIAL | Real Estate Market Analysis Executive Summary | Prepared for Project Review</t>
  </si>
  <si>
    <t>DISCLAIMER: This analysis is based on the provided property dataset. All values are dynamically linked to source data via Excel formulas.</t>
  </si>
  <si>
    <t>© 2026 Real Estate Analytics | Page 1 of 1</t>
  </si>
  <si>
    <t>CONFIDENTIAL | Real Estate Performance Dashboard | Prepared for Project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</si>
</sst>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 #,##0.00;&quot;₹&quot;\ \-#,##0.00"/>
    <numFmt numFmtId="164" formatCode="&quot;₹&quot;\ #,##0.00"/>
    <numFmt numFmtId="165" formatCode="\₹#,##0"/>
    <numFmt numFmtId="166"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28"/>
      <color theme="1"/>
      <name val="Amasis MT Pro Black"/>
      <family val="1"/>
    </font>
    <font>
      <sz val="8"/>
      <name val="Aptos Narrow"/>
      <family val="2"/>
      <scheme val="minor"/>
    </font>
    <font>
      <b/>
      <sz val="14"/>
      <color theme="1"/>
      <name val="Aptos Narrow"/>
      <family val="2"/>
      <scheme val="minor"/>
    </font>
    <font>
      <b/>
      <sz val="16"/>
      <color rgb="FFFFFFFF"/>
      <name val="Aptos Narrow"/>
      <family val="2"/>
      <scheme val="minor"/>
    </font>
    <font>
      <b/>
      <sz val="11"/>
      <color rgb="FFFFFFFF"/>
      <name val="Aptos Narrow"/>
      <family val="2"/>
      <scheme val="minor"/>
    </font>
    <font>
      <b/>
      <sz val="12"/>
      <color theme="1"/>
      <name val="Aptos Narrow"/>
      <family val="2"/>
      <scheme val="minor"/>
    </font>
    <font>
      <b/>
      <sz val="12"/>
      <color rgb="FFFFFFFF"/>
      <name val="Aptos Narrow"/>
      <family val="2"/>
      <scheme val="minor"/>
    </font>
    <font>
      <b/>
      <sz val="22"/>
      <color rgb="FFFFFFFF"/>
      <name val="Aptos Narrow"/>
      <family val="2"/>
      <scheme val="minor"/>
    </font>
    <font>
      <i/>
      <sz val="12"/>
      <color rgb="FF1F4E79"/>
      <name val="Aptos Narrow"/>
      <family val="2"/>
      <scheme val="minor"/>
    </font>
    <font>
      <sz val="10"/>
      <color rgb="FF666666"/>
      <name val="Aptos Narrow"/>
      <family val="2"/>
      <scheme val="minor"/>
    </font>
    <font>
      <b/>
      <sz val="14"/>
      <color rgb="FFFFFFFF"/>
      <name val="Aptos Narrow"/>
      <family val="2"/>
      <scheme val="minor"/>
    </font>
    <font>
      <b/>
      <sz val="16"/>
      <color rgb="FF1F4E79"/>
      <name val="Aptos Narrow"/>
      <family val="2"/>
      <scheme val="minor"/>
    </font>
    <font>
      <sz val="11"/>
      <color rgb="FF1F4E79"/>
      <name val="Aptos Narrow"/>
      <family val="2"/>
      <scheme val="minor"/>
    </font>
    <font>
      <b/>
      <sz val="10"/>
      <color rgb="FF1F4E79"/>
      <name val="Aptos Narrow"/>
      <family val="2"/>
      <scheme val="minor"/>
    </font>
    <font>
      <i/>
      <sz val="9"/>
      <color rgb="FF666666"/>
      <name val="Aptos Narrow"/>
      <family val="2"/>
      <scheme val="minor"/>
    </font>
    <font>
      <sz val="9"/>
      <color rgb="FF999999"/>
      <name val="Aptos Narrow"/>
      <family val="2"/>
      <scheme val="minor"/>
    </font>
    <font>
      <b/>
      <sz val="14"/>
      <color theme="1"/>
      <name val="Aharoni"/>
      <charset val="177"/>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1F4E79"/>
        <bgColor indexed="64"/>
      </patternFill>
    </fill>
    <fill>
      <patternFill patternType="solid">
        <fgColor rgb="FF4472C4"/>
        <bgColor indexed="64"/>
      </patternFill>
    </fill>
    <fill>
      <patternFill patternType="solid">
        <fgColor rgb="FFD6DCE5"/>
        <bgColor indexed="64"/>
      </patternFill>
    </fill>
    <fill>
      <patternFill patternType="solid">
        <fgColor rgb="FF2E75B6"/>
        <bgColor indexed="64"/>
      </patternFill>
    </fill>
    <fill>
      <patternFill patternType="solid">
        <fgColor rgb="FF70AD47"/>
        <bgColor indexed="64"/>
      </patternFill>
    </fill>
    <fill>
      <patternFill patternType="solid">
        <fgColor rgb="FFE2EFDA"/>
        <bgColor indexed="64"/>
      </patternFill>
    </fill>
    <fill>
      <patternFill patternType="solid">
        <fgColor rgb="FFD6DCE4"/>
        <bgColor indexed="64"/>
      </patternFill>
    </fill>
    <fill>
      <patternFill patternType="solid">
        <fgColor rgb="FFBDD7EE"/>
        <bgColor indexed="64"/>
      </patternFill>
    </fill>
    <fill>
      <patternFill patternType="solid">
        <fgColor rgb="FFD9E2F3"/>
        <bgColor indexed="64"/>
      </patternFill>
    </fill>
    <fill>
      <patternFill patternType="solid">
        <fgColor rgb="FFFCE4D6"/>
        <bgColor indexed="64"/>
      </patternFill>
    </fill>
    <fill>
      <patternFill patternType="solid">
        <fgColor rgb="FFDDEBF7"/>
        <bgColor indexed="64"/>
      </patternFill>
    </fill>
    <fill>
      <patternFill patternType="solid">
        <fgColor theme="4" tint="0.39997558519241921"/>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0" fontId="0" fillId="0" borderId="0" xfId="42" applyNumberFormat="1" applyFont="1"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1" fontId="0" fillId="0" borderId="0" xfId="0" applyNumberFormat="1"/>
    <xf numFmtId="0" fontId="0" fillId="0" borderId="0" xfId="0" applyAlignment="1">
      <alignment horizontal="center"/>
    </xf>
    <xf numFmtId="0" fontId="16" fillId="36" borderId="26" xfId="0" applyFont="1" applyFill="1" applyBorder="1"/>
    <xf numFmtId="0" fontId="0" fillId="0" borderId="10" xfId="0" applyBorder="1"/>
    <xf numFmtId="0" fontId="16" fillId="36" borderId="10" xfId="0" applyFont="1" applyFill="1" applyBorder="1"/>
    <xf numFmtId="165" fontId="0" fillId="0" borderId="10" xfId="0" applyNumberFormat="1" applyBorder="1"/>
    <xf numFmtId="10" fontId="0" fillId="0" borderId="10" xfId="0" applyNumberFormat="1" applyBorder="1"/>
    <xf numFmtId="166" fontId="0" fillId="0" borderId="10" xfId="0" applyNumberFormat="1" applyBorder="1"/>
    <xf numFmtId="10" fontId="0" fillId="0" borderId="26" xfId="0" applyNumberFormat="1" applyBorder="1"/>
    <xf numFmtId="1" fontId="0" fillId="0" borderId="10" xfId="0" applyNumberFormat="1" applyBorder="1"/>
    <xf numFmtId="3" fontId="0" fillId="0" borderId="10" xfId="0" applyNumberFormat="1" applyBorder="1"/>
    <xf numFmtId="0" fontId="16" fillId="41" borderId="0" xfId="0" applyFont="1" applyFill="1" applyAlignment="1">
      <alignment horizontal="center"/>
    </xf>
    <xf numFmtId="0" fontId="29" fillId="0" borderId="0" xfId="0" applyFont="1" applyAlignment="1">
      <alignment horizontal="center"/>
    </xf>
    <xf numFmtId="2" fontId="0" fillId="0" borderId="0" xfId="0" applyNumberFormat="1" applyAlignment="1">
      <alignment horizontal="center"/>
    </xf>
    <xf numFmtId="1" fontId="0" fillId="0" borderId="0" xfId="0" applyNumberFormat="1" applyAlignment="1">
      <alignment horizontal="center"/>
    </xf>
    <xf numFmtId="10" fontId="29" fillId="0" borderId="0" xfId="42" applyNumberFormat="1" applyFont="1" applyAlignment="1">
      <alignment horizontal="center"/>
    </xf>
    <xf numFmtId="164" fontId="29" fillId="0" borderId="0" xfId="0" applyNumberFormat="1" applyFont="1" applyAlignment="1">
      <alignment horizontal="center"/>
    </xf>
    <xf numFmtId="1" fontId="29" fillId="0" borderId="0" xfId="0" applyNumberFormat="1" applyFont="1" applyAlignment="1">
      <alignment horizontal="center"/>
    </xf>
    <xf numFmtId="164" fontId="0" fillId="0" borderId="0" xfId="0" applyNumberFormat="1" applyAlignment="1">
      <alignment horizontal="center"/>
    </xf>
    <xf numFmtId="10" fontId="0" fillId="0" borderId="0" xfId="42" applyNumberFormat="1" applyFont="1" applyAlignment="1">
      <alignment horizontal="center"/>
    </xf>
    <xf numFmtId="0" fontId="0" fillId="0" borderId="10" xfId="0" applyBorder="1" applyAlignment="1">
      <alignment horizontal="left" vertical="center"/>
    </xf>
    <xf numFmtId="0" fontId="0" fillId="0" borderId="10" xfId="0" applyBorder="1" applyAlignment="1">
      <alignment horizontal="left"/>
    </xf>
    <xf numFmtId="0" fontId="31" fillId="0" borderId="0" xfId="0" applyFont="1" applyAlignment="1">
      <alignment horizontal="center"/>
    </xf>
    <xf numFmtId="0" fontId="0" fillId="0" borderId="0" xfId="0"/>
    <xf numFmtId="0" fontId="32" fillId="0" borderId="0" xfId="0" applyFont="1" applyAlignment="1">
      <alignment horizontal="center"/>
    </xf>
    <xf numFmtId="0" fontId="33" fillId="0" borderId="0" xfId="0" applyFont="1" applyAlignment="1">
      <alignment horizontal="center"/>
    </xf>
    <xf numFmtId="0" fontId="30" fillId="0" borderId="0" xfId="0" applyFont="1"/>
    <xf numFmtId="0" fontId="0" fillId="43" borderId="0" xfId="0" applyFill="1"/>
    <xf numFmtId="0" fontId="16" fillId="44" borderId="0" xfId="0" applyFont="1" applyFill="1"/>
    <xf numFmtId="0" fontId="0" fillId="39" borderId="0" xfId="0" applyFill="1"/>
    <xf numFmtId="0" fontId="28" fillId="37" borderId="0" xfId="0" applyFont="1" applyFill="1"/>
    <xf numFmtId="0" fontId="16" fillId="42" borderId="0" xfId="0" applyFont="1" applyFill="1"/>
    <xf numFmtId="0" fontId="23" fillId="39" borderId="0" xfId="0" applyFont="1" applyFill="1"/>
    <xf numFmtId="0" fontId="23" fillId="43" borderId="0" xfId="0" applyFont="1" applyFill="1"/>
    <xf numFmtId="0" fontId="25" fillId="34" borderId="0" xfId="0" applyFont="1" applyFill="1" applyAlignment="1">
      <alignment horizontal="center" vertical="center"/>
    </xf>
    <xf numFmtId="0" fontId="26" fillId="40" borderId="0" xfId="0" applyFont="1" applyFill="1" applyAlignment="1">
      <alignment horizontal="center"/>
    </xf>
    <xf numFmtId="0" fontId="27" fillId="0" borderId="0" xfId="0" applyFont="1" applyAlignment="1">
      <alignment horizontal="center"/>
    </xf>
    <xf numFmtId="0" fontId="16" fillId="33" borderId="34" xfId="0" applyFont="1" applyFill="1" applyBorder="1" applyAlignment="1">
      <alignment horizontal="left" vertical="top" wrapText="1"/>
    </xf>
    <xf numFmtId="0" fontId="16" fillId="33" borderId="35" xfId="0" applyFont="1" applyFill="1" applyBorder="1" applyAlignment="1">
      <alignment horizontal="left" vertical="top" wrapText="1"/>
    </xf>
    <xf numFmtId="0" fontId="16" fillId="33" borderId="36" xfId="0" applyFont="1" applyFill="1" applyBorder="1" applyAlignment="1">
      <alignment horizontal="left" vertical="top" wrapText="1"/>
    </xf>
    <xf numFmtId="0" fontId="16" fillId="33" borderId="37" xfId="0" applyFont="1" applyFill="1" applyBorder="1" applyAlignment="1">
      <alignment horizontal="left" vertical="top" wrapText="1"/>
    </xf>
    <xf numFmtId="0" fontId="16" fillId="33" borderId="0" xfId="0" applyFont="1" applyFill="1" applyAlignment="1">
      <alignment horizontal="left" vertical="top" wrapText="1"/>
    </xf>
    <xf numFmtId="0" fontId="16" fillId="33" borderId="38" xfId="0" applyFont="1" applyFill="1" applyBorder="1" applyAlignment="1">
      <alignment horizontal="left" vertical="top" wrapText="1"/>
    </xf>
    <xf numFmtId="0" fontId="16" fillId="33" borderId="11" xfId="0" applyFont="1" applyFill="1" applyBorder="1" applyAlignment="1">
      <alignment horizontal="left" vertical="top" wrapText="1"/>
    </xf>
    <xf numFmtId="0" fontId="16" fillId="33" borderId="39" xfId="0" applyFont="1" applyFill="1" applyBorder="1" applyAlignment="1">
      <alignment horizontal="left" vertical="top" wrapText="1"/>
    </xf>
    <xf numFmtId="0" fontId="16" fillId="33" borderId="40" xfId="0" applyFont="1" applyFill="1" applyBorder="1" applyAlignment="1">
      <alignment horizontal="left" vertical="top" wrapText="1"/>
    </xf>
    <xf numFmtId="0" fontId="0" fillId="33" borderId="10" xfId="0" applyFill="1" applyBorder="1" applyAlignment="1">
      <alignment horizontal="left"/>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1" xfId="0" applyFont="1" applyBorder="1" applyAlignment="1">
      <alignment horizontal="center" vertical="center"/>
    </xf>
    <xf numFmtId="0" fontId="16" fillId="0" borderId="28" xfId="0" applyFont="1" applyBorder="1" applyAlignment="1">
      <alignment horizontal="center" vertical="center"/>
    </xf>
    <xf numFmtId="0" fontId="16" fillId="0" borderId="14"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0" xfId="0" applyFont="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20" xfId="0" applyFont="1" applyBorder="1" applyAlignment="1">
      <alignment horizontal="center" vertical="center"/>
    </xf>
    <xf numFmtId="0" fontId="16" fillId="0" borderId="33" xfId="0" applyFont="1" applyBorder="1" applyAlignment="1">
      <alignment horizontal="center" vertical="center"/>
    </xf>
    <xf numFmtId="0" fontId="34" fillId="45" borderId="10" xfId="0" applyFont="1" applyFill="1" applyBorder="1" applyAlignment="1">
      <alignment horizontal="left"/>
    </xf>
    <xf numFmtId="0" fontId="18" fillId="33" borderId="28"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29" xfId="0" applyFont="1" applyFill="1" applyBorder="1" applyAlignment="1">
      <alignment horizontal="center" vertical="center"/>
    </xf>
    <xf numFmtId="0" fontId="18" fillId="33" borderId="30" xfId="0" applyFont="1" applyFill="1" applyBorder="1" applyAlignment="1">
      <alignment horizontal="center" vertical="center"/>
    </xf>
    <xf numFmtId="0" fontId="18" fillId="33" borderId="0" xfId="0" applyFont="1" applyFill="1" applyAlignment="1">
      <alignment horizontal="center" vertical="center"/>
    </xf>
    <xf numFmtId="0" fontId="18" fillId="33" borderId="31" xfId="0" applyFont="1" applyFill="1" applyBorder="1" applyAlignment="1">
      <alignment horizontal="center" vertical="center"/>
    </xf>
    <xf numFmtId="0" fontId="18" fillId="33" borderId="32" xfId="0" applyFont="1" applyFill="1" applyBorder="1" applyAlignment="1">
      <alignment horizontal="center" vertical="center"/>
    </xf>
    <xf numFmtId="0" fontId="18" fillId="33" borderId="20" xfId="0" applyFont="1" applyFill="1" applyBorder="1" applyAlignment="1">
      <alignment horizontal="center" vertical="center"/>
    </xf>
    <xf numFmtId="0" fontId="18" fillId="33" borderId="33" xfId="0" applyFont="1" applyFill="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16" xfId="0" applyFont="1" applyBorder="1" applyAlignment="1">
      <alignment horizontal="center" vertical="center"/>
    </xf>
    <xf numFmtId="0" fontId="20" fillId="0" borderId="10"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21" xfId="0" applyFont="1" applyBorder="1" applyAlignment="1">
      <alignment horizontal="center" vertical="center"/>
    </xf>
    <xf numFmtId="7" fontId="20" fillId="0" borderId="30" xfId="0" applyNumberFormat="1" applyFont="1" applyBorder="1" applyAlignment="1">
      <alignment horizontal="center" vertical="center"/>
    </xf>
    <xf numFmtId="7" fontId="20" fillId="0" borderId="0" xfId="0" applyNumberFormat="1" applyFont="1" applyAlignment="1">
      <alignment horizontal="center" vertical="center"/>
    </xf>
    <xf numFmtId="7" fontId="20" fillId="0" borderId="31" xfId="0" applyNumberFormat="1" applyFont="1" applyBorder="1" applyAlignment="1">
      <alignment horizontal="center" vertical="center"/>
    </xf>
    <xf numFmtId="7" fontId="20" fillId="0" borderId="32" xfId="0" applyNumberFormat="1" applyFont="1" applyBorder="1" applyAlignment="1">
      <alignment horizontal="center" vertical="center"/>
    </xf>
    <xf numFmtId="7" fontId="20" fillId="0" borderId="20" xfId="0" applyNumberFormat="1" applyFont="1" applyBorder="1" applyAlignment="1">
      <alignment horizontal="center" vertical="center"/>
    </xf>
    <xf numFmtId="7" fontId="20" fillId="0" borderId="33" xfId="0" applyNumberFormat="1" applyFont="1" applyBorder="1" applyAlignment="1">
      <alignment horizontal="center" vertical="center"/>
    </xf>
    <xf numFmtId="10" fontId="20" fillId="0" borderId="0" xfId="42" applyNumberFormat="1" applyFont="1" applyBorder="1" applyAlignment="1">
      <alignment horizontal="center" vertical="center"/>
    </xf>
    <xf numFmtId="10" fontId="20" fillId="0" borderId="20" xfId="42" applyNumberFormat="1" applyFont="1" applyBorder="1" applyAlignment="1">
      <alignment horizontal="center" vertical="center"/>
    </xf>
    <xf numFmtId="164" fontId="20" fillId="0" borderId="30" xfId="0" applyNumberFormat="1" applyFont="1" applyBorder="1" applyAlignment="1">
      <alignment horizontal="center" vertical="center"/>
    </xf>
    <xf numFmtId="164" fontId="20" fillId="0" borderId="0" xfId="0" applyNumberFormat="1" applyFont="1" applyAlignment="1">
      <alignment horizontal="center" vertical="center"/>
    </xf>
    <xf numFmtId="164" fontId="20" fillId="0" borderId="31" xfId="0" applyNumberFormat="1" applyFont="1" applyBorder="1" applyAlignment="1">
      <alignment horizontal="center" vertical="center"/>
    </xf>
    <xf numFmtId="164" fontId="20" fillId="0" borderId="32" xfId="0" applyNumberFormat="1" applyFont="1" applyBorder="1" applyAlignment="1">
      <alignment horizontal="center" vertical="center"/>
    </xf>
    <xf numFmtId="164" fontId="20" fillId="0" borderId="20" xfId="0" applyNumberFormat="1" applyFont="1" applyBorder="1" applyAlignment="1">
      <alignment horizontal="center" vertical="center"/>
    </xf>
    <xf numFmtId="164" fontId="20" fillId="0" borderId="33" xfId="0" applyNumberFormat="1" applyFont="1" applyBorder="1" applyAlignment="1">
      <alignment horizontal="center" vertical="center"/>
    </xf>
    <xf numFmtId="1" fontId="20" fillId="0" borderId="22" xfId="0" applyNumberFormat="1" applyFont="1" applyBorder="1" applyAlignment="1">
      <alignment horizontal="center" vertical="center"/>
    </xf>
    <xf numFmtId="1" fontId="20" fillId="0" borderId="23" xfId="0" applyNumberFormat="1" applyFont="1" applyBorder="1" applyAlignment="1">
      <alignment horizontal="center" vertical="center"/>
    </xf>
    <xf numFmtId="1" fontId="20" fillId="0" borderId="24" xfId="0" applyNumberFormat="1" applyFont="1" applyBorder="1" applyAlignment="1">
      <alignment horizontal="center" vertical="center"/>
    </xf>
    <xf numFmtId="1" fontId="20" fillId="0" borderId="16" xfId="0" applyNumberFormat="1" applyFont="1" applyBorder="1" applyAlignment="1">
      <alignment horizontal="center" vertical="center"/>
    </xf>
    <xf numFmtId="1" fontId="20" fillId="0" borderId="10" xfId="0" applyNumberFormat="1" applyFont="1" applyBorder="1" applyAlignment="1">
      <alignment horizontal="center" vertical="center"/>
    </xf>
    <xf numFmtId="1" fontId="20" fillId="0" borderId="17" xfId="0" applyNumberFormat="1" applyFont="1" applyBorder="1" applyAlignment="1">
      <alignment horizontal="center" vertical="center"/>
    </xf>
    <xf numFmtId="1" fontId="20" fillId="0" borderId="18" xfId="0" applyNumberFormat="1" applyFont="1" applyBorder="1" applyAlignment="1">
      <alignment horizontal="center" vertical="center"/>
    </xf>
    <xf numFmtId="1" fontId="20" fillId="0" borderId="19" xfId="0" applyNumberFormat="1" applyFont="1" applyBorder="1" applyAlignment="1">
      <alignment horizontal="center" vertical="center"/>
    </xf>
    <xf numFmtId="1" fontId="20" fillId="0" borderId="21" xfId="0" applyNumberFormat="1"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27" xfId="0" applyFont="1" applyBorder="1" applyAlignment="1">
      <alignment horizontal="center" vertical="center"/>
    </xf>
    <xf numFmtId="0" fontId="20" fillId="0" borderId="11" xfId="0" applyFont="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1" fillId="34" borderId="0" xfId="0" applyFont="1" applyFill="1" applyAlignment="1">
      <alignment horizontal="center"/>
    </xf>
    <xf numFmtId="0" fontId="22" fillId="35" borderId="10" xfId="0" applyFont="1" applyFill="1" applyBorder="1"/>
    <xf numFmtId="0" fontId="0" fillId="0" borderId="10" xfId="0" applyBorder="1"/>
    <xf numFmtId="0" fontId="0" fillId="0" borderId="26" xfId="0" applyBorder="1"/>
    <xf numFmtId="0" fontId="22" fillId="37" borderId="10" xfId="0" applyFont="1" applyFill="1" applyBorder="1"/>
    <xf numFmtId="0" fontId="24" fillId="38"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'Property Dataset  '!$E$2:$E$1001</c:f>
              <c:numCache>
                <c:formatCode>General</c:formatCode>
                <c:ptCount val="1000"/>
                <c:pt idx="0">
                  <c:v>1526</c:v>
                </c:pt>
                <c:pt idx="1">
                  <c:v>424</c:v>
                </c:pt>
                <c:pt idx="2">
                  <c:v>1333</c:v>
                </c:pt>
                <c:pt idx="3">
                  <c:v>4121</c:v>
                </c:pt>
                <c:pt idx="4">
                  <c:v>4020</c:v>
                </c:pt>
                <c:pt idx="5">
                  <c:v>2599</c:v>
                </c:pt>
                <c:pt idx="6">
                  <c:v>3004</c:v>
                </c:pt>
                <c:pt idx="7">
                  <c:v>3661</c:v>
                </c:pt>
                <c:pt idx="8">
                  <c:v>1337</c:v>
                </c:pt>
                <c:pt idx="9">
                  <c:v>3234</c:v>
                </c:pt>
                <c:pt idx="10">
                  <c:v>782</c:v>
                </c:pt>
                <c:pt idx="11">
                  <c:v>2772</c:v>
                </c:pt>
                <c:pt idx="12">
                  <c:v>586</c:v>
                </c:pt>
                <c:pt idx="13">
                  <c:v>2667</c:v>
                </c:pt>
                <c:pt idx="14">
                  <c:v>2998</c:v>
                </c:pt>
                <c:pt idx="15">
                  <c:v>5520</c:v>
                </c:pt>
                <c:pt idx="16">
                  <c:v>4704</c:v>
                </c:pt>
                <c:pt idx="17">
                  <c:v>1543</c:v>
                </c:pt>
                <c:pt idx="18">
                  <c:v>2529</c:v>
                </c:pt>
                <c:pt idx="19">
                  <c:v>7042</c:v>
                </c:pt>
                <c:pt idx="20">
                  <c:v>5745</c:v>
                </c:pt>
                <c:pt idx="21">
                  <c:v>836</c:v>
                </c:pt>
                <c:pt idx="22">
                  <c:v>382</c:v>
                </c:pt>
                <c:pt idx="23">
                  <c:v>3722</c:v>
                </c:pt>
                <c:pt idx="24">
                  <c:v>264</c:v>
                </c:pt>
                <c:pt idx="25">
                  <c:v>4580</c:v>
                </c:pt>
                <c:pt idx="26">
                  <c:v>2710</c:v>
                </c:pt>
                <c:pt idx="27">
                  <c:v>9598</c:v>
                </c:pt>
                <c:pt idx="28">
                  <c:v>4022</c:v>
                </c:pt>
                <c:pt idx="29">
                  <c:v>2645</c:v>
                </c:pt>
                <c:pt idx="30">
                  <c:v>6023</c:v>
                </c:pt>
                <c:pt idx="31">
                  <c:v>7888</c:v>
                </c:pt>
                <c:pt idx="32">
                  <c:v>3422</c:v>
                </c:pt>
                <c:pt idx="33">
                  <c:v>560</c:v>
                </c:pt>
                <c:pt idx="34">
                  <c:v>554</c:v>
                </c:pt>
                <c:pt idx="35">
                  <c:v>644</c:v>
                </c:pt>
                <c:pt idx="36">
                  <c:v>3329</c:v>
                </c:pt>
                <c:pt idx="37">
                  <c:v>295</c:v>
                </c:pt>
                <c:pt idx="38">
                  <c:v>312</c:v>
                </c:pt>
                <c:pt idx="39">
                  <c:v>5741</c:v>
                </c:pt>
                <c:pt idx="40">
                  <c:v>6090</c:v>
                </c:pt>
                <c:pt idx="41">
                  <c:v>5719</c:v>
                </c:pt>
                <c:pt idx="42">
                  <c:v>3560</c:v>
                </c:pt>
                <c:pt idx="43">
                  <c:v>2896</c:v>
                </c:pt>
                <c:pt idx="44">
                  <c:v>404</c:v>
                </c:pt>
                <c:pt idx="45">
                  <c:v>2397</c:v>
                </c:pt>
                <c:pt idx="46">
                  <c:v>4794</c:v>
                </c:pt>
                <c:pt idx="47">
                  <c:v>5862</c:v>
                </c:pt>
                <c:pt idx="48">
                  <c:v>6433</c:v>
                </c:pt>
                <c:pt idx="49">
                  <c:v>2262</c:v>
                </c:pt>
                <c:pt idx="50">
                  <c:v>5053</c:v>
                </c:pt>
                <c:pt idx="51">
                  <c:v>7863</c:v>
                </c:pt>
                <c:pt idx="52">
                  <c:v>2538</c:v>
                </c:pt>
                <c:pt idx="53">
                  <c:v>454</c:v>
                </c:pt>
                <c:pt idx="54">
                  <c:v>276</c:v>
                </c:pt>
                <c:pt idx="55">
                  <c:v>8529</c:v>
                </c:pt>
                <c:pt idx="56">
                  <c:v>5031</c:v>
                </c:pt>
                <c:pt idx="57">
                  <c:v>6986</c:v>
                </c:pt>
                <c:pt idx="58">
                  <c:v>6098</c:v>
                </c:pt>
                <c:pt idx="59">
                  <c:v>5569</c:v>
                </c:pt>
                <c:pt idx="60">
                  <c:v>3421</c:v>
                </c:pt>
                <c:pt idx="61">
                  <c:v>269</c:v>
                </c:pt>
                <c:pt idx="62">
                  <c:v>2466</c:v>
                </c:pt>
                <c:pt idx="63">
                  <c:v>4231</c:v>
                </c:pt>
                <c:pt idx="64">
                  <c:v>3754</c:v>
                </c:pt>
                <c:pt idx="65">
                  <c:v>9627</c:v>
                </c:pt>
                <c:pt idx="66">
                  <c:v>6429</c:v>
                </c:pt>
                <c:pt idx="67">
                  <c:v>277</c:v>
                </c:pt>
                <c:pt idx="68">
                  <c:v>2383</c:v>
                </c:pt>
                <c:pt idx="69">
                  <c:v>5890</c:v>
                </c:pt>
                <c:pt idx="70">
                  <c:v>2046</c:v>
                </c:pt>
                <c:pt idx="71">
                  <c:v>6878</c:v>
                </c:pt>
                <c:pt idx="72">
                  <c:v>2138</c:v>
                </c:pt>
                <c:pt idx="73">
                  <c:v>4018</c:v>
                </c:pt>
                <c:pt idx="74">
                  <c:v>3265</c:v>
                </c:pt>
                <c:pt idx="75">
                  <c:v>359</c:v>
                </c:pt>
                <c:pt idx="76">
                  <c:v>4961</c:v>
                </c:pt>
                <c:pt idx="77">
                  <c:v>913</c:v>
                </c:pt>
                <c:pt idx="78">
                  <c:v>4834</c:v>
                </c:pt>
                <c:pt idx="79">
                  <c:v>5168</c:v>
                </c:pt>
                <c:pt idx="80">
                  <c:v>3984</c:v>
                </c:pt>
                <c:pt idx="81">
                  <c:v>2277</c:v>
                </c:pt>
                <c:pt idx="82">
                  <c:v>4166</c:v>
                </c:pt>
                <c:pt idx="83">
                  <c:v>3784</c:v>
                </c:pt>
                <c:pt idx="84">
                  <c:v>7012</c:v>
                </c:pt>
                <c:pt idx="85">
                  <c:v>9345</c:v>
                </c:pt>
                <c:pt idx="86">
                  <c:v>6086</c:v>
                </c:pt>
                <c:pt idx="87">
                  <c:v>9515</c:v>
                </c:pt>
                <c:pt idx="88">
                  <c:v>5221</c:v>
                </c:pt>
                <c:pt idx="89">
                  <c:v>5333</c:v>
                </c:pt>
                <c:pt idx="90">
                  <c:v>4371</c:v>
                </c:pt>
                <c:pt idx="91">
                  <c:v>3825</c:v>
                </c:pt>
                <c:pt idx="92">
                  <c:v>2508</c:v>
                </c:pt>
                <c:pt idx="93">
                  <c:v>6857</c:v>
                </c:pt>
                <c:pt idx="94">
                  <c:v>1241</c:v>
                </c:pt>
                <c:pt idx="95">
                  <c:v>2616</c:v>
                </c:pt>
                <c:pt idx="96">
                  <c:v>4043</c:v>
                </c:pt>
                <c:pt idx="97">
                  <c:v>3688</c:v>
                </c:pt>
                <c:pt idx="98">
                  <c:v>2470</c:v>
                </c:pt>
                <c:pt idx="99">
                  <c:v>344</c:v>
                </c:pt>
                <c:pt idx="100">
                  <c:v>2422</c:v>
                </c:pt>
                <c:pt idx="101">
                  <c:v>5249</c:v>
                </c:pt>
                <c:pt idx="102">
                  <c:v>4812</c:v>
                </c:pt>
                <c:pt idx="103">
                  <c:v>2193</c:v>
                </c:pt>
                <c:pt idx="104">
                  <c:v>6958</c:v>
                </c:pt>
                <c:pt idx="105">
                  <c:v>3974</c:v>
                </c:pt>
                <c:pt idx="106">
                  <c:v>6899</c:v>
                </c:pt>
                <c:pt idx="107">
                  <c:v>3724</c:v>
                </c:pt>
                <c:pt idx="108">
                  <c:v>2451</c:v>
                </c:pt>
                <c:pt idx="109">
                  <c:v>8412</c:v>
                </c:pt>
                <c:pt idx="110">
                  <c:v>479</c:v>
                </c:pt>
                <c:pt idx="111">
                  <c:v>2599</c:v>
                </c:pt>
                <c:pt idx="112">
                  <c:v>4947</c:v>
                </c:pt>
                <c:pt idx="113">
                  <c:v>1966</c:v>
                </c:pt>
                <c:pt idx="114">
                  <c:v>7150</c:v>
                </c:pt>
                <c:pt idx="115">
                  <c:v>1459</c:v>
                </c:pt>
                <c:pt idx="116">
                  <c:v>428</c:v>
                </c:pt>
                <c:pt idx="117">
                  <c:v>3526</c:v>
                </c:pt>
                <c:pt idx="118">
                  <c:v>4247</c:v>
                </c:pt>
                <c:pt idx="119">
                  <c:v>1149</c:v>
                </c:pt>
                <c:pt idx="120">
                  <c:v>5145</c:v>
                </c:pt>
                <c:pt idx="121">
                  <c:v>4674</c:v>
                </c:pt>
                <c:pt idx="122">
                  <c:v>3695</c:v>
                </c:pt>
                <c:pt idx="123">
                  <c:v>4045</c:v>
                </c:pt>
                <c:pt idx="124">
                  <c:v>3020</c:v>
                </c:pt>
                <c:pt idx="125">
                  <c:v>258</c:v>
                </c:pt>
                <c:pt idx="126">
                  <c:v>5516</c:v>
                </c:pt>
                <c:pt idx="127">
                  <c:v>819</c:v>
                </c:pt>
                <c:pt idx="128">
                  <c:v>973</c:v>
                </c:pt>
                <c:pt idx="129">
                  <c:v>4146</c:v>
                </c:pt>
                <c:pt idx="130">
                  <c:v>3553</c:v>
                </c:pt>
                <c:pt idx="131">
                  <c:v>6394</c:v>
                </c:pt>
                <c:pt idx="132">
                  <c:v>3642</c:v>
                </c:pt>
                <c:pt idx="133">
                  <c:v>5012</c:v>
                </c:pt>
                <c:pt idx="134">
                  <c:v>5409</c:v>
                </c:pt>
                <c:pt idx="135">
                  <c:v>1911</c:v>
                </c:pt>
                <c:pt idx="136">
                  <c:v>1772</c:v>
                </c:pt>
                <c:pt idx="137">
                  <c:v>4093</c:v>
                </c:pt>
                <c:pt idx="138">
                  <c:v>6789</c:v>
                </c:pt>
                <c:pt idx="139">
                  <c:v>3330</c:v>
                </c:pt>
                <c:pt idx="140">
                  <c:v>448</c:v>
                </c:pt>
                <c:pt idx="141">
                  <c:v>1088</c:v>
                </c:pt>
                <c:pt idx="142">
                  <c:v>281</c:v>
                </c:pt>
                <c:pt idx="143">
                  <c:v>3945</c:v>
                </c:pt>
                <c:pt idx="144">
                  <c:v>5605</c:v>
                </c:pt>
                <c:pt idx="145">
                  <c:v>4650</c:v>
                </c:pt>
                <c:pt idx="146">
                  <c:v>9672</c:v>
                </c:pt>
                <c:pt idx="147">
                  <c:v>2187</c:v>
                </c:pt>
                <c:pt idx="148">
                  <c:v>301</c:v>
                </c:pt>
                <c:pt idx="149">
                  <c:v>6975</c:v>
                </c:pt>
                <c:pt idx="150">
                  <c:v>328</c:v>
                </c:pt>
                <c:pt idx="151">
                  <c:v>6174</c:v>
                </c:pt>
                <c:pt idx="152">
                  <c:v>517</c:v>
                </c:pt>
                <c:pt idx="153">
                  <c:v>2349</c:v>
                </c:pt>
                <c:pt idx="154">
                  <c:v>7816</c:v>
                </c:pt>
                <c:pt idx="155">
                  <c:v>8577</c:v>
                </c:pt>
                <c:pt idx="156">
                  <c:v>414</c:v>
                </c:pt>
                <c:pt idx="157">
                  <c:v>2270</c:v>
                </c:pt>
                <c:pt idx="158">
                  <c:v>1567</c:v>
                </c:pt>
                <c:pt idx="159">
                  <c:v>9595</c:v>
                </c:pt>
                <c:pt idx="160">
                  <c:v>2632</c:v>
                </c:pt>
                <c:pt idx="161">
                  <c:v>9684</c:v>
                </c:pt>
                <c:pt idx="162">
                  <c:v>3222</c:v>
                </c:pt>
                <c:pt idx="163">
                  <c:v>6748</c:v>
                </c:pt>
                <c:pt idx="164">
                  <c:v>446</c:v>
                </c:pt>
                <c:pt idx="165">
                  <c:v>1621</c:v>
                </c:pt>
                <c:pt idx="166">
                  <c:v>1936</c:v>
                </c:pt>
                <c:pt idx="167">
                  <c:v>5211</c:v>
                </c:pt>
                <c:pt idx="168">
                  <c:v>7066</c:v>
                </c:pt>
                <c:pt idx="169">
                  <c:v>808</c:v>
                </c:pt>
                <c:pt idx="170">
                  <c:v>4838</c:v>
                </c:pt>
                <c:pt idx="171">
                  <c:v>342</c:v>
                </c:pt>
                <c:pt idx="172">
                  <c:v>5947</c:v>
                </c:pt>
                <c:pt idx="173">
                  <c:v>477</c:v>
                </c:pt>
                <c:pt idx="174">
                  <c:v>5722</c:v>
                </c:pt>
                <c:pt idx="175">
                  <c:v>304</c:v>
                </c:pt>
                <c:pt idx="176">
                  <c:v>9031</c:v>
                </c:pt>
                <c:pt idx="177">
                  <c:v>318</c:v>
                </c:pt>
                <c:pt idx="178">
                  <c:v>7674</c:v>
                </c:pt>
                <c:pt idx="179">
                  <c:v>6433</c:v>
                </c:pt>
                <c:pt idx="180">
                  <c:v>1429</c:v>
                </c:pt>
                <c:pt idx="181">
                  <c:v>2032</c:v>
                </c:pt>
                <c:pt idx="182">
                  <c:v>6264</c:v>
                </c:pt>
                <c:pt idx="183">
                  <c:v>4997</c:v>
                </c:pt>
                <c:pt idx="184">
                  <c:v>793</c:v>
                </c:pt>
                <c:pt idx="185">
                  <c:v>1129</c:v>
                </c:pt>
                <c:pt idx="186">
                  <c:v>4723</c:v>
                </c:pt>
                <c:pt idx="187">
                  <c:v>2745</c:v>
                </c:pt>
                <c:pt idx="188">
                  <c:v>1902</c:v>
                </c:pt>
                <c:pt idx="189">
                  <c:v>1682</c:v>
                </c:pt>
                <c:pt idx="190">
                  <c:v>708</c:v>
                </c:pt>
                <c:pt idx="191">
                  <c:v>7030</c:v>
                </c:pt>
                <c:pt idx="192">
                  <c:v>563</c:v>
                </c:pt>
                <c:pt idx="193">
                  <c:v>2631</c:v>
                </c:pt>
                <c:pt idx="194">
                  <c:v>6698</c:v>
                </c:pt>
                <c:pt idx="195">
                  <c:v>4169</c:v>
                </c:pt>
                <c:pt idx="196">
                  <c:v>7913</c:v>
                </c:pt>
                <c:pt idx="197">
                  <c:v>369</c:v>
                </c:pt>
                <c:pt idx="198">
                  <c:v>5257</c:v>
                </c:pt>
                <c:pt idx="199">
                  <c:v>1278</c:v>
                </c:pt>
                <c:pt idx="200">
                  <c:v>5346</c:v>
                </c:pt>
                <c:pt idx="201">
                  <c:v>2711</c:v>
                </c:pt>
                <c:pt idx="202">
                  <c:v>2216</c:v>
                </c:pt>
                <c:pt idx="203">
                  <c:v>598</c:v>
                </c:pt>
                <c:pt idx="204">
                  <c:v>594</c:v>
                </c:pt>
                <c:pt idx="205">
                  <c:v>5916</c:v>
                </c:pt>
                <c:pt idx="206">
                  <c:v>2553</c:v>
                </c:pt>
                <c:pt idx="207">
                  <c:v>6493</c:v>
                </c:pt>
                <c:pt idx="208">
                  <c:v>6549</c:v>
                </c:pt>
                <c:pt idx="209">
                  <c:v>2491</c:v>
                </c:pt>
                <c:pt idx="210">
                  <c:v>6993</c:v>
                </c:pt>
                <c:pt idx="211">
                  <c:v>2797</c:v>
                </c:pt>
                <c:pt idx="212">
                  <c:v>530</c:v>
                </c:pt>
                <c:pt idx="213">
                  <c:v>2832</c:v>
                </c:pt>
                <c:pt idx="214">
                  <c:v>2998</c:v>
                </c:pt>
                <c:pt idx="215">
                  <c:v>2272</c:v>
                </c:pt>
                <c:pt idx="216">
                  <c:v>4372</c:v>
                </c:pt>
                <c:pt idx="217">
                  <c:v>4800</c:v>
                </c:pt>
                <c:pt idx="218">
                  <c:v>2274</c:v>
                </c:pt>
                <c:pt idx="219">
                  <c:v>4952</c:v>
                </c:pt>
                <c:pt idx="220">
                  <c:v>6095</c:v>
                </c:pt>
                <c:pt idx="221">
                  <c:v>1661</c:v>
                </c:pt>
                <c:pt idx="222">
                  <c:v>3359</c:v>
                </c:pt>
                <c:pt idx="223">
                  <c:v>1952</c:v>
                </c:pt>
                <c:pt idx="224">
                  <c:v>453</c:v>
                </c:pt>
                <c:pt idx="225">
                  <c:v>814</c:v>
                </c:pt>
                <c:pt idx="226">
                  <c:v>6373</c:v>
                </c:pt>
                <c:pt idx="227">
                  <c:v>541</c:v>
                </c:pt>
                <c:pt idx="228">
                  <c:v>3133</c:v>
                </c:pt>
                <c:pt idx="229">
                  <c:v>2925</c:v>
                </c:pt>
                <c:pt idx="230">
                  <c:v>478</c:v>
                </c:pt>
                <c:pt idx="231">
                  <c:v>452</c:v>
                </c:pt>
                <c:pt idx="232">
                  <c:v>569</c:v>
                </c:pt>
                <c:pt idx="233">
                  <c:v>1759</c:v>
                </c:pt>
                <c:pt idx="234">
                  <c:v>1991</c:v>
                </c:pt>
                <c:pt idx="235">
                  <c:v>8836</c:v>
                </c:pt>
                <c:pt idx="236">
                  <c:v>3242</c:v>
                </c:pt>
                <c:pt idx="237">
                  <c:v>3131</c:v>
                </c:pt>
                <c:pt idx="238">
                  <c:v>2122</c:v>
                </c:pt>
                <c:pt idx="239">
                  <c:v>320</c:v>
                </c:pt>
                <c:pt idx="240">
                  <c:v>271</c:v>
                </c:pt>
                <c:pt idx="241">
                  <c:v>405</c:v>
                </c:pt>
                <c:pt idx="242">
                  <c:v>5716</c:v>
                </c:pt>
                <c:pt idx="243">
                  <c:v>3816</c:v>
                </c:pt>
                <c:pt idx="244">
                  <c:v>528</c:v>
                </c:pt>
                <c:pt idx="245">
                  <c:v>1650</c:v>
                </c:pt>
                <c:pt idx="246">
                  <c:v>2822</c:v>
                </c:pt>
                <c:pt idx="247">
                  <c:v>3718</c:v>
                </c:pt>
                <c:pt idx="248">
                  <c:v>7040</c:v>
                </c:pt>
                <c:pt idx="249">
                  <c:v>8046</c:v>
                </c:pt>
                <c:pt idx="250">
                  <c:v>4774</c:v>
                </c:pt>
                <c:pt idx="251">
                  <c:v>371</c:v>
                </c:pt>
                <c:pt idx="252">
                  <c:v>5542</c:v>
                </c:pt>
                <c:pt idx="253">
                  <c:v>9276</c:v>
                </c:pt>
                <c:pt idx="254">
                  <c:v>2079</c:v>
                </c:pt>
                <c:pt idx="255">
                  <c:v>8156</c:v>
                </c:pt>
                <c:pt idx="256">
                  <c:v>3177</c:v>
                </c:pt>
                <c:pt idx="257">
                  <c:v>3777</c:v>
                </c:pt>
                <c:pt idx="258">
                  <c:v>2751</c:v>
                </c:pt>
                <c:pt idx="259">
                  <c:v>1000</c:v>
                </c:pt>
                <c:pt idx="260">
                  <c:v>3748</c:v>
                </c:pt>
                <c:pt idx="261">
                  <c:v>434</c:v>
                </c:pt>
                <c:pt idx="262">
                  <c:v>9718</c:v>
                </c:pt>
                <c:pt idx="263">
                  <c:v>2776</c:v>
                </c:pt>
                <c:pt idx="264">
                  <c:v>482</c:v>
                </c:pt>
                <c:pt idx="265">
                  <c:v>919</c:v>
                </c:pt>
                <c:pt idx="266">
                  <c:v>5972</c:v>
                </c:pt>
                <c:pt idx="267">
                  <c:v>5801</c:v>
                </c:pt>
                <c:pt idx="268">
                  <c:v>4958</c:v>
                </c:pt>
                <c:pt idx="269">
                  <c:v>678</c:v>
                </c:pt>
                <c:pt idx="270">
                  <c:v>586</c:v>
                </c:pt>
                <c:pt idx="271">
                  <c:v>420</c:v>
                </c:pt>
                <c:pt idx="272">
                  <c:v>688</c:v>
                </c:pt>
                <c:pt idx="273">
                  <c:v>1974</c:v>
                </c:pt>
                <c:pt idx="274">
                  <c:v>2983</c:v>
                </c:pt>
                <c:pt idx="275">
                  <c:v>2060</c:v>
                </c:pt>
                <c:pt idx="276">
                  <c:v>4398</c:v>
                </c:pt>
                <c:pt idx="277">
                  <c:v>4748</c:v>
                </c:pt>
                <c:pt idx="278">
                  <c:v>2730</c:v>
                </c:pt>
                <c:pt idx="279">
                  <c:v>4930</c:v>
                </c:pt>
                <c:pt idx="280">
                  <c:v>621</c:v>
                </c:pt>
                <c:pt idx="281">
                  <c:v>2442</c:v>
                </c:pt>
                <c:pt idx="282">
                  <c:v>349</c:v>
                </c:pt>
                <c:pt idx="283">
                  <c:v>7007</c:v>
                </c:pt>
                <c:pt idx="284">
                  <c:v>2143</c:v>
                </c:pt>
                <c:pt idx="285">
                  <c:v>3199</c:v>
                </c:pt>
                <c:pt idx="286">
                  <c:v>7443</c:v>
                </c:pt>
                <c:pt idx="287">
                  <c:v>3930</c:v>
                </c:pt>
                <c:pt idx="288">
                  <c:v>1171</c:v>
                </c:pt>
                <c:pt idx="289">
                  <c:v>580</c:v>
                </c:pt>
                <c:pt idx="290">
                  <c:v>2203</c:v>
                </c:pt>
                <c:pt idx="291">
                  <c:v>3853</c:v>
                </c:pt>
                <c:pt idx="292">
                  <c:v>2637</c:v>
                </c:pt>
                <c:pt idx="293">
                  <c:v>1725</c:v>
                </c:pt>
                <c:pt idx="294">
                  <c:v>3081</c:v>
                </c:pt>
                <c:pt idx="295">
                  <c:v>3444</c:v>
                </c:pt>
                <c:pt idx="296">
                  <c:v>536</c:v>
                </c:pt>
                <c:pt idx="297">
                  <c:v>3880</c:v>
                </c:pt>
                <c:pt idx="298">
                  <c:v>1699</c:v>
                </c:pt>
                <c:pt idx="299">
                  <c:v>3027</c:v>
                </c:pt>
                <c:pt idx="300">
                  <c:v>2142</c:v>
                </c:pt>
                <c:pt idx="301">
                  <c:v>2140</c:v>
                </c:pt>
                <c:pt idx="302">
                  <c:v>1619</c:v>
                </c:pt>
                <c:pt idx="303">
                  <c:v>437</c:v>
                </c:pt>
                <c:pt idx="304">
                  <c:v>3782</c:v>
                </c:pt>
                <c:pt idx="305">
                  <c:v>2023</c:v>
                </c:pt>
                <c:pt idx="306">
                  <c:v>7863</c:v>
                </c:pt>
                <c:pt idx="307">
                  <c:v>5134</c:v>
                </c:pt>
                <c:pt idx="308">
                  <c:v>411</c:v>
                </c:pt>
                <c:pt idx="309">
                  <c:v>3456</c:v>
                </c:pt>
                <c:pt idx="310">
                  <c:v>1731</c:v>
                </c:pt>
                <c:pt idx="311">
                  <c:v>3047</c:v>
                </c:pt>
                <c:pt idx="312">
                  <c:v>4753</c:v>
                </c:pt>
                <c:pt idx="313">
                  <c:v>3567</c:v>
                </c:pt>
                <c:pt idx="314">
                  <c:v>2539</c:v>
                </c:pt>
                <c:pt idx="315">
                  <c:v>5324</c:v>
                </c:pt>
                <c:pt idx="316">
                  <c:v>4441</c:v>
                </c:pt>
                <c:pt idx="317">
                  <c:v>6913</c:v>
                </c:pt>
                <c:pt idx="318">
                  <c:v>599</c:v>
                </c:pt>
                <c:pt idx="319">
                  <c:v>4826</c:v>
                </c:pt>
                <c:pt idx="320">
                  <c:v>461</c:v>
                </c:pt>
                <c:pt idx="321">
                  <c:v>7147</c:v>
                </c:pt>
                <c:pt idx="322">
                  <c:v>438</c:v>
                </c:pt>
                <c:pt idx="323">
                  <c:v>2196</c:v>
                </c:pt>
                <c:pt idx="324">
                  <c:v>1588</c:v>
                </c:pt>
                <c:pt idx="325">
                  <c:v>613</c:v>
                </c:pt>
                <c:pt idx="326">
                  <c:v>3417</c:v>
                </c:pt>
                <c:pt idx="327">
                  <c:v>327</c:v>
                </c:pt>
                <c:pt idx="328">
                  <c:v>3012</c:v>
                </c:pt>
                <c:pt idx="329">
                  <c:v>4290</c:v>
                </c:pt>
                <c:pt idx="330">
                  <c:v>4769</c:v>
                </c:pt>
                <c:pt idx="331">
                  <c:v>4075</c:v>
                </c:pt>
                <c:pt idx="332">
                  <c:v>5799</c:v>
                </c:pt>
                <c:pt idx="333">
                  <c:v>6480</c:v>
                </c:pt>
                <c:pt idx="334">
                  <c:v>3516</c:v>
                </c:pt>
                <c:pt idx="335">
                  <c:v>2113</c:v>
                </c:pt>
                <c:pt idx="336">
                  <c:v>261</c:v>
                </c:pt>
                <c:pt idx="337">
                  <c:v>7881</c:v>
                </c:pt>
                <c:pt idx="338">
                  <c:v>260</c:v>
                </c:pt>
                <c:pt idx="339">
                  <c:v>4760</c:v>
                </c:pt>
                <c:pt idx="340">
                  <c:v>4272</c:v>
                </c:pt>
                <c:pt idx="341">
                  <c:v>484</c:v>
                </c:pt>
                <c:pt idx="342">
                  <c:v>1226</c:v>
                </c:pt>
                <c:pt idx="343">
                  <c:v>461</c:v>
                </c:pt>
                <c:pt idx="344">
                  <c:v>5493</c:v>
                </c:pt>
                <c:pt idx="345">
                  <c:v>2601</c:v>
                </c:pt>
                <c:pt idx="346">
                  <c:v>2563</c:v>
                </c:pt>
                <c:pt idx="347">
                  <c:v>8508</c:v>
                </c:pt>
                <c:pt idx="348">
                  <c:v>6299</c:v>
                </c:pt>
                <c:pt idx="349">
                  <c:v>492</c:v>
                </c:pt>
                <c:pt idx="350">
                  <c:v>1649</c:v>
                </c:pt>
                <c:pt idx="351">
                  <c:v>1865</c:v>
                </c:pt>
                <c:pt idx="352">
                  <c:v>9206</c:v>
                </c:pt>
                <c:pt idx="353">
                  <c:v>3290</c:v>
                </c:pt>
                <c:pt idx="354">
                  <c:v>3097</c:v>
                </c:pt>
                <c:pt idx="355">
                  <c:v>6334</c:v>
                </c:pt>
                <c:pt idx="356">
                  <c:v>6403</c:v>
                </c:pt>
                <c:pt idx="357">
                  <c:v>7612</c:v>
                </c:pt>
                <c:pt idx="358">
                  <c:v>5690</c:v>
                </c:pt>
                <c:pt idx="359">
                  <c:v>1845</c:v>
                </c:pt>
                <c:pt idx="360">
                  <c:v>1650</c:v>
                </c:pt>
                <c:pt idx="361">
                  <c:v>4867</c:v>
                </c:pt>
                <c:pt idx="362">
                  <c:v>1538</c:v>
                </c:pt>
                <c:pt idx="363">
                  <c:v>514</c:v>
                </c:pt>
                <c:pt idx="364">
                  <c:v>546</c:v>
                </c:pt>
                <c:pt idx="365">
                  <c:v>299</c:v>
                </c:pt>
                <c:pt idx="366">
                  <c:v>2828</c:v>
                </c:pt>
                <c:pt idx="367">
                  <c:v>3971</c:v>
                </c:pt>
                <c:pt idx="368">
                  <c:v>489</c:v>
                </c:pt>
                <c:pt idx="369">
                  <c:v>355</c:v>
                </c:pt>
                <c:pt idx="370">
                  <c:v>3793</c:v>
                </c:pt>
                <c:pt idx="371">
                  <c:v>6316</c:v>
                </c:pt>
                <c:pt idx="372">
                  <c:v>2978</c:v>
                </c:pt>
                <c:pt idx="373">
                  <c:v>8689</c:v>
                </c:pt>
                <c:pt idx="374">
                  <c:v>3320</c:v>
                </c:pt>
                <c:pt idx="375">
                  <c:v>1870</c:v>
                </c:pt>
                <c:pt idx="376">
                  <c:v>7866</c:v>
                </c:pt>
                <c:pt idx="377">
                  <c:v>4743</c:v>
                </c:pt>
                <c:pt idx="378">
                  <c:v>456</c:v>
                </c:pt>
                <c:pt idx="379">
                  <c:v>346</c:v>
                </c:pt>
                <c:pt idx="380">
                  <c:v>2262</c:v>
                </c:pt>
                <c:pt idx="381">
                  <c:v>331</c:v>
                </c:pt>
                <c:pt idx="382">
                  <c:v>3101</c:v>
                </c:pt>
                <c:pt idx="383">
                  <c:v>3993</c:v>
                </c:pt>
                <c:pt idx="384">
                  <c:v>1426</c:v>
                </c:pt>
                <c:pt idx="385">
                  <c:v>1519</c:v>
                </c:pt>
                <c:pt idx="386">
                  <c:v>1945</c:v>
                </c:pt>
                <c:pt idx="387">
                  <c:v>1739</c:v>
                </c:pt>
                <c:pt idx="388">
                  <c:v>4162</c:v>
                </c:pt>
                <c:pt idx="389">
                  <c:v>4987</c:v>
                </c:pt>
                <c:pt idx="390">
                  <c:v>963</c:v>
                </c:pt>
                <c:pt idx="391">
                  <c:v>1338</c:v>
                </c:pt>
                <c:pt idx="392">
                  <c:v>3672</c:v>
                </c:pt>
                <c:pt idx="393">
                  <c:v>3131</c:v>
                </c:pt>
                <c:pt idx="394">
                  <c:v>395</c:v>
                </c:pt>
                <c:pt idx="395">
                  <c:v>2074</c:v>
                </c:pt>
                <c:pt idx="396">
                  <c:v>598</c:v>
                </c:pt>
                <c:pt idx="397">
                  <c:v>847</c:v>
                </c:pt>
                <c:pt idx="398">
                  <c:v>5985</c:v>
                </c:pt>
                <c:pt idx="399">
                  <c:v>1533</c:v>
                </c:pt>
                <c:pt idx="400">
                  <c:v>3975</c:v>
                </c:pt>
                <c:pt idx="401">
                  <c:v>3351</c:v>
                </c:pt>
                <c:pt idx="402">
                  <c:v>1976</c:v>
                </c:pt>
                <c:pt idx="403">
                  <c:v>3993</c:v>
                </c:pt>
                <c:pt idx="404">
                  <c:v>6718</c:v>
                </c:pt>
                <c:pt idx="405">
                  <c:v>1673</c:v>
                </c:pt>
                <c:pt idx="406">
                  <c:v>7450</c:v>
                </c:pt>
                <c:pt idx="407">
                  <c:v>4838</c:v>
                </c:pt>
                <c:pt idx="408">
                  <c:v>3374</c:v>
                </c:pt>
                <c:pt idx="409">
                  <c:v>2511</c:v>
                </c:pt>
                <c:pt idx="410">
                  <c:v>877</c:v>
                </c:pt>
                <c:pt idx="411">
                  <c:v>4514</c:v>
                </c:pt>
                <c:pt idx="412">
                  <c:v>4689</c:v>
                </c:pt>
                <c:pt idx="413">
                  <c:v>5884</c:v>
                </c:pt>
                <c:pt idx="414">
                  <c:v>288</c:v>
                </c:pt>
                <c:pt idx="415">
                  <c:v>263</c:v>
                </c:pt>
                <c:pt idx="416">
                  <c:v>905</c:v>
                </c:pt>
                <c:pt idx="417">
                  <c:v>1538</c:v>
                </c:pt>
                <c:pt idx="418">
                  <c:v>4500</c:v>
                </c:pt>
                <c:pt idx="419">
                  <c:v>8717</c:v>
                </c:pt>
                <c:pt idx="420">
                  <c:v>1708</c:v>
                </c:pt>
                <c:pt idx="421">
                  <c:v>9764</c:v>
                </c:pt>
                <c:pt idx="422">
                  <c:v>5364</c:v>
                </c:pt>
                <c:pt idx="423">
                  <c:v>252</c:v>
                </c:pt>
                <c:pt idx="424">
                  <c:v>4661</c:v>
                </c:pt>
                <c:pt idx="425">
                  <c:v>292</c:v>
                </c:pt>
                <c:pt idx="426">
                  <c:v>3879</c:v>
                </c:pt>
                <c:pt idx="427">
                  <c:v>2488</c:v>
                </c:pt>
                <c:pt idx="428">
                  <c:v>3825</c:v>
                </c:pt>
                <c:pt idx="429">
                  <c:v>294</c:v>
                </c:pt>
                <c:pt idx="430">
                  <c:v>8829</c:v>
                </c:pt>
                <c:pt idx="431">
                  <c:v>600</c:v>
                </c:pt>
                <c:pt idx="432">
                  <c:v>3761</c:v>
                </c:pt>
                <c:pt idx="433">
                  <c:v>4091</c:v>
                </c:pt>
                <c:pt idx="434">
                  <c:v>7512</c:v>
                </c:pt>
                <c:pt idx="435">
                  <c:v>342</c:v>
                </c:pt>
                <c:pt idx="436">
                  <c:v>455</c:v>
                </c:pt>
                <c:pt idx="437">
                  <c:v>329</c:v>
                </c:pt>
                <c:pt idx="438">
                  <c:v>2414</c:v>
                </c:pt>
                <c:pt idx="439">
                  <c:v>7466</c:v>
                </c:pt>
                <c:pt idx="440">
                  <c:v>284</c:v>
                </c:pt>
                <c:pt idx="441">
                  <c:v>7372</c:v>
                </c:pt>
                <c:pt idx="442">
                  <c:v>323</c:v>
                </c:pt>
                <c:pt idx="443">
                  <c:v>2078</c:v>
                </c:pt>
                <c:pt idx="444">
                  <c:v>2491</c:v>
                </c:pt>
                <c:pt idx="445">
                  <c:v>3735</c:v>
                </c:pt>
                <c:pt idx="446">
                  <c:v>1885</c:v>
                </c:pt>
                <c:pt idx="447">
                  <c:v>1881</c:v>
                </c:pt>
                <c:pt idx="448">
                  <c:v>1588</c:v>
                </c:pt>
                <c:pt idx="449">
                  <c:v>270</c:v>
                </c:pt>
                <c:pt idx="450">
                  <c:v>2558</c:v>
                </c:pt>
                <c:pt idx="451">
                  <c:v>567</c:v>
                </c:pt>
                <c:pt idx="452">
                  <c:v>6670</c:v>
                </c:pt>
                <c:pt idx="453">
                  <c:v>6983</c:v>
                </c:pt>
                <c:pt idx="454">
                  <c:v>388</c:v>
                </c:pt>
                <c:pt idx="455">
                  <c:v>3626</c:v>
                </c:pt>
                <c:pt idx="456">
                  <c:v>325</c:v>
                </c:pt>
                <c:pt idx="457">
                  <c:v>1916</c:v>
                </c:pt>
                <c:pt idx="458">
                  <c:v>7873</c:v>
                </c:pt>
                <c:pt idx="459">
                  <c:v>5724</c:v>
                </c:pt>
                <c:pt idx="460">
                  <c:v>507</c:v>
                </c:pt>
                <c:pt idx="461">
                  <c:v>5583</c:v>
                </c:pt>
                <c:pt idx="462">
                  <c:v>3645</c:v>
                </c:pt>
                <c:pt idx="463">
                  <c:v>854</c:v>
                </c:pt>
                <c:pt idx="464">
                  <c:v>442</c:v>
                </c:pt>
                <c:pt idx="465">
                  <c:v>2595</c:v>
                </c:pt>
                <c:pt idx="466">
                  <c:v>512</c:v>
                </c:pt>
                <c:pt idx="467">
                  <c:v>352</c:v>
                </c:pt>
                <c:pt idx="468">
                  <c:v>2000</c:v>
                </c:pt>
                <c:pt idx="469">
                  <c:v>599</c:v>
                </c:pt>
                <c:pt idx="470">
                  <c:v>3038</c:v>
                </c:pt>
                <c:pt idx="471">
                  <c:v>2011</c:v>
                </c:pt>
                <c:pt idx="472">
                  <c:v>1646</c:v>
                </c:pt>
                <c:pt idx="473">
                  <c:v>2818</c:v>
                </c:pt>
                <c:pt idx="474">
                  <c:v>6837</c:v>
                </c:pt>
                <c:pt idx="475">
                  <c:v>8311</c:v>
                </c:pt>
                <c:pt idx="476">
                  <c:v>507</c:v>
                </c:pt>
                <c:pt idx="477">
                  <c:v>1299</c:v>
                </c:pt>
                <c:pt idx="478">
                  <c:v>3667</c:v>
                </c:pt>
                <c:pt idx="479">
                  <c:v>469</c:v>
                </c:pt>
                <c:pt idx="480">
                  <c:v>1647</c:v>
                </c:pt>
                <c:pt idx="481">
                  <c:v>4926</c:v>
                </c:pt>
                <c:pt idx="482">
                  <c:v>391</c:v>
                </c:pt>
                <c:pt idx="483">
                  <c:v>1607</c:v>
                </c:pt>
                <c:pt idx="484">
                  <c:v>5539</c:v>
                </c:pt>
                <c:pt idx="485">
                  <c:v>2055</c:v>
                </c:pt>
                <c:pt idx="486">
                  <c:v>460</c:v>
                </c:pt>
                <c:pt idx="487">
                  <c:v>515</c:v>
                </c:pt>
                <c:pt idx="488">
                  <c:v>319</c:v>
                </c:pt>
                <c:pt idx="489">
                  <c:v>3157</c:v>
                </c:pt>
                <c:pt idx="490">
                  <c:v>2811</c:v>
                </c:pt>
                <c:pt idx="491">
                  <c:v>484</c:v>
                </c:pt>
                <c:pt idx="492">
                  <c:v>284</c:v>
                </c:pt>
                <c:pt idx="493">
                  <c:v>4612</c:v>
                </c:pt>
                <c:pt idx="494">
                  <c:v>7558</c:v>
                </c:pt>
                <c:pt idx="495">
                  <c:v>7477</c:v>
                </c:pt>
                <c:pt idx="496">
                  <c:v>1913</c:v>
                </c:pt>
                <c:pt idx="497">
                  <c:v>5557</c:v>
                </c:pt>
                <c:pt idx="498">
                  <c:v>8759</c:v>
                </c:pt>
                <c:pt idx="499">
                  <c:v>6107</c:v>
                </c:pt>
                <c:pt idx="500">
                  <c:v>2810</c:v>
                </c:pt>
                <c:pt idx="501">
                  <c:v>712</c:v>
                </c:pt>
                <c:pt idx="502">
                  <c:v>6267</c:v>
                </c:pt>
                <c:pt idx="503">
                  <c:v>5000</c:v>
                </c:pt>
                <c:pt idx="504">
                  <c:v>6555</c:v>
                </c:pt>
                <c:pt idx="505">
                  <c:v>1423</c:v>
                </c:pt>
                <c:pt idx="506">
                  <c:v>1869</c:v>
                </c:pt>
                <c:pt idx="507">
                  <c:v>1353</c:v>
                </c:pt>
                <c:pt idx="508">
                  <c:v>1370</c:v>
                </c:pt>
                <c:pt idx="509">
                  <c:v>2114</c:v>
                </c:pt>
                <c:pt idx="510">
                  <c:v>6869</c:v>
                </c:pt>
                <c:pt idx="511">
                  <c:v>559</c:v>
                </c:pt>
                <c:pt idx="512">
                  <c:v>1083</c:v>
                </c:pt>
                <c:pt idx="513">
                  <c:v>3922</c:v>
                </c:pt>
                <c:pt idx="514">
                  <c:v>340</c:v>
                </c:pt>
                <c:pt idx="515">
                  <c:v>2971</c:v>
                </c:pt>
                <c:pt idx="516">
                  <c:v>2332</c:v>
                </c:pt>
                <c:pt idx="517">
                  <c:v>5747</c:v>
                </c:pt>
                <c:pt idx="518">
                  <c:v>6069</c:v>
                </c:pt>
                <c:pt idx="519">
                  <c:v>4236</c:v>
                </c:pt>
                <c:pt idx="520">
                  <c:v>500</c:v>
                </c:pt>
                <c:pt idx="521">
                  <c:v>4783</c:v>
                </c:pt>
                <c:pt idx="522">
                  <c:v>3286</c:v>
                </c:pt>
                <c:pt idx="523">
                  <c:v>1599</c:v>
                </c:pt>
                <c:pt idx="524">
                  <c:v>349</c:v>
                </c:pt>
                <c:pt idx="525">
                  <c:v>440</c:v>
                </c:pt>
                <c:pt idx="526">
                  <c:v>517</c:v>
                </c:pt>
                <c:pt idx="527">
                  <c:v>3389</c:v>
                </c:pt>
                <c:pt idx="528">
                  <c:v>321</c:v>
                </c:pt>
                <c:pt idx="529">
                  <c:v>4704</c:v>
                </c:pt>
                <c:pt idx="530">
                  <c:v>4851</c:v>
                </c:pt>
                <c:pt idx="531">
                  <c:v>3808</c:v>
                </c:pt>
                <c:pt idx="532">
                  <c:v>961</c:v>
                </c:pt>
                <c:pt idx="533">
                  <c:v>5581</c:v>
                </c:pt>
                <c:pt idx="534">
                  <c:v>1202</c:v>
                </c:pt>
                <c:pt idx="535">
                  <c:v>2623</c:v>
                </c:pt>
                <c:pt idx="536">
                  <c:v>1687</c:v>
                </c:pt>
                <c:pt idx="537">
                  <c:v>4208</c:v>
                </c:pt>
                <c:pt idx="538">
                  <c:v>9849</c:v>
                </c:pt>
                <c:pt idx="539">
                  <c:v>4929</c:v>
                </c:pt>
                <c:pt idx="540">
                  <c:v>431</c:v>
                </c:pt>
                <c:pt idx="541">
                  <c:v>2393</c:v>
                </c:pt>
                <c:pt idx="542">
                  <c:v>421</c:v>
                </c:pt>
                <c:pt idx="543">
                  <c:v>597</c:v>
                </c:pt>
                <c:pt idx="544">
                  <c:v>770</c:v>
                </c:pt>
                <c:pt idx="545">
                  <c:v>1520</c:v>
                </c:pt>
                <c:pt idx="546">
                  <c:v>4857</c:v>
                </c:pt>
                <c:pt idx="547">
                  <c:v>2362</c:v>
                </c:pt>
                <c:pt idx="548">
                  <c:v>2304</c:v>
                </c:pt>
                <c:pt idx="549">
                  <c:v>6054</c:v>
                </c:pt>
                <c:pt idx="550">
                  <c:v>897</c:v>
                </c:pt>
                <c:pt idx="551">
                  <c:v>2840</c:v>
                </c:pt>
                <c:pt idx="552">
                  <c:v>3026</c:v>
                </c:pt>
                <c:pt idx="553">
                  <c:v>9997</c:v>
                </c:pt>
                <c:pt idx="554">
                  <c:v>556</c:v>
                </c:pt>
                <c:pt idx="555">
                  <c:v>2918</c:v>
                </c:pt>
                <c:pt idx="556">
                  <c:v>265</c:v>
                </c:pt>
                <c:pt idx="557">
                  <c:v>2737</c:v>
                </c:pt>
                <c:pt idx="558">
                  <c:v>396</c:v>
                </c:pt>
                <c:pt idx="559">
                  <c:v>2934</c:v>
                </c:pt>
                <c:pt idx="560">
                  <c:v>3435</c:v>
                </c:pt>
                <c:pt idx="561">
                  <c:v>428</c:v>
                </c:pt>
                <c:pt idx="562">
                  <c:v>4150</c:v>
                </c:pt>
                <c:pt idx="563">
                  <c:v>4725</c:v>
                </c:pt>
                <c:pt idx="564">
                  <c:v>7694</c:v>
                </c:pt>
                <c:pt idx="565">
                  <c:v>9984</c:v>
                </c:pt>
                <c:pt idx="566">
                  <c:v>9373</c:v>
                </c:pt>
                <c:pt idx="567">
                  <c:v>1511</c:v>
                </c:pt>
                <c:pt idx="568">
                  <c:v>1749</c:v>
                </c:pt>
                <c:pt idx="569">
                  <c:v>6520</c:v>
                </c:pt>
                <c:pt idx="570">
                  <c:v>5529</c:v>
                </c:pt>
                <c:pt idx="571">
                  <c:v>3555</c:v>
                </c:pt>
                <c:pt idx="572">
                  <c:v>405</c:v>
                </c:pt>
                <c:pt idx="573">
                  <c:v>3708</c:v>
                </c:pt>
                <c:pt idx="574">
                  <c:v>553</c:v>
                </c:pt>
                <c:pt idx="575">
                  <c:v>3232</c:v>
                </c:pt>
                <c:pt idx="576">
                  <c:v>4631</c:v>
                </c:pt>
                <c:pt idx="577">
                  <c:v>2465</c:v>
                </c:pt>
                <c:pt idx="578">
                  <c:v>7328</c:v>
                </c:pt>
                <c:pt idx="579">
                  <c:v>6705</c:v>
                </c:pt>
                <c:pt idx="580">
                  <c:v>4481</c:v>
                </c:pt>
                <c:pt idx="581">
                  <c:v>5117</c:v>
                </c:pt>
                <c:pt idx="582">
                  <c:v>1956</c:v>
                </c:pt>
                <c:pt idx="583">
                  <c:v>1685</c:v>
                </c:pt>
                <c:pt idx="584">
                  <c:v>4990</c:v>
                </c:pt>
                <c:pt idx="585">
                  <c:v>1828</c:v>
                </c:pt>
                <c:pt idx="586">
                  <c:v>5994</c:v>
                </c:pt>
                <c:pt idx="587">
                  <c:v>2846</c:v>
                </c:pt>
                <c:pt idx="588">
                  <c:v>1374</c:v>
                </c:pt>
                <c:pt idx="589">
                  <c:v>5763</c:v>
                </c:pt>
                <c:pt idx="590">
                  <c:v>8838</c:v>
                </c:pt>
                <c:pt idx="591">
                  <c:v>3384</c:v>
                </c:pt>
                <c:pt idx="592">
                  <c:v>3096</c:v>
                </c:pt>
                <c:pt idx="593">
                  <c:v>7292</c:v>
                </c:pt>
                <c:pt idx="594">
                  <c:v>2532</c:v>
                </c:pt>
                <c:pt idx="595">
                  <c:v>399</c:v>
                </c:pt>
                <c:pt idx="596">
                  <c:v>814</c:v>
                </c:pt>
                <c:pt idx="597">
                  <c:v>8510</c:v>
                </c:pt>
                <c:pt idx="598">
                  <c:v>264</c:v>
                </c:pt>
                <c:pt idx="599">
                  <c:v>4024</c:v>
                </c:pt>
                <c:pt idx="600">
                  <c:v>1565</c:v>
                </c:pt>
                <c:pt idx="601">
                  <c:v>303</c:v>
                </c:pt>
                <c:pt idx="602">
                  <c:v>2498</c:v>
                </c:pt>
                <c:pt idx="603">
                  <c:v>5925</c:v>
                </c:pt>
                <c:pt idx="604">
                  <c:v>552</c:v>
                </c:pt>
                <c:pt idx="605">
                  <c:v>470</c:v>
                </c:pt>
                <c:pt idx="606">
                  <c:v>4038</c:v>
                </c:pt>
                <c:pt idx="607">
                  <c:v>3144</c:v>
                </c:pt>
                <c:pt idx="608">
                  <c:v>7615</c:v>
                </c:pt>
                <c:pt idx="609">
                  <c:v>265</c:v>
                </c:pt>
                <c:pt idx="610">
                  <c:v>1785</c:v>
                </c:pt>
                <c:pt idx="611">
                  <c:v>4314</c:v>
                </c:pt>
                <c:pt idx="612">
                  <c:v>2730</c:v>
                </c:pt>
                <c:pt idx="613">
                  <c:v>345</c:v>
                </c:pt>
                <c:pt idx="614">
                  <c:v>3160</c:v>
                </c:pt>
                <c:pt idx="615">
                  <c:v>315</c:v>
                </c:pt>
                <c:pt idx="616">
                  <c:v>353</c:v>
                </c:pt>
                <c:pt idx="617">
                  <c:v>555</c:v>
                </c:pt>
                <c:pt idx="618">
                  <c:v>3507</c:v>
                </c:pt>
                <c:pt idx="619">
                  <c:v>2850</c:v>
                </c:pt>
                <c:pt idx="620">
                  <c:v>480</c:v>
                </c:pt>
                <c:pt idx="621">
                  <c:v>2283</c:v>
                </c:pt>
                <c:pt idx="622">
                  <c:v>6656</c:v>
                </c:pt>
                <c:pt idx="623">
                  <c:v>514</c:v>
                </c:pt>
                <c:pt idx="624">
                  <c:v>5986</c:v>
                </c:pt>
                <c:pt idx="625">
                  <c:v>5584</c:v>
                </c:pt>
                <c:pt idx="626">
                  <c:v>5644</c:v>
                </c:pt>
                <c:pt idx="627">
                  <c:v>3105</c:v>
                </c:pt>
                <c:pt idx="628">
                  <c:v>3192</c:v>
                </c:pt>
                <c:pt idx="629">
                  <c:v>2749</c:v>
                </c:pt>
                <c:pt idx="630">
                  <c:v>4580</c:v>
                </c:pt>
                <c:pt idx="631">
                  <c:v>1797</c:v>
                </c:pt>
                <c:pt idx="632">
                  <c:v>4578</c:v>
                </c:pt>
                <c:pt idx="633">
                  <c:v>4597</c:v>
                </c:pt>
                <c:pt idx="634">
                  <c:v>4502</c:v>
                </c:pt>
                <c:pt idx="635">
                  <c:v>3868</c:v>
                </c:pt>
                <c:pt idx="636">
                  <c:v>5272</c:v>
                </c:pt>
                <c:pt idx="637">
                  <c:v>471</c:v>
                </c:pt>
                <c:pt idx="638">
                  <c:v>563</c:v>
                </c:pt>
                <c:pt idx="639">
                  <c:v>3041</c:v>
                </c:pt>
                <c:pt idx="640">
                  <c:v>4262</c:v>
                </c:pt>
                <c:pt idx="641">
                  <c:v>7956</c:v>
                </c:pt>
                <c:pt idx="642">
                  <c:v>325</c:v>
                </c:pt>
                <c:pt idx="643">
                  <c:v>6908</c:v>
                </c:pt>
                <c:pt idx="644">
                  <c:v>3241</c:v>
                </c:pt>
                <c:pt idx="645">
                  <c:v>1468</c:v>
                </c:pt>
                <c:pt idx="646">
                  <c:v>3516</c:v>
                </c:pt>
                <c:pt idx="647">
                  <c:v>2970</c:v>
                </c:pt>
                <c:pt idx="648">
                  <c:v>570</c:v>
                </c:pt>
                <c:pt idx="649">
                  <c:v>2345</c:v>
                </c:pt>
                <c:pt idx="650">
                  <c:v>445</c:v>
                </c:pt>
                <c:pt idx="651">
                  <c:v>2351</c:v>
                </c:pt>
                <c:pt idx="652">
                  <c:v>488</c:v>
                </c:pt>
                <c:pt idx="653">
                  <c:v>1573</c:v>
                </c:pt>
                <c:pt idx="654">
                  <c:v>7510</c:v>
                </c:pt>
                <c:pt idx="655">
                  <c:v>7678</c:v>
                </c:pt>
                <c:pt idx="656">
                  <c:v>8381</c:v>
                </c:pt>
                <c:pt idx="657">
                  <c:v>5326</c:v>
                </c:pt>
                <c:pt idx="658">
                  <c:v>2353</c:v>
                </c:pt>
                <c:pt idx="659">
                  <c:v>294</c:v>
                </c:pt>
                <c:pt idx="660">
                  <c:v>6861</c:v>
                </c:pt>
                <c:pt idx="661">
                  <c:v>2629</c:v>
                </c:pt>
                <c:pt idx="662">
                  <c:v>6957</c:v>
                </c:pt>
                <c:pt idx="663">
                  <c:v>4992</c:v>
                </c:pt>
                <c:pt idx="664">
                  <c:v>7746</c:v>
                </c:pt>
                <c:pt idx="665">
                  <c:v>1106</c:v>
                </c:pt>
                <c:pt idx="666">
                  <c:v>1188</c:v>
                </c:pt>
                <c:pt idx="667">
                  <c:v>393</c:v>
                </c:pt>
                <c:pt idx="668">
                  <c:v>3682</c:v>
                </c:pt>
                <c:pt idx="669">
                  <c:v>7022</c:v>
                </c:pt>
                <c:pt idx="670">
                  <c:v>6760</c:v>
                </c:pt>
                <c:pt idx="671">
                  <c:v>571</c:v>
                </c:pt>
                <c:pt idx="672">
                  <c:v>354</c:v>
                </c:pt>
                <c:pt idx="673">
                  <c:v>4622</c:v>
                </c:pt>
                <c:pt idx="674">
                  <c:v>1378</c:v>
                </c:pt>
                <c:pt idx="675">
                  <c:v>2819</c:v>
                </c:pt>
                <c:pt idx="676">
                  <c:v>4999</c:v>
                </c:pt>
                <c:pt idx="677">
                  <c:v>7907</c:v>
                </c:pt>
                <c:pt idx="678">
                  <c:v>5570</c:v>
                </c:pt>
                <c:pt idx="679">
                  <c:v>675</c:v>
                </c:pt>
                <c:pt idx="680">
                  <c:v>2396</c:v>
                </c:pt>
                <c:pt idx="681">
                  <c:v>9544</c:v>
                </c:pt>
                <c:pt idx="682">
                  <c:v>445</c:v>
                </c:pt>
                <c:pt idx="683">
                  <c:v>5596</c:v>
                </c:pt>
                <c:pt idx="684">
                  <c:v>2850</c:v>
                </c:pt>
                <c:pt idx="685">
                  <c:v>6041</c:v>
                </c:pt>
                <c:pt idx="686">
                  <c:v>575</c:v>
                </c:pt>
                <c:pt idx="687">
                  <c:v>1069</c:v>
                </c:pt>
                <c:pt idx="688">
                  <c:v>7260</c:v>
                </c:pt>
                <c:pt idx="689">
                  <c:v>328</c:v>
                </c:pt>
                <c:pt idx="690">
                  <c:v>3017</c:v>
                </c:pt>
                <c:pt idx="691">
                  <c:v>6426</c:v>
                </c:pt>
                <c:pt idx="692">
                  <c:v>559</c:v>
                </c:pt>
                <c:pt idx="693">
                  <c:v>3787</c:v>
                </c:pt>
                <c:pt idx="694">
                  <c:v>326</c:v>
                </c:pt>
                <c:pt idx="695">
                  <c:v>8975</c:v>
                </c:pt>
                <c:pt idx="696">
                  <c:v>587</c:v>
                </c:pt>
                <c:pt idx="697">
                  <c:v>4413</c:v>
                </c:pt>
                <c:pt idx="698">
                  <c:v>7482</c:v>
                </c:pt>
                <c:pt idx="699">
                  <c:v>1339</c:v>
                </c:pt>
                <c:pt idx="700">
                  <c:v>2434</c:v>
                </c:pt>
                <c:pt idx="701">
                  <c:v>2192</c:v>
                </c:pt>
                <c:pt idx="702">
                  <c:v>2233</c:v>
                </c:pt>
                <c:pt idx="703">
                  <c:v>9589</c:v>
                </c:pt>
                <c:pt idx="704">
                  <c:v>1328</c:v>
                </c:pt>
                <c:pt idx="705">
                  <c:v>2835</c:v>
                </c:pt>
                <c:pt idx="706">
                  <c:v>2892</c:v>
                </c:pt>
                <c:pt idx="707">
                  <c:v>2803</c:v>
                </c:pt>
                <c:pt idx="708">
                  <c:v>3221</c:v>
                </c:pt>
                <c:pt idx="709">
                  <c:v>8740</c:v>
                </c:pt>
                <c:pt idx="710">
                  <c:v>348</c:v>
                </c:pt>
                <c:pt idx="711">
                  <c:v>3982</c:v>
                </c:pt>
                <c:pt idx="712">
                  <c:v>323</c:v>
                </c:pt>
                <c:pt idx="713">
                  <c:v>1432</c:v>
                </c:pt>
                <c:pt idx="714">
                  <c:v>2741</c:v>
                </c:pt>
                <c:pt idx="715">
                  <c:v>5087</c:v>
                </c:pt>
                <c:pt idx="716">
                  <c:v>4647</c:v>
                </c:pt>
                <c:pt idx="717">
                  <c:v>4006</c:v>
                </c:pt>
                <c:pt idx="718">
                  <c:v>523</c:v>
                </c:pt>
                <c:pt idx="719">
                  <c:v>783</c:v>
                </c:pt>
                <c:pt idx="720">
                  <c:v>2961</c:v>
                </c:pt>
                <c:pt idx="721">
                  <c:v>5003</c:v>
                </c:pt>
                <c:pt idx="722">
                  <c:v>4180</c:v>
                </c:pt>
                <c:pt idx="723">
                  <c:v>1341</c:v>
                </c:pt>
                <c:pt idx="724">
                  <c:v>3748</c:v>
                </c:pt>
                <c:pt idx="725">
                  <c:v>511</c:v>
                </c:pt>
                <c:pt idx="726">
                  <c:v>8288</c:v>
                </c:pt>
                <c:pt idx="727">
                  <c:v>6560</c:v>
                </c:pt>
                <c:pt idx="728">
                  <c:v>4634</c:v>
                </c:pt>
                <c:pt idx="729">
                  <c:v>1496</c:v>
                </c:pt>
                <c:pt idx="730">
                  <c:v>2037</c:v>
                </c:pt>
                <c:pt idx="731">
                  <c:v>2292</c:v>
                </c:pt>
                <c:pt idx="732">
                  <c:v>3184</c:v>
                </c:pt>
                <c:pt idx="733">
                  <c:v>1593</c:v>
                </c:pt>
                <c:pt idx="734">
                  <c:v>2629</c:v>
                </c:pt>
                <c:pt idx="735">
                  <c:v>532</c:v>
                </c:pt>
                <c:pt idx="736">
                  <c:v>385</c:v>
                </c:pt>
                <c:pt idx="737">
                  <c:v>6910</c:v>
                </c:pt>
                <c:pt idx="738">
                  <c:v>1649</c:v>
                </c:pt>
                <c:pt idx="739">
                  <c:v>4664</c:v>
                </c:pt>
                <c:pt idx="740">
                  <c:v>2388</c:v>
                </c:pt>
                <c:pt idx="741">
                  <c:v>4118</c:v>
                </c:pt>
                <c:pt idx="742">
                  <c:v>2255</c:v>
                </c:pt>
                <c:pt idx="743">
                  <c:v>1587</c:v>
                </c:pt>
                <c:pt idx="744">
                  <c:v>2272</c:v>
                </c:pt>
                <c:pt idx="745">
                  <c:v>983</c:v>
                </c:pt>
                <c:pt idx="746">
                  <c:v>3558</c:v>
                </c:pt>
                <c:pt idx="747">
                  <c:v>6557</c:v>
                </c:pt>
                <c:pt idx="748">
                  <c:v>1828</c:v>
                </c:pt>
                <c:pt idx="749">
                  <c:v>3100</c:v>
                </c:pt>
                <c:pt idx="750">
                  <c:v>518</c:v>
                </c:pt>
                <c:pt idx="751">
                  <c:v>721</c:v>
                </c:pt>
                <c:pt idx="752">
                  <c:v>2757</c:v>
                </c:pt>
                <c:pt idx="753">
                  <c:v>523</c:v>
                </c:pt>
                <c:pt idx="754">
                  <c:v>5786</c:v>
                </c:pt>
                <c:pt idx="755">
                  <c:v>2257</c:v>
                </c:pt>
                <c:pt idx="756">
                  <c:v>1560</c:v>
                </c:pt>
                <c:pt idx="757">
                  <c:v>9328</c:v>
                </c:pt>
                <c:pt idx="758">
                  <c:v>3980</c:v>
                </c:pt>
                <c:pt idx="759">
                  <c:v>350</c:v>
                </c:pt>
                <c:pt idx="760">
                  <c:v>4606</c:v>
                </c:pt>
                <c:pt idx="761">
                  <c:v>1087</c:v>
                </c:pt>
                <c:pt idx="762">
                  <c:v>7690</c:v>
                </c:pt>
                <c:pt idx="763">
                  <c:v>3669</c:v>
                </c:pt>
                <c:pt idx="764">
                  <c:v>4072</c:v>
                </c:pt>
                <c:pt idx="765">
                  <c:v>2702</c:v>
                </c:pt>
                <c:pt idx="766">
                  <c:v>2942</c:v>
                </c:pt>
                <c:pt idx="767">
                  <c:v>7315</c:v>
                </c:pt>
                <c:pt idx="768">
                  <c:v>422</c:v>
                </c:pt>
                <c:pt idx="769">
                  <c:v>4513</c:v>
                </c:pt>
                <c:pt idx="770">
                  <c:v>7299</c:v>
                </c:pt>
                <c:pt idx="771">
                  <c:v>2553</c:v>
                </c:pt>
                <c:pt idx="772">
                  <c:v>331</c:v>
                </c:pt>
                <c:pt idx="773">
                  <c:v>8142</c:v>
                </c:pt>
                <c:pt idx="774">
                  <c:v>2518</c:v>
                </c:pt>
                <c:pt idx="775">
                  <c:v>6531</c:v>
                </c:pt>
                <c:pt idx="776">
                  <c:v>2738</c:v>
                </c:pt>
                <c:pt idx="777">
                  <c:v>2066</c:v>
                </c:pt>
                <c:pt idx="778">
                  <c:v>7660</c:v>
                </c:pt>
                <c:pt idx="779">
                  <c:v>2745</c:v>
                </c:pt>
                <c:pt idx="780">
                  <c:v>4177</c:v>
                </c:pt>
                <c:pt idx="781">
                  <c:v>2285</c:v>
                </c:pt>
                <c:pt idx="782">
                  <c:v>9117</c:v>
                </c:pt>
                <c:pt idx="783">
                  <c:v>1565</c:v>
                </c:pt>
                <c:pt idx="784">
                  <c:v>1279</c:v>
                </c:pt>
                <c:pt idx="785">
                  <c:v>1039</c:v>
                </c:pt>
                <c:pt idx="786">
                  <c:v>366</c:v>
                </c:pt>
                <c:pt idx="787">
                  <c:v>3161</c:v>
                </c:pt>
                <c:pt idx="788">
                  <c:v>2673</c:v>
                </c:pt>
                <c:pt idx="789">
                  <c:v>6855</c:v>
                </c:pt>
                <c:pt idx="790">
                  <c:v>2935</c:v>
                </c:pt>
                <c:pt idx="791">
                  <c:v>5600</c:v>
                </c:pt>
                <c:pt idx="792">
                  <c:v>3204</c:v>
                </c:pt>
                <c:pt idx="793">
                  <c:v>1697</c:v>
                </c:pt>
                <c:pt idx="794">
                  <c:v>7559</c:v>
                </c:pt>
                <c:pt idx="795">
                  <c:v>2900</c:v>
                </c:pt>
                <c:pt idx="796">
                  <c:v>1889</c:v>
                </c:pt>
                <c:pt idx="797">
                  <c:v>7203</c:v>
                </c:pt>
                <c:pt idx="798">
                  <c:v>1626</c:v>
                </c:pt>
                <c:pt idx="799">
                  <c:v>2439</c:v>
                </c:pt>
                <c:pt idx="800">
                  <c:v>547</c:v>
                </c:pt>
                <c:pt idx="801">
                  <c:v>5769</c:v>
                </c:pt>
                <c:pt idx="802">
                  <c:v>495</c:v>
                </c:pt>
                <c:pt idx="803">
                  <c:v>5892</c:v>
                </c:pt>
                <c:pt idx="804">
                  <c:v>3797</c:v>
                </c:pt>
                <c:pt idx="805">
                  <c:v>2041</c:v>
                </c:pt>
                <c:pt idx="806">
                  <c:v>6607</c:v>
                </c:pt>
                <c:pt idx="807">
                  <c:v>1838</c:v>
                </c:pt>
                <c:pt idx="808">
                  <c:v>498</c:v>
                </c:pt>
                <c:pt idx="809">
                  <c:v>4732</c:v>
                </c:pt>
                <c:pt idx="810">
                  <c:v>2141</c:v>
                </c:pt>
                <c:pt idx="811">
                  <c:v>332</c:v>
                </c:pt>
                <c:pt idx="812">
                  <c:v>778</c:v>
                </c:pt>
                <c:pt idx="813">
                  <c:v>3327</c:v>
                </c:pt>
                <c:pt idx="814">
                  <c:v>522</c:v>
                </c:pt>
                <c:pt idx="815">
                  <c:v>380</c:v>
                </c:pt>
                <c:pt idx="816">
                  <c:v>7443</c:v>
                </c:pt>
                <c:pt idx="817">
                  <c:v>4427</c:v>
                </c:pt>
                <c:pt idx="818">
                  <c:v>3606</c:v>
                </c:pt>
                <c:pt idx="819">
                  <c:v>3877</c:v>
                </c:pt>
                <c:pt idx="820">
                  <c:v>5926</c:v>
                </c:pt>
                <c:pt idx="821">
                  <c:v>6653</c:v>
                </c:pt>
                <c:pt idx="822">
                  <c:v>658</c:v>
                </c:pt>
                <c:pt idx="823">
                  <c:v>6530</c:v>
                </c:pt>
                <c:pt idx="824">
                  <c:v>2138</c:v>
                </c:pt>
                <c:pt idx="825">
                  <c:v>2009</c:v>
                </c:pt>
                <c:pt idx="826">
                  <c:v>5521</c:v>
                </c:pt>
                <c:pt idx="827">
                  <c:v>4788</c:v>
                </c:pt>
                <c:pt idx="828">
                  <c:v>3047</c:v>
                </c:pt>
                <c:pt idx="829">
                  <c:v>2611</c:v>
                </c:pt>
                <c:pt idx="830">
                  <c:v>2591</c:v>
                </c:pt>
                <c:pt idx="831">
                  <c:v>7768</c:v>
                </c:pt>
                <c:pt idx="832">
                  <c:v>4497</c:v>
                </c:pt>
                <c:pt idx="833">
                  <c:v>305</c:v>
                </c:pt>
                <c:pt idx="834">
                  <c:v>2465</c:v>
                </c:pt>
                <c:pt idx="835">
                  <c:v>4821</c:v>
                </c:pt>
                <c:pt idx="836">
                  <c:v>3495</c:v>
                </c:pt>
                <c:pt idx="837">
                  <c:v>3162</c:v>
                </c:pt>
                <c:pt idx="838">
                  <c:v>5730</c:v>
                </c:pt>
                <c:pt idx="839">
                  <c:v>1125</c:v>
                </c:pt>
                <c:pt idx="840">
                  <c:v>1708</c:v>
                </c:pt>
                <c:pt idx="841">
                  <c:v>8521</c:v>
                </c:pt>
                <c:pt idx="842">
                  <c:v>1278</c:v>
                </c:pt>
                <c:pt idx="843">
                  <c:v>2100</c:v>
                </c:pt>
                <c:pt idx="844">
                  <c:v>384</c:v>
                </c:pt>
                <c:pt idx="845">
                  <c:v>1532</c:v>
                </c:pt>
                <c:pt idx="846">
                  <c:v>3792</c:v>
                </c:pt>
                <c:pt idx="847">
                  <c:v>762</c:v>
                </c:pt>
                <c:pt idx="848">
                  <c:v>9037</c:v>
                </c:pt>
                <c:pt idx="849">
                  <c:v>487</c:v>
                </c:pt>
                <c:pt idx="850">
                  <c:v>3816</c:v>
                </c:pt>
                <c:pt idx="851">
                  <c:v>3364</c:v>
                </c:pt>
                <c:pt idx="852">
                  <c:v>4131</c:v>
                </c:pt>
                <c:pt idx="853">
                  <c:v>7989</c:v>
                </c:pt>
                <c:pt idx="854">
                  <c:v>7697</c:v>
                </c:pt>
                <c:pt idx="855">
                  <c:v>549</c:v>
                </c:pt>
                <c:pt idx="856">
                  <c:v>9727</c:v>
                </c:pt>
                <c:pt idx="857">
                  <c:v>328</c:v>
                </c:pt>
                <c:pt idx="858">
                  <c:v>4151</c:v>
                </c:pt>
                <c:pt idx="859">
                  <c:v>2830</c:v>
                </c:pt>
                <c:pt idx="860">
                  <c:v>4230</c:v>
                </c:pt>
                <c:pt idx="861">
                  <c:v>3412</c:v>
                </c:pt>
                <c:pt idx="862">
                  <c:v>4296</c:v>
                </c:pt>
                <c:pt idx="863">
                  <c:v>4721</c:v>
                </c:pt>
                <c:pt idx="864">
                  <c:v>1484</c:v>
                </c:pt>
                <c:pt idx="865">
                  <c:v>2587</c:v>
                </c:pt>
                <c:pt idx="866">
                  <c:v>274</c:v>
                </c:pt>
                <c:pt idx="867">
                  <c:v>2977</c:v>
                </c:pt>
                <c:pt idx="868">
                  <c:v>2982</c:v>
                </c:pt>
                <c:pt idx="869">
                  <c:v>7905</c:v>
                </c:pt>
                <c:pt idx="870">
                  <c:v>363</c:v>
                </c:pt>
                <c:pt idx="871">
                  <c:v>3637</c:v>
                </c:pt>
                <c:pt idx="872">
                  <c:v>384</c:v>
                </c:pt>
                <c:pt idx="873">
                  <c:v>3794</c:v>
                </c:pt>
                <c:pt idx="874">
                  <c:v>391</c:v>
                </c:pt>
                <c:pt idx="875">
                  <c:v>586</c:v>
                </c:pt>
                <c:pt idx="876">
                  <c:v>2851</c:v>
                </c:pt>
                <c:pt idx="877">
                  <c:v>299</c:v>
                </c:pt>
                <c:pt idx="878">
                  <c:v>501</c:v>
                </c:pt>
                <c:pt idx="879">
                  <c:v>8720</c:v>
                </c:pt>
                <c:pt idx="880">
                  <c:v>1049</c:v>
                </c:pt>
                <c:pt idx="881">
                  <c:v>452</c:v>
                </c:pt>
                <c:pt idx="882">
                  <c:v>4363</c:v>
                </c:pt>
                <c:pt idx="883">
                  <c:v>2405</c:v>
                </c:pt>
                <c:pt idx="884">
                  <c:v>9885</c:v>
                </c:pt>
                <c:pt idx="885">
                  <c:v>5003</c:v>
                </c:pt>
                <c:pt idx="886">
                  <c:v>361</c:v>
                </c:pt>
                <c:pt idx="887">
                  <c:v>439</c:v>
                </c:pt>
                <c:pt idx="888">
                  <c:v>958</c:v>
                </c:pt>
                <c:pt idx="889">
                  <c:v>3763</c:v>
                </c:pt>
                <c:pt idx="890">
                  <c:v>399</c:v>
                </c:pt>
                <c:pt idx="891">
                  <c:v>6661</c:v>
                </c:pt>
                <c:pt idx="892">
                  <c:v>6580</c:v>
                </c:pt>
                <c:pt idx="893">
                  <c:v>1282</c:v>
                </c:pt>
                <c:pt idx="894">
                  <c:v>7996</c:v>
                </c:pt>
                <c:pt idx="895">
                  <c:v>2382</c:v>
                </c:pt>
                <c:pt idx="896">
                  <c:v>6789</c:v>
                </c:pt>
                <c:pt idx="897">
                  <c:v>1136</c:v>
                </c:pt>
                <c:pt idx="898">
                  <c:v>1163</c:v>
                </c:pt>
                <c:pt idx="899">
                  <c:v>2977</c:v>
                </c:pt>
                <c:pt idx="900">
                  <c:v>6722</c:v>
                </c:pt>
                <c:pt idx="901">
                  <c:v>2737</c:v>
                </c:pt>
                <c:pt idx="902">
                  <c:v>8750</c:v>
                </c:pt>
                <c:pt idx="903">
                  <c:v>980</c:v>
                </c:pt>
                <c:pt idx="904">
                  <c:v>7290</c:v>
                </c:pt>
                <c:pt idx="905">
                  <c:v>7378</c:v>
                </c:pt>
                <c:pt idx="906">
                  <c:v>2787</c:v>
                </c:pt>
                <c:pt idx="907">
                  <c:v>576</c:v>
                </c:pt>
                <c:pt idx="908">
                  <c:v>586</c:v>
                </c:pt>
                <c:pt idx="909">
                  <c:v>7866</c:v>
                </c:pt>
                <c:pt idx="910">
                  <c:v>6417</c:v>
                </c:pt>
                <c:pt idx="911">
                  <c:v>3511</c:v>
                </c:pt>
                <c:pt idx="912">
                  <c:v>2471</c:v>
                </c:pt>
                <c:pt idx="913">
                  <c:v>9956</c:v>
                </c:pt>
                <c:pt idx="914">
                  <c:v>3822</c:v>
                </c:pt>
                <c:pt idx="915">
                  <c:v>7534</c:v>
                </c:pt>
                <c:pt idx="916">
                  <c:v>4249</c:v>
                </c:pt>
                <c:pt idx="917">
                  <c:v>9404</c:v>
                </c:pt>
                <c:pt idx="918">
                  <c:v>8160</c:v>
                </c:pt>
                <c:pt idx="919">
                  <c:v>321</c:v>
                </c:pt>
                <c:pt idx="920">
                  <c:v>7514</c:v>
                </c:pt>
                <c:pt idx="921">
                  <c:v>1864</c:v>
                </c:pt>
                <c:pt idx="922">
                  <c:v>862</c:v>
                </c:pt>
                <c:pt idx="923">
                  <c:v>2957</c:v>
                </c:pt>
                <c:pt idx="924">
                  <c:v>405</c:v>
                </c:pt>
                <c:pt idx="925">
                  <c:v>5230</c:v>
                </c:pt>
                <c:pt idx="926">
                  <c:v>3769</c:v>
                </c:pt>
                <c:pt idx="927">
                  <c:v>1887</c:v>
                </c:pt>
                <c:pt idx="928">
                  <c:v>6763</c:v>
                </c:pt>
                <c:pt idx="929">
                  <c:v>6886</c:v>
                </c:pt>
                <c:pt idx="930">
                  <c:v>4682</c:v>
                </c:pt>
                <c:pt idx="931">
                  <c:v>319</c:v>
                </c:pt>
                <c:pt idx="932">
                  <c:v>2613</c:v>
                </c:pt>
                <c:pt idx="933">
                  <c:v>5855</c:v>
                </c:pt>
                <c:pt idx="934">
                  <c:v>2575</c:v>
                </c:pt>
                <c:pt idx="935">
                  <c:v>6995</c:v>
                </c:pt>
                <c:pt idx="936">
                  <c:v>2972</c:v>
                </c:pt>
                <c:pt idx="937">
                  <c:v>1996</c:v>
                </c:pt>
                <c:pt idx="938">
                  <c:v>355</c:v>
                </c:pt>
                <c:pt idx="939">
                  <c:v>3344</c:v>
                </c:pt>
                <c:pt idx="940">
                  <c:v>5743</c:v>
                </c:pt>
                <c:pt idx="941">
                  <c:v>4742</c:v>
                </c:pt>
                <c:pt idx="942">
                  <c:v>4270</c:v>
                </c:pt>
                <c:pt idx="943">
                  <c:v>388</c:v>
                </c:pt>
                <c:pt idx="944">
                  <c:v>7127</c:v>
                </c:pt>
                <c:pt idx="945">
                  <c:v>3923</c:v>
                </c:pt>
                <c:pt idx="946">
                  <c:v>2059</c:v>
                </c:pt>
                <c:pt idx="947">
                  <c:v>1904</c:v>
                </c:pt>
                <c:pt idx="948">
                  <c:v>4749</c:v>
                </c:pt>
                <c:pt idx="949">
                  <c:v>256</c:v>
                </c:pt>
                <c:pt idx="950">
                  <c:v>5564</c:v>
                </c:pt>
                <c:pt idx="951">
                  <c:v>6428</c:v>
                </c:pt>
                <c:pt idx="952">
                  <c:v>253</c:v>
                </c:pt>
                <c:pt idx="953">
                  <c:v>6814</c:v>
                </c:pt>
                <c:pt idx="954">
                  <c:v>558</c:v>
                </c:pt>
                <c:pt idx="955">
                  <c:v>4500</c:v>
                </c:pt>
                <c:pt idx="956">
                  <c:v>3266</c:v>
                </c:pt>
                <c:pt idx="957">
                  <c:v>2465</c:v>
                </c:pt>
                <c:pt idx="958">
                  <c:v>649</c:v>
                </c:pt>
                <c:pt idx="959">
                  <c:v>2774</c:v>
                </c:pt>
                <c:pt idx="960">
                  <c:v>2332</c:v>
                </c:pt>
                <c:pt idx="961">
                  <c:v>8290</c:v>
                </c:pt>
                <c:pt idx="962">
                  <c:v>3156</c:v>
                </c:pt>
                <c:pt idx="963">
                  <c:v>2574</c:v>
                </c:pt>
                <c:pt idx="964">
                  <c:v>4142</c:v>
                </c:pt>
                <c:pt idx="965">
                  <c:v>262</c:v>
                </c:pt>
                <c:pt idx="966">
                  <c:v>3680</c:v>
                </c:pt>
                <c:pt idx="967">
                  <c:v>1763</c:v>
                </c:pt>
                <c:pt idx="968">
                  <c:v>5758</c:v>
                </c:pt>
                <c:pt idx="969">
                  <c:v>9916</c:v>
                </c:pt>
                <c:pt idx="970">
                  <c:v>2613</c:v>
                </c:pt>
                <c:pt idx="971">
                  <c:v>4781</c:v>
                </c:pt>
                <c:pt idx="972">
                  <c:v>7931</c:v>
                </c:pt>
                <c:pt idx="973">
                  <c:v>2240</c:v>
                </c:pt>
                <c:pt idx="974">
                  <c:v>2835</c:v>
                </c:pt>
                <c:pt idx="975">
                  <c:v>329</c:v>
                </c:pt>
                <c:pt idx="976">
                  <c:v>6572</c:v>
                </c:pt>
                <c:pt idx="977">
                  <c:v>9210</c:v>
                </c:pt>
                <c:pt idx="978">
                  <c:v>460</c:v>
                </c:pt>
                <c:pt idx="979">
                  <c:v>260</c:v>
                </c:pt>
                <c:pt idx="980">
                  <c:v>254</c:v>
                </c:pt>
                <c:pt idx="981">
                  <c:v>2193</c:v>
                </c:pt>
                <c:pt idx="982">
                  <c:v>3893</c:v>
                </c:pt>
                <c:pt idx="983">
                  <c:v>2814</c:v>
                </c:pt>
                <c:pt idx="984">
                  <c:v>6783</c:v>
                </c:pt>
                <c:pt idx="985">
                  <c:v>2448</c:v>
                </c:pt>
                <c:pt idx="986">
                  <c:v>593</c:v>
                </c:pt>
                <c:pt idx="987">
                  <c:v>2057</c:v>
                </c:pt>
                <c:pt idx="988">
                  <c:v>560</c:v>
                </c:pt>
                <c:pt idx="989">
                  <c:v>1740</c:v>
                </c:pt>
                <c:pt idx="990">
                  <c:v>2803</c:v>
                </c:pt>
                <c:pt idx="991">
                  <c:v>468</c:v>
                </c:pt>
                <c:pt idx="992">
                  <c:v>1249</c:v>
                </c:pt>
                <c:pt idx="993">
                  <c:v>2658</c:v>
                </c:pt>
                <c:pt idx="994">
                  <c:v>5282</c:v>
                </c:pt>
                <c:pt idx="995">
                  <c:v>6040</c:v>
                </c:pt>
                <c:pt idx="996">
                  <c:v>7007</c:v>
                </c:pt>
                <c:pt idx="997">
                  <c:v>1921</c:v>
                </c:pt>
                <c:pt idx="998">
                  <c:v>4170</c:v>
                </c:pt>
                <c:pt idx="999">
                  <c:v>4412</c:v>
                </c:pt>
              </c:numCache>
            </c:numRef>
          </c:xVal>
          <c:yVal>
            <c:numRef>
              <c:f>'Property Dataset  '!$F$2:$F$1001</c:f>
              <c:numCache>
                <c:formatCode>"₹"\ #,##0.00</c:formatCode>
                <c:ptCount val="1000"/>
                <c:pt idx="0">
                  <c:v>10000000</c:v>
                </c:pt>
                <c:pt idx="1">
                  <c:v>50000000</c:v>
                </c:pt>
                <c:pt idx="2">
                  <c:v>10000000</c:v>
                </c:pt>
                <c:pt idx="3">
                  <c:v>15000000</c:v>
                </c:pt>
                <c:pt idx="4">
                  <c:v>30000000</c:v>
                </c:pt>
                <c:pt idx="5">
                  <c:v>12000000</c:v>
                </c:pt>
                <c:pt idx="6">
                  <c:v>30000000</c:v>
                </c:pt>
                <c:pt idx="7">
                  <c:v>12000000</c:v>
                </c:pt>
                <c:pt idx="8">
                  <c:v>10000000</c:v>
                </c:pt>
                <c:pt idx="9">
                  <c:v>10000000</c:v>
                </c:pt>
                <c:pt idx="10">
                  <c:v>10000000</c:v>
                </c:pt>
                <c:pt idx="11">
                  <c:v>40000000</c:v>
                </c:pt>
                <c:pt idx="12">
                  <c:v>12000000</c:v>
                </c:pt>
                <c:pt idx="13">
                  <c:v>50000000</c:v>
                </c:pt>
                <c:pt idx="14">
                  <c:v>40000000</c:v>
                </c:pt>
                <c:pt idx="15">
                  <c:v>12000000</c:v>
                </c:pt>
                <c:pt idx="16">
                  <c:v>50000000</c:v>
                </c:pt>
                <c:pt idx="17">
                  <c:v>40000000</c:v>
                </c:pt>
                <c:pt idx="18">
                  <c:v>10000000</c:v>
                </c:pt>
                <c:pt idx="19">
                  <c:v>10000000</c:v>
                </c:pt>
                <c:pt idx="20">
                  <c:v>40000000</c:v>
                </c:pt>
                <c:pt idx="21">
                  <c:v>30000000</c:v>
                </c:pt>
                <c:pt idx="22">
                  <c:v>10000000</c:v>
                </c:pt>
                <c:pt idx="23">
                  <c:v>15000000</c:v>
                </c:pt>
                <c:pt idx="24">
                  <c:v>26959771</c:v>
                </c:pt>
                <c:pt idx="25">
                  <c:v>40000000</c:v>
                </c:pt>
                <c:pt idx="26">
                  <c:v>30000000</c:v>
                </c:pt>
                <c:pt idx="27">
                  <c:v>10000000</c:v>
                </c:pt>
                <c:pt idx="28">
                  <c:v>10000000</c:v>
                </c:pt>
                <c:pt idx="29">
                  <c:v>40000000</c:v>
                </c:pt>
                <c:pt idx="30">
                  <c:v>40000000</c:v>
                </c:pt>
                <c:pt idx="31">
                  <c:v>10000000</c:v>
                </c:pt>
                <c:pt idx="32">
                  <c:v>50000000</c:v>
                </c:pt>
                <c:pt idx="33">
                  <c:v>50000000</c:v>
                </c:pt>
                <c:pt idx="34">
                  <c:v>50000000</c:v>
                </c:pt>
                <c:pt idx="35">
                  <c:v>40000000</c:v>
                </c:pt>
                <c:pt idx="36">
                  <c:v>10000000</c:v>
                </c:pt>
                <c:pt idx="37">
                  <c:v>12000000</c:v>
                </c:pt>
                <c:pt idx="38">
                  <c:v>26019572</c:v>
                </c:pt>
                <c:pt idx="39">
                  <c:v>15000000</c:v>
                </c:pt>
                <c:pt idx="40">
                  <c:v>40000000</c:v>
                </c:pt>
                <c:pt idx="41">
                  <c:v>30000000</c:v>
                </c:pt>
                <c:pt idx="42">
                  <c:v>12000000</c:v>
                </c:pt>
                <c:pt idx="43">
                  <c:v>30000000</c:v>
                </c:pt>
                <c:pt idx="44">
                  <c:v>10000000</c:v>
                </c:pt>
                <c:pt idx="45">
                  <c:v>30000000</c:v>
                </c:pt>
                <c:pt idx="46">
                  <c:v>15000000</c:v>
                </c:pt>
                <c:pt idx="47">
                  <c:v>50000000</c:v>
                </c:pt>
                <c:pt idx="48">
                  <c:v>10000000</c:v>
                </c:pt>
                <c:pt idx="49">
                  <c:v>40000000</c:v>
                </c:pt>
                <c:pt idx="50">
                  <c:v>30000000</c:v>
                </c:pt>
                <c:pt idx="51">
                  <c:v>15000000</c:v>
                </c:pt>
                <c:pt idx="52">
                  <c:v>40000000</c:v>
                </c:pt>
                <c:pt idx="53">
                  <c:v>15000000</c:v>
                </c:pt>
                <c:pt idx="54">
                  <c:v>15000000</c:v>
                </c:pt>
                <c:pt idx="55">
                  <c:v>12000000</c:v>
                </c:pt>
                <c:pt idx="56">
                  <c:v>15000000</c:v>
                </c:pt>
                <c:pt idx="57">
                  <c:v>50000000</c:v>
                </c:pt>
                <c:pt idx="58">
                  <c:v>15000000</c:v>
                </c:pt>
                <c:pt idx="59">
                  <c:v>15000000</c:v>
                </c:pt>
                <c:pt idx="60">
                  <c:v>30000000</c:v>
                </c:pt>
                <c:pt idx="61">
                  <c:v>26688946</c:v>
                </c:pt>
                <c:pt idx="62">
                  <c:v>50000000</c:v>
                </c:pt>
                <c:pt idx="63">
                  <c:v>10000000</c:v>
                </c:pt>
                <c:pt idx="64">
                  <c:v>40000000</c:v>
                </c:pt>
                <c:pt idx="65">
                  <c:v>30000000</c:v>
                </c:pt>
                <c:pt idx="66">
                  <c:v>15000000</c:v>
                </c:pt>
                <c:pt idx="67">
                  <c:v>33263634</c:v>
                </c:pt>
                <c:pt idx="68">
                  <c:v>50000000</c:v>
                </c:pt>
                <c:pt idx="69">
                  <c:v>15000000</c:v>
                </c:pt>
                <c:pt idx="70">
                  <c:v>12000000</c:v>
                </c:pt>
                <c:pt idx="71">
                  <c:v>12000000</c:v>
                </c:pt>
                <c:pt idx="72">
                  <c:v>12000000</c:v>
                </c:pt>
                <c:pt idx="73">
                  <c:v>50000000</c:v>
                </c:pt>
                <c:pt idx="74">
                  <c:v>40000000</c:v>
                </c:pt>
                <c:pt idx="75">
                  <c:v>40000000</c:v>
                </c:pt>
                <c:pt idx="76">
                  <c:v>40000000</c:v>
                </c:pt>
                <c:pt idx="77">
                  <c:v>15000000</c:v>
                </c:pt>
                <c:pt idx="78">
                  <c:v>30000000</c:v>
                </c:pt>
                <c:pt idx="79">
                  <c:v>50000000</c:v>
                </c:pt>
                <c:pt idx="80">
                  <c:v>15000000</c:v>
                </c:pt>
                <c:pt idx="81">
                  <c:v>40000000</c:v>
                </c:pt>
                <c:pt idx="82">
                  <c:v>50000000</c:v>
                </c:pt>
                <c:pt idx="83">
                  <c:v>15000000</c:v>
                </c:pt>
                <c:pt idx="84">
                  <c:v>12000000</c:v>
                </c:pt>
                <c:pt idx="85">
                  <c:v>30000000</c:v>
                </c:pt>
                <c:pt idx="86">
                  <c:v>10000000</c:v>
                </c:pt>
                <c:pt idx="87">
                  <c:v>15000000</c:v>
                </c:pt>
                <c:pt idx="88">
                  <c:v>30000000</c:v>
                </c:pt>
                <c:pt idx="89">
                  <c:v>50000000</c:v>
                </c:pt>
                <c:pt idx="90">
                  <c:v>15000000</c:v>
                </c:pt>
                <c:pt idx="91">
                  <c:v>10000000</c:v>
                </c:pt>
                <c:pt idx="92">
                  <c:v>10000000</c:v>
                </c:pt>
                <c:pt idx="93">
                  <c:v>15000000</c:v>
                </c:pt>
                <c:pt idx="94">
                  <c:v>12000000</c:v>
                </c:pt>
                <c:pt idx="95">
                  <c:v>15000000</c:v>
                </c:pt>
                <c:pt idx="96">
                  <c:v>12000000</c:v>
                </c:pt>
                <c:pt idx="97">
                  <c:v>12000000</c:v>
                </c:pt>
                <c:pt idx="98">
                  <c:v>12000000</c:v>
                </c:pt>
                <c:pt idx="99">
                  <c:v>30000000</c:v>
                </c:pt>
                <c:pt idx="100">
                  <c:v>50000000</c:v>
                </c:pt>
                <c:pt idx="101">
                  <c:v>10000000</c:v>
                </c:pt>
                <c:pt idx="102">
                  <c:v>15000000</c:v>
                </c:pt>
                <c:pt idx="103">
                  <c:v>30000000</c:v>
                </c:pt>
                <c:pt idx="104">
                  <c:v>12000000</c:v>
                </c:pt>
                <c:pt idx="105">
                  <c:v>50000000</c:v>
                </c:pt>
                <c:pt idx="106">
                  <c:v>15000000</c:v>
                </c:pt>
                <c:pt idx="107">
                  <c:v>50000000</c:v>
                </c:pt>
                <c:pt idx="108">
                  <c:v>10000000</c:v>
                </c:pt>
                <c:pt idx="109">
                  <c:v>30000000</c:v>
                </c:pt>
                <c:pt idx="110">
                  <c:v>50000000</c:v>
                </c:pt>
                <c:pt idx="111">
                  <c:v>30000000</c:v>
                </c:pt>
                <c:pt idx="112">
                  <c:v>50000000</c:v>
                </c:pt>
                <c:pt idx="113">
                  <c:v>40000000</c:v>
                </c:pt>
                <c:pt idx="114">
                  <c:v>12000000</c:v>
                </c:pt>
                <c:pt idx="115">
                  <c:v>50000000</c:v>
                </c:pt>
                <c:pt idx="116">
                  <c:v>30000000</c:v>
                </c:pt>
                <c:pt idx="117">
                  <c:v>15000000</c:v>
                </c:pt>
                <c:pt idx="118">
                  <c:v>15000000</c:v>
                </c:pt>
                <c:pt idx="119">
                  <c:v>30000000</c:v>
                </c:pt>
                <c:pt idx="120">
                  <c:v>15000000</c:v>
                </c:pt>
                <c:pt idx="121">
                  <c:v>12000000</c:v>
                </c:pt>
                <c:pt idx="122">
                  <c:v>12000000</c:v>
                </c:pt>
                <c:pt idx="123">
                  <c:v>10000000</c:v>
                </c:pt>
                <c:pt idx="124">
                  <c:v>15000000</c:v>
                </c:pt>
                <c:pt idx="125">
                  <c:v>43113726</c:v>
                </c:pt>
                <c:pt idx="126">
                  <c:v>10000000</c:v>
                </c:pt>
                <c:pt idx="127">
                  <c:v>30000000</c:v>
                </c:pt>
                <c:pt idx="128">
                  <c:v>30000000</c:v>
                </c:pt>
                <c:pt idx="129">
                  <c:v>10000000</c:v>
                </c:pt>
                <c:pt idx="130">
                  <c:v>50000000</c:v>
                </c:pt>
                <c:pt idx="131">
                  <c:v>12000000</c:v>
                </c:pt>
                <c:pt idx="132">
                  <c:v>30000000</c:v>
                </c:pt>
                <c:pt idx="133">
                  <c:v>15000000</c:v>
                </c:pt>
                <c:pt idx="134">
                  <c:v>30000000</c:v>
                </c:pt>
                <c:pt idx="135">
                  <c:v>12000000</c:v>
                </c:pt>
                <c:pt idx="136">
                  <c:v>12000000</c:v>
                </c:pt>
                <c:pt idx="137">
                  <c:v>12000000</c:v>
                </c:pt>
                <c:pt idx="138">
                  <c:v>50000000</c:v>
                </c:pt>
                <c:pt idx="139">
                  <c:v>10000000</c:v>
                </c:pt>
                <c:pt idx="140">
                  <c:v>50000000</c:v>
                </c:pt>
                <c:pt idx="141">
                  <c:v>50000000</c:v>
                </c:pt>
                <c:pt idx="142">
                  <c:v>15000000</c:v>
                </c:pt>
                <c:pt idx="143">
                  <c:v>30000000</c:v>
                </c:pt>
                <c:pt idx="144">
                  <c:v>30000000</c:v>
                </c:pt>
                <c:pt idx="145">
                  <c:v>30000000</c:v>
                </c:pt>
                <c:pt idx="146">
                  <c:v>30000000</c:v>
                </c:pt>
                <c:pt idx="147">
                  <c:v>30000000</c:v>
                </c:pt>
                <c:pt idx="148">
                  <c:v>30567155</c:v>
                </c:pt>
                <c:pt idx="149">
                  <c:v>15000000</c:v>
                </c:pt>
                <c:pt idx="150">
                  <c:v>12000000</c:v>
                </c:pt>
                <c:pt idx="151">
                  <c:v>50000000</c:v>
                </c:pt>
                <c:pt idx="152">
                  <c:v>12000000</c:v>
                </c:pt>
                <c:pt idx="153">
                  <c:v>30000000</c:v>
                </c:pt>
                <c:pt idx="154">
                  <c:v>30000000</c:v>
                </c:pt>
                <c:pt idx="155">
                  <c:v>30000000</c:v>
                </c:pt>
                <c:pt idx="156">
                  <c:v>40000000</c:v>
                </c:pt>
                <c:pt idx="157">
                  <c:v>30000000</c:v>
                </c:pt>
                <c:pt idx="158">
                  <c:v>30000000</c:v>
                </c:pt>
                <c:pt idx="159">
                  <c:v>30000000</c:v>
                </c:pt>
                <c:pt idx="160">
                  <c:v>15000000</c:v>
                </c:pt>
                <c:pt idx="161">
                  <c:v>12000000</c:v>
                </c:pt>
                <c:pt idx="162">
                  <c:v>40000000</c:v>
                </c:pt>
                <c:pt idx="163">
                  <c:v>40000000</c:v>
                </c:pt>
                <c:pt idx="164">
                  <c:v>15000000</c:v>
                </c:pt>
                <c:pt idx="165">
                  <c:v>30000000</c:v>
                </c:pt>
                <c:pt idx="166">
                  <c:v>40000000</c:v>
                </c:pt>
                <c:pt idx="167">
                  <c:v>10000000</c:v>
                </c:pt>
                <c:pt idx="168">
                  <c:v>30000000</c:v>
                </c:pt>
                <c:pt idx="169">
                  <c:v>40000000</c:v>
                </c:pt>
                <c:pt idx="170">
                  <c:v>10000000</c:v>
                </c:pt>
                <c:pt idx="171">
                  <c:v>12000000</c:v>
                </c:pt>
                <c:pt idx="172">
                  <c:v>15000000</c:v>
                </c:pt>
                <c:pt idx="173">
                  <c:v>30000000</c:v>
                </c:pt>
                <c:pt idx="174">
                  <c:v>40000000</c:v>
                </c:pt>
                <c:pt idx="175">
                  <c:v>10000000</c:v>
                </c:pt>
                <c:pt idx="176">
                  <c:v>15000000</c:v>
                </c:pt>
                <c:pt idx="177">
                  <c:v>33863478</c:v>
                </c:pt>
                <c:pt idx="178">
                  <c:v>12000000</c:v>
                </c:pt>
                <c:pt idx="179">
                  <c:v>10000000</c:v>
                </c:pt>
                <c:pt idx="180">
                  <c:v>12000000</c:v>
                </c:pt>
                <c:pt idx="181">
                  <c:v>40000000</c:v>
                </c:pt>
                <c:pt idx="182">
                  <c:v>12000000</c:v>
                </c:pt>
                <c:pt idx="183">
                  <c:v>10000000</c:v>
                </c:pt>
                <c:pt idx="184">
                  <c:v>40000000</c:v>
                </c:pt>
                <c:pt idx="185">
                  <c:v>50000000</c:v>
                </c:pt>
                <c:pt idx="186">
                  <c:v>12000000</c:v>
                </c:pt>
                <c:pt idx="187">
                  <c:v>50000000</c:v>
                </c:pt>
                <c:pt idx="188">
                  <c:v>10000000</c:v>
                </c:pt>
                <c:pt idx="189">
                  <c:v>15000000</c:v>
                </c:pt>
                <c:pt idx="190">
                  <c:v>10000000</c:v>
                </c:pt>
                <c:pt idx="191">
                  <c:v>12000000</c:v>
                </c:pt>
                <c:pt idx="192">
                  <c:v>15000000</c:v>
                </c:pt>
                <c:pt idx="193">
                  <c:v>15000000</c:v>
                </c:pt>
                <c:pt idx="194">
                  <c:v>30000000</c:v>
                </c:pt>
                <c:pt idx="195">
                  <c:v>30000000</c:v>
                </c:pt>
                <c:pt idx="196">
                  <c:v>30000000</c:v>
                </c:pt>
                <c:pt idx="197">
                  <c:v>30000000</c:v>
                </c:pt>
                <c:pt idx="198">
                  <c:v>12000000</c:v>
                </c:pt>
                <c:pt idx="199">
                  <c:v>10000000</c:v>
                </c:pt>
                <c:pt idx="200">
                  <c:v>12000000</c:v>
                </c:pt>
                <c:pt idx="201">
                  <c:v>10000000</c:v>
                </c:pt>
                <c:pt idx="202">
                  <c:v>12000000</c:v>
                </c:pt>
                <c:pt idx="203">
                  <c:v>30000000</c:v>
                </c:pt>
                <c:pt idx="204">
                  <c:v>40000000</c:v>
                </c:pt>
                <c:pt idx="205">
                  <c:v>30000000</c:v>
                </c:pt>
                <c:pt idx="206">
                  <c:v>12000000</c:v>
                </c:pt>
                <c:pt idx="207">
                  <c:v>12000000</c:v>
                </c:pt>
                <c:pt idx="208">
                  <c:v>10000000</c:v>
                </c:pt>
                <c:pt idx="209">
                  <c:v>15000000</c:v>
                </c:pt>
                <c:pt idx="210">
                  <c:v>40000000</c:v>
                </c:pt>
                <c:pt idx="211">
                  <c:v>40000000</c:v>
                </c:pt>
                <c:pt idx="212">
                  <c:v>50000000</c:v>
                </c:pt>
                <c:pt idx="213">
                  <c:v>50000000</c:v>
                </c:pt>
                <c:pt idx="214">
                  <c:v>50000000</c:v>
                </c:pt>
                <c:pt idx="215">
                  <c:v>50000000</c:v>
                </c:pt>
                <c:pt idx="216">
                  <c:v>50000000</c:v>
                </c:pt>
                <c:pt idx="217">
                  <c:v>50000000</c:v>
                </c:pt>
                <c:pt idx="218">
                  <c:v>15000000</c:v>
                </c:pt>
                <c:pt idx="219">
                  <c:v>10000000</c:v>
                </c:pt>
                <c:pt idx="220">
                  <c:v>50000000</c:v>
                </c:pt>
                <c:pt idx="221">
                  <c:v>10000000</c:v>
                </c:pt>
                <c:pt idx="222">
                  <c:v>40000000</c:v>
                </c:pt>
                <c:pt idx="223">
                  <c:v>15000000</c:v>
                </c:pt>
                <c:pt idx="224">
                  <c:v>30000000</c:v>
                </c:pt>
                <c:pt idx="225">
                  <c:v>30000000</c:v>
                </c:pt>
                <c:pt idx="226">
                  <c:v>12000000</c:v>
                </c:pt>
                <c:pt idx="227">
                  <c:v>15000000</c:v>
                </c:pt>
                <c:pt idx="228">
                  <c:v>15000000</c:v>
                </c:pt>
                <c:pt idx="229">
                  <c:v>50000000</c:v>
                </c:pt>
                <c:pt idx="230">
                  <c:v>10000000</c:v>
                </c:pt>
                <c:pt idx="231">
                  <c:v>12000000</c:v>
                </c:pt>
                <c:pt idx="232">
                  <c:v>40000000</c:v>
                </c:pt>
                <c:pt idx="233">
                  <c:v>15000000</c:v>
                </c:pt>
                <c:pt idx="234">
                  <c:v>10000000</c:v>
                </c:pt>
                <c:pt idx="235">
                  <c:v>12000000</c:v>
                </c:pt>
                <c:pt idx="236">
                  <c:v>12000000</c:v>
                </c:pt>
                <c:pt idx="237">
                  <c:v>12000000</c:v>
                </c:pt>
                <c:pt idx="238">
                  <c:v>10000000</c:v>
                </c:pt>
                <c:pt idx="239">
                  <c:v>15000000</c:v>
                </c:pt>
                <c:pt idx="240">
                  <c:v>28198675</c:v>
                </c:pt>
                <c:pt idx="241">
                  <c:v>40000000</c:v>
                </c:pt>
                <c:pt idx="242">
                  <c:v>15000000</c:v>
                </c:pt>
                <c:pt idx="243">
                  <c:v>50000000</c:v>
                </c:pt>
                <c:pt idx="244">
                  <c:v>15000000</c:v>
                </c:pt>
                <c:pt idx="245">
                  <c:v>50000000</c:v>
                </c:pt>
                <c:pt idx="246">
                  <c:v>50000000</c:v>
                </c:pt>
                <c:pt idx="247">
                  <c:v>12000000</c:v>
                </c:pt>
                <c:pt idx="248">
                  <c:v>10000000</c:v>
                </c:pt>
                <c:pt idx="249">
                  <c:v>40000000</c:v>
                </c:pt>
                <c:pt idx="250">
                  <c:v>30000000</c:v>
                </c:pt>
                <c:pt idx="251">
                  <c:v>15000000</c:v>
                </c:pt>
                <c:pt idx="252">
                  <c:v>15000000</c:v>
                </c:pt>
                <c:pt idx="253">
                  <c:v>50000000</c:v>
                </c:pt>
                <c:pt idx="254">
                  <c:v>12000000</c:v>
                </c:pt>
                <c:pt idx="255">
                  <c:v>10000000</c:v>
                </c:pt>
                <c:pt idx="256">
                  <c:v>15000000</c:v>
                </c:pt>
                <c:pt idx="257">
                  <c:v>10000000</c:v>
                </c:pt>
                <c:pt idx="258">
                  <c:v>10000000</c:v>
                </c:pt>
                <c:pt idx="259">
                  <c:v>30000000</c:v>
                </c:pt>
                <c:pt idx="260">
                  <c:v>40000000</c:v>
                </c:pt>
                <c:pt idx="261">
                  <c:v>30000000</c:v>
                </c:pt>
                <c:pt idx="262">
                  <c:v>12000000</c:v>
                </c:pt>
                <c:pt idx="263">
                  <c:v>10000000</c:v>
                </c:pt>
                <c:pt idx="264">
                  <c:v>12000000</c:v>
                </c:pt>
                <c:pt idx="265">
                  <c:v>40000000</c:v>
                </c:pt>
                <c:pt idx="266">
                  <c:v>40000000</c:v>
                </c:pt>
                <c:pt idx="267">
                  <c:v>50000000</c:v>
                </c:pt>
                <c:pt idx="268">
                  <c:v>12000000</c:v>
                </c:pt>
                <c:pt idx="269">
                  <c:v>12000000</c:v>
                </c:pt>
                <c:pt idx="270">
                  <c:v>12000000</c:v>
                </c:pt>
                <c:pt idx="271">
                  <c:v>50000000</c:v>
                </c:pt>
                <c:pt idx="272">
                  <c:v>50000000</c:v>
                </c:pt>
                <c:pt idx="273">
                  <c:v>12000000</c:v>
                </c:pt>
                <c:pt idx="274">
                  <c:v>10000000</c:v>
                </c:pt>
                <c:pt idx="275">
                  <c:v>40000000</c:v>
                </c:pt>
                <c:pt idx="276">
                  <c:v>50000000</c:v>
                </c:pt>
                <c:pt idx="277">
                  <c:v>50000000</c:v>
                </c:pt>
                <c:pt idx="278">
                  <c:v>50000000</c:v>
                </c:pt>
                <c:pt idx="279">
                  <c:v>15000000</c:v>
                </c:pt>
                <c:pt idx="280">
                  <c:v>30000000</c:v>
                </c:pt>
                <c:pt idx="281">
                  <c:v>10000000</c:v>
                </c:pt>
                <c:pt idx="282">
                  <c:v>40000000</c:v>
                </c:pt>
                <c:pt idx="283">
                  <c:v>50000000</c:v>
                </c:pt>
                <c:pt idx="284">
                  <c:v>10000000</c:v>
                </c:pt>
                <c:pt idx="285">
                  <c:v>12000000</c:v>
                </c:pt>
                <c:pt idx="286">
                  <c:v>40000000</c:v>
                </c:pt>
                <c:pt idx="287">
                  <c:v>40000000</c:v>
                </c:pt>
                <c:pt idx="288">
                  <c:v>10000000</c:v>
                </c:pt>
                <c:pt idx="289">
                  <c:v>40000000</c:v>
                </c:pt>
                <c:pt idx="290">
                  <c:v>12000000</c:v>
                </c:pt>
                <c:pt idx="291">
                  <c:v>50000000</c:v>
                </c:pt>
                <c:pt idx="292">
                  <c:v>40000000</c:v>
                </c:pt>
                <c:pt idx="293">
                  <c:v>40000000</c:v>
                </c:pt>
                <c:pt idx="294">
                  <c:v>10000000</c:v>
                </c:pt>
                <c:pt idx="295">
                  <c:v>30000000</c:v>
                </c:pt>
                <c:pt idx="296">
                  <c:v>12000000</c:v>
                </c:pt>
                <c:pt idx="297">
                  <c:v>50000000</c:v>
                </c:pt>
                <c:pt idx="298">
                  <c:v>40000000</c:v>
                </c:pt>
                <c:pt idx="299">
                  <c:v>30000000</c:v>
                </c:pt>
                <c:pt idx="300">
                  <c:v>50000000</c:v>
                </c:pt>
                <c:pt idx="301">
                  <c:v>30000000</c:v>
                </c:pt>
                <c:pt idx="302">
                  <c:v>30000000</c:v>
                </c:pt>
                <c:pt idx="303">
                  <c:v>29861449</c:v>
                </c:pt>
                <c:pt idx="304">
                  <c:v>40000000</c:v>
                </c:pt>
                <c:pt idx="305">
                  <c:v>10000000</c:v>
                </c:pt>
                <c:pt idx="306">
                  <c:v>40000000</c:v>
                </c:pt>
                <c:pt idx="307">
                  <c:v>10000000</c:v>
                </c:pt>
                <c:pt idx="308">
                  <c:v>50000000</c:v>
                </c:pt>
                <c:pt idx="309">
                  <c:v>12000000</c:v>
                </c:pt>
                <c:pt idx="310">
                  <c:v>40000000</c:v>
                </c:pt>
                <c:pt idx="311">
                  <c:v>12000000</c:v>
                </c:pt>
                <c:pt idx="312">
                  <c:v>10000000</c:v>
                </c:pt>
                <c:pt idx="313">
                  <c:v>40000000</c:v>
                </c:pt>
                <c:pt idx="314">
                  <c:v>12000000</c:v>
                </c:pt>
                <c:pt idx="315">
                  <c:v>10000000</c:v>
                </c:pt>
                <c:pt idx="316">
                  <c:v>40000000</c:v>
                </c:pt>
                <c:pt idx="317">
                  <c:v>15000000</c:v>
                </c:pt>
                <c:pt idx="318">
                  <c:v>12000000</c:v>
                </c:pt>
                <c:pt idx="319">
                  <c:v>40000000</c:v>
                </c:pt>
                <c:pt idx="320">
                  <c:v>50000000</c:v>
                </c:pt>
                <c:pt idx="321">
                  <c:v>50000000</c:v>
                </c:pt>
                <c:pt idx="322">
                  <c:v>30000000</c:v>
                </c:pt>
                <c:pt idx="323">
                  <c:v>30000000</c:v>
                </c:pt>
                <c:pt idx="324">
                  <c:v>15000000</c:v>
                </c:pt>
                <c:pt idx="325">
                  <c:v>50000000</c:v>
                </c:pt>
                <c:pt idx="326">
                  <c:v>12000000</c:v>
                </c:pt>
                <c:pt idx="327">
                  <c:v>25905850</c:v>
                </c:pt>
                <c:pt idx="328">
                  <c:v>15000000</c:v>
                </c:pt>
                <c:pt idx="329">
                  <c:v>40000000</c:v>
                </c:pt>
                <c:pt idx="330">
                  <c:v>10000000</c:v>
                </c:pt>
                <c:pt idx="331">
                  <c:v>10000000</c:v>
                </c:pt>
                <c:pt idx="332">
                  <c:v>50000000</c:v>
                </c:pt>
                <c:pt idx="333">
                  <c:v>12000000</c:v>
                </c:pt>
                <c:pt idx="334">
                  <c:v>40000000</c:v>
                </c:pt>
                <c:pt idx="335">
                  <c:v>50000000</c:v>
                </c:pt>
                <c:pt idx="336">
                  <c:v>20085307</c:v>
                </c:pt>
                <c:pt idx="337">
                  <c:v>15000000</c:v>
                </c:pt>
                <c:pt idx="338">
                  <c:v>15000000</c:v>
                </c:pt>
                <c:pt idx="339">
                  <c:v>10000000</c:v>
                </c:pt>
                <c:pt idx="340">
                  <c:v>40000000</c:v>
                </c:pt>
                <c:pt idx="341">
                  <c:v>10000000</c:v>
                </c:pt>
                <c:pt idx="342">
                  <c:v>40000000</c:v>
                </c:pt>
                <c:pt idx="343">
                  <c:v>30000000</c:v>
                </c:pt>
                <c:pt idx="344">
                  <c:v>15000000</c:v>
                </c:pt>
                <c:pt idx="345">
                  <c:v>40000000</c:v>
                </c:pt>
                <c:pt idx="346">
                  <c:v>10000000</c:v>
                </c:pt>
                <c:pt idx="347">
                  <c:v>40000000</c:v>
                </c:pt>
                <c:pt idx="348">
                  <c:v>50000000</c:v>
                </c:pt>
                <c:pt idx="349">
                  <c:v>10000000</c:v>
                </c:pt>
                <c:pt idx="350">
                  <c:v>12000000</c:v>
                </c:pt>
                <c:pt idx="351">
                  <c:v>30000000</c:v>
                </c:pt>
                <c:pt idx="352">
                  <c:v>12000000</c:v>
                </c:pt>
                <c:pt idx="353">
                  <c:v>15000000</c:v>
                </c:pt>
                <c:pt idx="354">
                  <c:v>10000000</c:v>
                </c:pt>
                <c:pt idx="355">
                  <c:v>40000000</c:v>
                </c:pt>
                <c:pt idx="356">
                  <c:v>12000000</c:v>
                </c:pt>
                <c:pt idx="357">
                  <c:v>30000000</c:v>
                </c:pt>
                <c:pt idx="358">
                  <c:v>30000000</c:v>
                </c:pt>
                <c:pt idx="359">
                  <c:v>10000000</c:v>
                </c:pt>
                <c:pt idx="360">
                  <c:v>30000000</c:v>
                </c:pt>
                <c:pt idx="361">
                  <c:v>30000000</c:v>
                </c:pt>
                <c:pt idx="362">
                  <c:v>10000000</c:v>
                </c:pt>
                <c:pt idx="363">
                  <c:v>40000000</c:v>
                </c:pt>
                <c:pt idx="364">
                  <c:v>50000000</c:v>
                </c:pt>
                <c:pt idx="365">
                  <c:v>33705310</c:v>
                </c:pt>
                <c:pt idx="366">
                  <c:v>12000000</c:v>
                </c:pt>
                <c:pt idx="367">
                  <c:v>30000000</c:v>
                </c:pt>
                <c:pt idx="368">
                  <c:v>30000000</c:v>
                </c:pt>
                <c:pt idx="369">
                  <c:v>10000000</c:v>
                </c:pt>
                <c:pt idx="370">
                  <c:v>30000000</c:v>
                </c:pt>
                <c:pt idx="371">
                  <c:v>40000000</c:v>
                </c:pt>
                <c:pt idx="372">
                  <c:v>40000000</c:v>
                </c:pt>
                <c:pt idx="373">
                  <c:v>10000000</c:v>
                </c:pt>
                <c:pt idx="374">
                  <c:v>30000000</c:v>
                </c:pt>
                <c:pt idx="375">
                  <c:v>30000000</c:v>
                </c:pt>
                <c:pt idx="376">
                  <c:v>10000000</c:v>
                </c:pt>
                <c:pt idx="377">
                  <c:v>10000000</c:v>
                </c:pt>
                <c:pt idx="378">
                  <c:v>30000000</c:v>
                </c:pt>
                <c:pt idx="379">
                  <c:v>50000000</c:v>
                </c:pt>
                <c:pt idx="380">
                  <c:v>10000000</c:v>
                </c:pt>
                <c:pt idx="381">
                  <c:v>37455633</c:v>
                </c:pt>
                <c:pt idx="382">
                  <c:v>10000000</c:v>
                </c:pt>
                <c:pt idx="383">
                  <c:v>15000000</c:v>
                </c:pt>
                <c:pt idx="384">
                  <c:v>15000000</c:v>
                </c:pt>
                <c:pt idx="385">
                  <c:v>30000000</c:v>
                </c:pt>
                <c:pt idx="386">
                  <c:v>12000000</c:v>
                </c:pt>
                <c:pt idx="387">
                  <c:v>15000000</c:v>
                </c:pt>
                <c:pt idx="388">
                  <c:v>30000000</c:v>
                </c:pt>
                <c:pt idx="389">
                  <c:v>10000000</c:v>
                </c:pt>
                <c:pt idx="390">
                  <c:v>12000000</c:v>
                </c:pt>
                <c:pt idx="391">
                  <c:v>10000000</c:v>
                </c:pt>
                <c:pt idx="392">
                  <c:v>50000000</c:v>
                </c:pt>
                <c:pt idx="393">
                  <c:v>15000000</c:v>
                </c:pt>
                <c:pt idx="394">
                  <c:v>15000000</c:v>
                </c:pt>
                <c:pt idx="395">
                  <c:v>10000000</c:v>
                </c:pt>
                <c:pt idx="396">
                  <c:v>40000000</c:v>
                </c:pt>
                <c:pt idx="397">
                  <c:v>10000000</c:v>
                </c:pt>
                <c:pt idx="398">
                  <c:v>10000000</c:v>
                </c:pt>
                <c:pt idx="399">
                  <c:v>50000000</c:v>
                </c:pt>
                <c:pt idx="400">
                  <c:v>15000000</c:v>
                </c:pt>
                <c:pt idx="401">
                  <c:v>10000000</c:v>
                </c:pt>
                <c:pt idx="402">
                  <c:v>15000000</c:v>
                </c:pt>
                <c:pt idx="403">
                  <c:v>10000000</c:v>
                </c:pt>
                <c:pt idx="404">
                  <c:v>10000000</c:v>
                </c:pt>
                <c:pt idx="405">
                  <c:v>15000000</c:v>
                </c:pt>
                <c:pt idx="406">
                  <c:v>12000000</c:v>
                </c:pt>
                <c:pt idx="407">
                  <c:v>10000000</c:v>
                </c:pt>
                <c:pt idx="408">
                  <c:v>12000000</c:v>
                </c:pt>
                <c:pt idx="409">
                  <c:v>30000000</c:v>
                </c:pt>
                <c:pt idx="410">
                  <c:v>40000000</c:v>
                </c:pt>
                <c:pt idx="411">
                  <c:v>50000000</c:v>
                </c:pt>
                <c:pt idx="412">
                  <c:v>50000000</c:v>
                </c:pt>
                <c:pt idx="413">
                  <c:v>10000000</c:v>
                </c:pt>
                <c:pt idx="414">
                  <c:v>10000000</c:v>
                </c:pt>
                <c:pt idx="415">
                  <c:v>25142695</c:v>
                </c:pt>
                <c:pt idx="416">
                  <c:v>30000000</c:v>
                </c:pt>
                <c:pt idx="417">
                  <c:v>12000000</c:v>
                </c:pt>
                <c:pt idx="418">
                  <c:v>12000000</c:v>
                </c:pt>
                <c:pt idx="419">
                  <c:v>12000000</c:v>
                </c:pt>
                <c:pt idx="420">
                  <c:v>30000000</c:v>
                </c:pt>
                <c:pt idx="421">
                  <c:v>30000000</c:v>
                </c:pt>
                <c:pt idx="422">
                  <c:v>12000000</c:v>
                </c:pt>
                <c:pt idx="423">
                  <c:v>29032345</c:v>
                </c:pt>
                <c:pt idx="424">
                  <c:v>10000000</c:v>
                </c:pt>
                <c:pt idx="425">
                  <c:v>35334620</c:v>
                </c:pt>
                <c:pt idx="426">
                  <c:v>12000000</c:v>
                </c:pt>
                <c:pt idx="427">
                  <c:v>15000000</c:v>
                </c:pt>
                <c:pt idx="428">
                  <c:v>15000000</c:v>
                </c:pt>
                <c:pt idx="429">
                  <c:v>27172447</c:v>
                </c:pt>
                <c:pt idx="430">
                  <c:v>30000000</c:v>
                </c:pt>
                <c:pt idx="431">
                  <c:v>10000000</c:v>
                </c:pt>
                <c:pt idx="432">
                  <c:v>40000000</c:v>
                </c:pt>
                <c:pt idx="433">
                  <c:v>50000000</c:v>
                </c:pt>
                <c:pt idx="434">
                  <c:v>10000000</c:v>
                </c:pt>
                <c:pt idx="435">
                  <c:v>25291572</c:v>
                </c:pt>
                <c:pt idx="436">
                  <c:v>15000000</c:v>
                </c:pt>
                <c:pt idx="437">
                  <c:v>30272733</c:v>
                </c:pt>
                <c:pt idx="438">
                  <c:v>10000000</c:v>
                </c:pt>
                <c:pt idx="439">
                  <c:v>10000000</c:v>
                </c:pt>
                <c:pt idx="440">
                  <c:v>15000000</c:v>
                </c:pt>
                <c:pt idx="441">
                  <c:v>12000000</c:v>
                </c:pt>
                <c:pt idx="442">
                  <c:v>26558706</c:v>
                </c:pt>
                <c:pt idx="443">
                  <c:v>50000000</c:v>
                </c:pt>
                <c:pt idx="444">
                  <c:v>40000000</c:v>
                </c:pt>
                <c:pt idx="445">
                  <c:v>12000000</c:v>
                </c:pt>
                <c:pt idx="446">
                  <c:v>50000000</c:v>
                </c:pt>
                <c:pt idx="447">
                  <c:v>50000000</c:v>
                </c:pt>
                <c:pt idx="448">
                  <c:v>15000000</c:v>
                </c:pt>
                <c:pt idx="449">
                  <c:v>28507727</c:v>
                </c:pt>
                <c:pt idx="450">
                  <c:v>30000000</c:v>
                </c:pt>
                <c:pt idx="451">
                  <c:v>40000000</c:v>
                </c:pt>
                <c:pt idx="452">
                  <c:v>40000000</c:v>
                </c:pt>
                <c:pt idx="453">
                  <c:v>40000000</c:v>
                </c:pt>
                <c:pt idx="454">
                  <c:v>30000000</c:v>
                </c:pt>
                <c:pt idx="455">
                  <c:v>40000000</c:v>
                </c:pt>
                <c:pt idx="456">
                  <c:v>50000000</c:v>
                </c:pt>
                <c:pt idx="457">
                  <c:v>10000000</c:v>
                </c:pt>
                <c:pt idx="458">
                  <c:v>40000000</c:v>
                </c:pt>
                <c:pt idx="459">
                  <c:v>15000000</c:v>
                </c:pt>
                <c:pt idx="460">
                  <c:v>15000000</c:v>
                </c:pt>
                <c:pt idx="461">
                  <c:v>40000000</c:v>
                </c:pt>
                <c:pt idx="462">
                  <c:v>12000000</c:v>
                </c:pt>
                <c:pt idx="463">
                  <c:v>10000000</c:v>
                </c:pt>
                <c:pt idx="464">
                  <c:v>30000000</c:v>
                </c:pt>
                <c:pt idx="465">
                  <c:v>30000000</c:v>
                </c:pt>
                <c:pt idx="466">
                  <c:v>10000000</c:v>
                </c:pt>
                <c:pt idx="467">
                  <c:v>12000000</c:v>
                </c:pt>
                <c:pt idx="468">
                  <c:v>40000000</c:v>
                </c:pt>
                <c:pt idx="469">
                  <c:v>12000000</c:v>
                </c:pt>
                <c:pt idx="470">
                  <c:v>40000000</c:v>
                </c:pt>
                <c:pt idx="471">
                  <c:v>15000000</c:v>
                </c:pt>
                <c:pt idx="472">
                  <c:v>50000000</c:v>
                </c:pt>
                <c:pt idx="473">
                  <c:v>10000000</c:v>
                </c:pt>
                <c:pt idx="474">
                  <c:v>50000000</c:v>
                </c:pt>
                <c:pt idx="475">
                  <c:v>10000000</c:v>
                </c:pt>
                <c:pt idx="476">
                  <c:v>30000000</c:v>
                </c:pt>
                <c:pt idx="477">
                  <c:v>10000000</c:v>
                </c:pt>
                <c:pt idx="478">
                  <c:v>15000000</c:v>
                </c:pt>
                <c:pt idx="479">
                  <c:v>50000000</c:v>
                </c:pt>
                <c:pt idx="480">
                  <c:v>30000000</c:v>
                </c:pt>
                <c:pt idx="481">
                  <c:v>15000000</c:v>
                </c:pt>
                <c:pt idx="482">
                  <c:v>15000000</c:v>
                </c:pt>
                <c:pt idx="483">
                  <c:v>15000000</c:v>
                </c:pt>
                <c:pt idx="484">
                  <c:v>30000000</c:v>
                </c:pt>
                <c:pt idx="485">
                  <c:v>10000000</c:v>
                </c:pt>
                <c:pt idx="486">
                  <c:v>15000000</c:v>
                </c:pt>
                <c:pt idx="487">
                  <c:v>10000000</c:v>
                </c:pt>
                <c:pt idx="488">
                  <c:v>12000000</c:v>
                </c:pt>
                <c:pt idx="489">
                  <c:v>50000000</c:v>
                </c:pt>
                <c:pt idx="490">
                  <c:v>40000000</c:v>
                </c:pt>
                <c:pt idx="491">
                  <c:v>40000000</c:v>
                </c:pt>
                <c:pt idx="492">
                  <c:v>10000000</c:v>
                </c:pt>
                <c:pt idx="493">
                  <c:v>10000000</c:v>
                </c:pt>
                <c:pt idx="494">
                  <c:v>15000000</c:v>
                </c:pt>
                <c:pt idx="495">
                  <c:v>40000000</c:v>
                </c:pt>
                <c:pt idx="496">
                  <c:v>30000000</c:v>
                </c:pt>
                <c:pt idx="497">
                  <c:v>12000000</c:v>
                </c:pt>
                <c:pt idx="498">
                  <c:v>50000000</c:v>
                </c:pt>
                <c:pt idx="499">
                  <c:v>30000000</c:v>
                </c:pt>
                <c:pt idx="500">
                  <c:v>30000000</c:v>
                </c:pt>
                <c:pt idx="501">
                  <c:v>10000000</c:v>
                </c:pt>
                <c:pt idx="502">
                  <c:v>50000000</c:v>
                </c:pt>
                <c:pt idx="503">
                  <c:v>50000000</c:v>
                </c:pt>
                <c:pt idx="504">
                  <c:v>50000000</c:v>
                </c:pt>
                <c:pt idx="505">
                  <c:v>10000000</c:v>
                </c:pt>
                <c:pt idx="506">
                  <c:v>50000000</c:v>
                </c:pt>
                <c:pt idx="507">
                  <c:v>30000000</c:v>
                </c:pt>
                <c:pt idx="508">
                  <c:v>50000000</c:v>
                </c:pt>
                <c:pt idx="509">
                  <c:v>40000000</c:v>
                </c:pt>
                <c:pt idx="510">
                  <c:v>12000000</c:v>
                </c:pt>
                <c:pt idx="511">
                  <c:v>40000000</c:v>
                </c:pt>
                <c:pt idx="512">
                  <c:v>30000000</c:v>
                </c:pt>
                <c:pt idx="513">
                  <c:v>50000000</c:v>
                </c:pt>
                <c:pt idx="514">
                  <c:v>15000000</c:v>
                </c:pt>
                <c:pt idx="515">
                  <c:v>40000000</c:v>
                </c:pt>
                <c:pt idx="516">
                  <c:v>15000000</c:v>
                </c:pt>
                <c:pt idx="517">
                  <c:v>40000000</c:v>
                </c:pt>
                <c:pt idx="518">
                  <c:v>30000000</c:v>
                </c:pt>
                <c:pt idx="519">
                  <c:v>40000000</c:v>
                </c:pt>
                <c:pt idx="520">
                  <c:v>10000000</c:v>
                </c:pt>
                <c:pt idx="521">
                  <c:v>40000000</c:v>
                </c:pt>
                <c:pt idx="522">
                  <c:v>40000000</c:v>
                </c:pt>
                <c:pt idx="523">
                  <c:v>30000000</c:v>
                </c:pt>
                <c:pt idx="524">
                  <c:v>10000000</c:v>
                </c:pt>
                <c:pt idx="525">
                  <c:v>50000000</c:v>
                </c:pt>
                <c:pt idx="526">
                  <c:v>15000000</c:v>
                </c:pt>
                <c:pt idx="527">
                  <c:v>10000000</c:v>
                </c:pt>
                <c:pt idx="528">
                  <c:v>10000000</c:v>
                </c:pt>
                <c:pt idx="529">
                  <c:v>15000000</c:v>
                </c:pt>
                <c:pt idx="530">
                  <c:v>50000000</c:v>
                </c:pt>
                <c:pt idx="531">
                  <c:v>40000000</c:v>
                </c:pt>
                <c:pt idx="532">
                  <c:v>40000000</c:v>
                </c:pt>
                <c:pt idx="533">
                  <c:v>10000000</c:v>
                </c:pt>
                <c:pt idx="534">
                  <c:v>30000000</c:v>
                </c:pt>
                <c:pt idx="535">
                  <c:v>10000000</c:v>
                </c:pt>
                <c:pt idx="536">
                  <c:v>15000000</c:v>
                </c:pt>
                <c:pt idx="537">
                  <c:v>50000000</c:v>
                </c:pt>
                <c:pt idx="538">
                  <c:v>40000000</c:v>
                </c:pt>
                <c:pt idx="539">
                  <c:v>10000000</c:v>
                </c:pt>
                <c:pt idx="540">
                  <c:v>40000000</c:v>
                </c:pt>
                <c:pt idx="541">
                  <c:v>12000000</c:v>
                </c:pt>
                <c:pt idx="542">
                  <c:v>30000000</c:v>
                </c:pt>
                <c:pt idx="543">
                  <c:v>12000000</c:v>
                </c:pt>
                <c:pt idx="544">
                  <c:v>10000000</c:v>
                </c:pt>
                <c:pt idx="545">
                  <c:v>10000000</c:v>
                </c:pt>
                <c:pt idx="546">
                  <c:v>15000000</c:v>
                </c:pt>
                <c:pt idx="547">
                  <c:v>30000000</c:v>
                </c:pt>
                <c:pt idx="548">
                  <c:v>10000000</c:v>
                </c:pt>
                <c:pt idx="549">
                  <c:v>12000000</c:v>
                </c:pt>
                <c:pt idx="550">
                  <c:v>15000000</c:v>
                </c:pt>
                <c:pt idx="551">
                  <c:v>40000000</c:v>
                </c:pt>
                <c:pt idx="552">
                  <c:v>50000000</c:v>
                </c:pt>
                <c:pt idx="553">
                  <c:v>12000000</c:v>
                </c:pt>
                <c:pt idx="554">
                  <c:v>40000000</c:v>
                </c:pt>
                <c:pt idx="555">
                  <c:v>40000000</c:v>
                </c:pt>
                <c:pt idx="556">
                  <c:v>15000000</c:v>
                </c:pt>
                <c:pt idx="557">
                  <c:v>30000000</c:v>
                </c:pt>
                <c:pt idx="558">
                  <c:v>15000000</c:v>
                </c:pt>
                <c:pt idx="559">
                  <c:v>30000000</c:v>
                </c:pt>
                <c:pt idx="560">
                  <c:v>40000000</c:v>
                </c:pt>
                <c:pt idx="561">
                  <c:v>30000000</c:v>
                </c:pt>
                <c:pt idx="562">
                  <c:v>50000000</c:v>
                </c:pt>
                <c:pt idx="563">
                  <c:v>10000000</c:v>
                </c:pt>
                <c:pt idx="564">
                  <c:v>10000000</c:v>
                </c:pt>
                <c:pt idx="565">
                  <c:v>10000000</c:v>
                </c:pt>
                <c:pt idx="566">
                  <c:v>30000000</c:v>
                </c:pt>
                <c:pt idx="567">
                  <c:v>40000000</c:v>
                </c:pt>
                <c:pt idx="568">
                  <c:v>30000000</c:v>
                </c:pt>
                <c:pt idx="569">
                  <c:v>12000000</c:v>
                </c:pt>
                <c:pt idx="570">
                  <c:v>10000000</c:v>
                </c:pt>
                <c:pt idx="571">
                  <c:v>30000000</c:v>
                </c:pt>
                <c:pt idx="572">
                  <c:v>30000000</c:v>
                </c:pt>
                <c:pt idx="573">
                  <c:v>50000000</c:v>
                </c:pt>
                <c:pt idx="574">
                  <c:v>40000000</c:v>
                </c:pt>
                <c:pt idx="575">
                  <c:v>10000000</c:v>
                </c:pt>
                <c:pt idx="576">
                  <c:v>10000000</c:v>
                </c:pt>
                <c:pt idx="577">
                  <c:v>12000000</c:v>
                </c:pt>
                <c:pt idx="578">
                  <c:v>15000000</c:v>
                </c:pt>
                <c:pt idx="579">
                  <c:v>12000000</c:v>
                </c:pt>
                <c:pt idx="580">
                  <c:v>10000000</c:v>
                </c:pt>
                <c:pt idx="581">
                  <c:v>15000000</c:v>
                </c:pt>
                <c:pt idx="582">
                  <c:v>15000000</c:v>
                </c:pt>
                <c:pt idx="583">
                  <c:v>40000000</c:v>
                </c:pt>
                <c:pt idx="584">
                  <c:v>12000000</c:v>
                </c:pt>
                <c:pt idx="585">
                  <c:v>30000000</c:v>
                </c:pt>
                <c:pt idx="586">
                  <c:v>30000000</c:v>
                </c:pt>
                <c:pt idx="587">
                  <c:v>10000000</c:v>
                </c:pt>
                <c:pt idx="588">
                  <c:v>50000000</c:v>
                </c:pt>
                <c:pt idx="589">
                  <c:v>10000000</c:v>
                </c:pt>
                <c:pt idx="590">
                  <c:v>50000000</c:v>
                </c:pt>
                <c:pt idx="591">
                  <c:v>12000000</c:v>
                </c:pt>
                <c:pt idx="592">
                  <c:v>50000000</c:v>
                </c:pt>
                <c:pt idx="593">
                  <c:v>30000000</c:v>
                </c:pt>
                <c:pt idx="594">
                  <c:v>50000000</c:v>
                </c:pt>
                <c:pt idx="595">
                  <c:v>12000000</c:v>
                </c:pt>
                <c:pt idx="596">
                  <c:v>40000000</c:v>
                </c:pt>
                <c:pt idx="597">
                  <c:v>30000000</c:v>
                </c:pt>
                <c:pt idx="598">
                  <c:v>48545647</c:v>
                </c:pt>
                <c:pt idx="599">
                  <c:v>50000000</c:v>
                </c:pt>
                <c:pt idx="600">
                  <c:v>30000000</c:v>
                </c:pt>
                <c:pt idx="601">
                  <c:v>15000000</c:v>
                </c:pt>
                <c:pt idx="602">
                  <c:v>30000000</c:v>
                </c:pt>
                <c:pt idx="603">
                  <c:v>30000000</c:v>
                </c:pt>
                <c:pt idx="604">
                  <c:v>12000000</c:v>
                </c:pt>
                <c:pt idx="605">
                  <c:v>10000000</c:v>
                </c:pt>
                <c:pt idx="606">
                  <c:v>10000000</c:v>
                </c:pt>
                <c:pt idx="607">
                  <c:v>50000000</c:v>
                </c:pt>
                <c:pt idx="608">
                  <c:v>40000000</c:v>
                </c:pt>
                <c:pt idx="609">
                  <c:v>12000000</c:v>
                </c:pt>
                <c:pt idx="610">
                  <c:v>10000000</c:v>
                </c:pt>
                <c:pt idx="611">
                  <c:v>12000000</c:v>
                </c:pt>
                <c:pt idx="612">
                  <c:v>12000000</c:v>
                </c:pt>
                <c:pt idx="613">
                  <c:v>26749649</c:v>
                </c:pt>
                <c:pt idx="614">
                  <c:v>15000000</c:v>
                </c:pt>
                <c:pt idx="615">
                  <c:v>42034728</c:v>
                </c:pt>
                <c:pt idx="616">
                  <c:v>48216090</c:v>
                </c:pt>
                <c:pt idx="617">
                  <c:v>10000000</c:v>
                </c:pt>
                <c:pt idx="618">
                  <c:v>12000000</c:v>
                </c:pt>
                <c:pt idx="619">
                  <c:v>40000000</c:v>
                </c:pt>
                <c:pt idx="620">
                  <c:v>10000000</c:v>
                </c:pt>
                <c:pt idx="621">
                  <c:v>40000000</c:v>
                </c:pt>
                <c:pt idx="622">
                  <c:v>30000000</c:v>
                </c:pt>
                <c:pt idx="623">
                  <c:v>12000000</c:v>
                </c:pt>
                <c:pt idx="624">
                  <c:v>30000000</c:v>
                </c:pt>
                <c:pt idx="625">
                  <c:v>50000000</c:v>
                </c:pt>
                <c:pt idx="626">
                  <c:v>50000000</c:v>
                </c:pt>
                <c:pt idx="627">
                  <c:v>40000000</c:v>
                </c:pt>
                <c:pt idx="628">
                  <c:v>12000000</c:v>
                </c:pt>
                <c:pt idx="629">
                  <c:v>30000000</c:v>
                </c:pt>
                <c:pt idx="630">
                  <c:v>10000000</c:v>
                </c:pt>
                <c:pt idx="631">
                  <c:v>50000000</c:v>
                </c:pt>
                <c:pt idx="632">
                  <c:v>40000000</c:v>
                </c:pt>
                <c:pt idx="633">
                  <c:v>30000000</c:v>
                </c:pt>
                <c:pt idx="634">
                  <c:v>50000000</c:v>
                </c:pt>
                <c:pt idx="635">
                  <c:v>12000000</c:v>
                </c:pt>
                <c:pt idx="636">
                  <c:v>15000000</c:v>
                </c:pt>
                <c:pt idx="637">
                  <c:v>12000000</c:v>
                </c:pt>
                <c:pt idx="638">
                  <c:v>10000000</c:v>
                </c:pt>
                <c:pt idx="639">
                  <c:v>12000000</c:v>
                </c:pt>
                <c:pt idx="640">
                  <c:v>15000000</c:v>
                </c:pt>
                <c:pt idx="641">
                  <c:v>10000000</c:v>
                </c:pt>
                <c:pt idx="642">
                  <c:v>50000000</c:v>
                </c:pt>
                <c:pt idx="643">
                  <c:v>50000000</c:v>
                </c:pt>
                <c:pt idx="644">
                  <c:v>50000000</c:v>
                </c:pt>
                <c:pt idx="645">
                  <c:v>15000000</c:v>
                </c:pt>
                <c:pt idx="646">
                  <c:v>50000000</c:v>
                </c:pt>
                <c:pt idx="647">
                  <c:v>30000000</c:v>
                </c:pt>
                <c:pt idx="648">
                  <c:v>30000000</c:v>
                </c:pt>
                <c:pt idx="649">
                  <c:v>30000000</c:v>
                </c:pt>
                <c:pt idx="650">
                  <c:v>50000000</c:v>
                </c:pt>
                <c:pt idx="651">
                  <c:v>50000000</c:v>
                </c:pt>
                <c:pt idx="652">
                  <c:v>50000000</c:v>
                </c:pt>
                <c:pt idx="653">
                  <c:v>30000000</c:v>
                </c:pt>
                <c:pt idx="654">
                  <c:v>40000000</c:v>
                </c:pt>
                <c:pt idx="655">
                  <c:v>12000000</c:v>
                </c:pt>
                <c:pt idx="656">
                  <c:v>12000000</c:v>
                </c:pt>
                <c:pt idx="657">
                  <c:v>10000000</c:v>
                </c:pt>
                <c:pt idx="658">
                  <c:v>40000000</c:v>
                </c:pt>
                <c:pt idx="659">
                  <c:v>15000000</c:v>
                </c:pt>
                <c:pt idx="660">
                  <c:v>50000000</c:v>
                </c:pt>
                <c:pt idx="661">
                  <c:v>15000000</c:v>
                </c:pt>
                <c:pt idx="662">
                  <c:v>30000000</c:v>
                </c:pt>
                <c:pt idx="663">
                  <c:v>15000000</c:v>
                </c:pt>
                <c:pt idx="664">
                  <c:v>30000000</c:v>
                </c:pt>
                <c:pt idx="665">
                  <c:v>15000000</c:v>
                </c:pt>
                <c:pt idx="666">
                  <c:v>40000000</c:v>
                </c:pt>
                <c:pt idx="667">
                  <c:v>40000000</c:v>
                </c:pt>
                <c:pt idx="668">
                  <c:v>10000000</c:v>
                </c:pt>
                <c:pt idx="669">
                  <c:v>12000000</c:v>
                </c:pt>
                <c:pt idx="670">
                  <c:v>10000000</c:v>
                </c:pt>
                <c:pt idx="671">
                  <c:v>40000000</c:v>
                </c:pt>
                <c:pt idx="672">
                  <c:v>10000000</c:v>
                </c:pt>
                <c:pt idx="673">
                  <c:v>12000000</c:v>
                </c:pt>
                <c:pt idx="674">
                  <c:v>40000000</c:v>
                </c:pt>
                <c:pt idx="675">
                  <c:v>15000000</c:v>
                </c:pt>
                <c:pt idx="676">
                  <c:v>50000000</c:v>
                </c:pt>
                <c:pt idx="677">
                  <c:v>30000000</c:v>
                </c:pt>
                <c:pt idx="678">
                  <c:v>30000000</c:v>
                </c:pt>
                <c:pt idx="679">
                  <c:v>12000000</c:v>
                </c:pt>
                <c:pt idx="680">
                  <c:v>15000000</c:v>
                </c:pt>
                <c:pt idx="681">
                  <c:v>40000000</c:v>
                </c:pt>
                <c:pt idx="682">
                  <c:v>50000000</c:v>
                </c:pt>
                <c:pt idx="683">
                  <c:v>30000000</c:v>
                </c:pt>
                <c:pt idx="684">
                  <c:v>10000000</c:v>
                </c:pt>
                <c:pt idx="685">
                  <c:v>12000000</c:v>
                </c:pt>
                <c:pt idx="686">
                  <c:v>15000000</c:v>
                </c:pt>
                <c:pt idx="687">
                  <c:v>30000000</c:v>
                </c:pt>
                <c:pt idx="688">
                  <c:v>10000000</c:v>
                </c:pt>
                <c:pt idx="689">
                  <c:v>30000000</c:v>
                </c:pt>
                <c:pt idx="690">
                  <c:v>15000000</c:v>
                </c:pt>
                <c:pt idx="691">
                  <c:v>10000000</c:v>
                </c:pt>
                <c:pt idx="692">
                  <c:v>40000000</c:v>
                </c:pt>
                <c:pt idx="693">
                  <c:v>30000000</c:v>
                </c:pt>
                <c:pt idx="694">
                  <c:v>30000000</c:v>
                </c:pt>
                <c:pt idx="695">
                  <c:v>15000000</c:v>
                </c:pt>
                <c:pt idx="696">
                  <c:v>30000000</c:v>
                </c:pt>
                <c:pt idx="697">
                  <c:v>50000000</c:v>
                </c:pt>
                <c:pt idx="698">
                  <c:v>15000000</c:v>
                </c:pt>
                <c:pt idx="699">
                  <c:v>40000000</c:v>
                </c:pt>
                <c:pt idx="700">
                  <c:v>12000000</c:v>
                </c:pt>
                <c:pt idx="701">
                  <c:v>10000000</c:v>
                </c:pt>
                <c:pt idx="702">
                  <c:v>30000000</c:v>
                </c:pt>
                <c:pt idx="703">
                  <c:v>10000000</c:v>
                </c:pt>
                <c:pt idx="704">
                  <c:v>12000000</c:v>
                </c:pt>
                <c:pt idx="705">
                  <c:v>50000000</c:v>
                </c:pt>
                <c:pt idx="706">
                  <c:v>15000000</c:v>
                </c:pt>
                <c:pt idx="707">
                  <c:v>50000000</c:v>
                </c:pt>
                <c:pt idx="708">
                  <c:v>15000000</c:v>
                </c:pt>
                <c:pt idx="709">
                  <c:v>30000000</c:v>
                </c:pt>
                <c:pt idx="710">
                  <c:v>30000000</c:v>
                </c:pt>
                <c:pt idx="711">
                  <c:v>12000000</c:v>
                </c:pt>
                <c:pt idx="712">
                  <c:v>30397515</c:v>
                </c:pt>
                <c:pt idx="713">
                  <c:v>40000000</c:v>
                </c:pt>
                <c:pt idx="714">
                  <c:v>12000000</c:v>
                </c:pt>
                <c:pt idx="715">
                  <c:v>10000000</c:v>
                </c:pt>
                <c:pt idx="716">
                  <c:v>30000000</c:v>
                </c:pt>
                <c:pt idx="717">
                  <c:v>15000000</c:v>
                </c:pt>
                <c:pt idx="718">
                  <c:v>30000000</c:v>
                </c:pt>
                <c:pt idx="719">
                  <c:v>30000000</c:v>
                </c:pt>
                <c:pt idx="720">
                  <c:v>15000000</c:v>
                </c:pt>
                <c:pt idx="721">
                  <c:v>50000000</c:v>
                </c:pt>
                <c:pt idx="722">
                  <c:v>15000000</c:v>
                </c:pt>
                <c:pt idx="723">
                  <c:v>10000000</c:v>
                </c:pt>
                <c:pt idx="724">
                  <c:v>40000000</c:v>
                </c:pt>
                <c:pt idx="725">
                  <c:v>50000000</c:v>
                </c:pt>
                <c:pt idx="726">
                  <c:v>10000000</c:v>
                </c:pt>
                <c:pt idx="727">
                  <c:v>15000000</c:v>
                </c:pt>
                <c:pt idx="728">
                  <c:v>40000000</c:v>
                </c:pt>
                <c:pt idx="729">
                  <c:v>30000000</c:v>
                </c:pt>
                <c:pt idx="730">
                  <c:v>12000000</c:v>
                </c:pt>
                <c:pt idx="731">
                  <c:v>40000000</c:v>
                </c:pt>
                <c:pt idx="732">
                  <c:v>15000000</c:v>
                </c:pt>
                <c:pt idx="733">
                  <c:v>50000000</c:v>
                </c:pt>
                <c:pt idx="734">
                  <c:v>12000000</c:v>
                </c:pt>
                <c:pt idx="735">
                  <c:v>15000000</c:v>
                </c:pt>
                <c:pt idx="736">
                  <c:v>15000000</c:v>
                </c:pt>
                <c:pt idx="737">
                  <c:v>30000000</c:v>
                </c:pt>
                <c:pt idx="738">
                  <c:v>50000000</c:v>
                </c:pt>
                <c:pt idx="739">
                  <c:v>30000000</c:v>
                </c:pt>
                <c:pt idx="740">
                  <c:v>15000000</c:v>
                </c:pt>
                <c:pt idx="741">
                  <c:v>10000000</c:v>
                </c:pt>
                <c:pt idx="742">
                  <c:v>12000000</c:v>
                </c:pt>
                <c:pt idx="743">
                  <c:v>12000000</c:v>
                </c:pt>
                <c:pt idx="744">
                  <c:v>15000000</c:v>
                </c:pt>
                <c:pt idx="745">
                  <c:v>40000000</c:v>
                </c:pt>
                <c:pt idx="746">
                  <c:v>50000000</c:v>
                </c:pt>
                <c:pt idx="747">
                  <c:v>50000000</c:v>
                </c:pt>
                <c:pt idx="748">
                  <c:v>12000000</c:v>
                </c:pt>
                <c:pt idx="749">
                  <c:v>15000000</c:v>
                </c:pt>
                <c:pt idx="750">
                  <c:v>40000000</c:v>
                </c:pt>
                <c:pt idx="751">
                  <c:v>30000000</c:v>
                </c:pt>
                <c:pt idx="752">
                  <c:v>10000000</c:v>
                </c:pt>
                <c:pt idx="753">
                  <c:v>50000000</c:v>
                </c:pt>
                <c:pt idx="754">
                  <c:v>30000000</c:v>
                </c:pt>
                <c:pt idx="755">
                  <c:v>15000000</c:v>
                </c:pt>
                <c:pt idx="756">
                  <c:v>50000000</c:v>
                </c:pt>
                <c:pt idx="757">
                  <c:v>12000000</c:v>
                </c:pt>
                <c:pt idx="758">
                  <c:v>10000000</c:v>
                </c:pt>
                <c:pt idx="759">
                  <c:v>15000000</c:v>
                </c:pt>
                <c:pt idx="760">
                  <c:v>40000000</c:v>
                </c:pt>
                <c:pt idx="761">
                  <c:v>50000000</c:v>
                </c:pt>
                <c:pt idx="762">
                  <c:v>30000000</c:v>
                </c:pt>
                <c:pt idx="763">
                  <c:v>10000000</c:v>
                </c:pt>
                <c:pt idx="764">
                  <c:v>50000000</c:v>
                </c:pt>
                <c:pt idx="765">
                  <c:v>40000000</c:v>
                </c:pt>
                <c:pt idx="766">
                  <c:v>40000000</c:v>
                </c:pt>
                <c:pt idx="767">
                  <c:v>30000000</c:v>
                </c:pt>
                <c:pt idx="768">
                  <c:v>30000000</c:v>
                </c:pt>
                <c:pt idx="769">
                  <c:v>50000000</c:v>
                </c:pt>
                <c:pt idx="770">
                  <c:v>40000000</c:v>
                </c:pt>
                <c:pt idx="771">
                  <c:v>40000000</c:v>
                </c:pt>
                <c:pt idx="772">
                  <c:v>15000000</c:v>
                </c:pt>
                <c:pt idx="773">
                  <c:v>10000000</c:v>
                </c:pt>
                <c:pt idx="774">
                  <c:v>10000000</c:v>
                </c:pt>
                <c:pt idx="775">
                  <c:v>10000000</c:v>
                </c:pt>
                <c:pt idx="776">
                  <c:v>40000000</c:v>
                </c:pt>
                <c:pt idx="777">
                  <c:v>30000000</c:v>
                </c:pt>
                <c:pt idx="778">
                  <c:v>12000000</c:v>
                </c:pt>
                <c:pt idx="779">
                  <c:v>30000000</c:v>
                </c:pt>
                <c:pt idx="780">
                  <c:v>30000000</c:v>
                </c:pt>
                <c:pt idx="781">
                  <c:v>30000000</c:v>
                </c:pt>
                <c:pt idx="782">
                  <c:v>30000000</c:v>
                </c:pt>
                <c:pt idx="783">
                  <c:v>30000000</c:v>
                </c:pt>
                <c:pt idx="784">
                  <c:v>50000000</c:v>
                </c:pt>
                <c:pt idx="785">
                  <c:v>50000000</c:v>
                </c:pt>
                <c:pt idx="786">
                  <c:v>12000000</c:v>
                </c:pt>
                <c:pt idx="787">
                  <c:v>50000000</c:v>
                </c:pt>
                <c:pt idx="788">
                  <c:v>50000000</c:v>
                </c:pt>
                <c:pt idx="789">
                  <c:v>15000000</c:v>
                </c:pt>
                <c:pt idx="790">
                  <c:v>30000000</c:v>
                </c:pt>
                <c:pt idx="791">
                  <c:v>12000000</c:v>
                </c:pt>
                <c:pt idx="792">
                  <c:v>40000000</c:v>
                </c:pt>
                <c:pt idx="793">
                  <c:v>30000000</c:v>
                </c:pt>
                <c:pt idx="794">
                  <c:v>15000000</c:v>
                </c:pt>
                <c:pt idx="795">
                  <c:v>12000000</c:v>
                </c:pt>
                <c:pt idx="796">
                  <c:v>10000000</c:v>
                </c:pt>
                <c:pt idx="797">
                  <c:v>15000000</c:v>
                </c:pt>
                <c:pt idx="798">
                  <c:v>15000000</c:v>
                </c:pt>
                <c:pt idx="799">
                  <c:v>50000000</c:v>
                </c:pt>
                <c:pt idx="800">
                  <c:v>40000000</c:v>
                </c:pt>
                <c:pt idx="801">
                  <c:v>50000000</c:v>
                </c:pt>
                <c:pt idx="802">
                  <c:v>30000000</c:v>
                </c:pt>
                <c:pt idx="803">
                  <c:v>50000000</c:v>
                </c:pt>
                <c:pt idx="804">
                  <c:v>40000000</c:v>
                </c:pt>
                <c:pt idx="805">
                  <c:v>12000000</c:v>
                </c:pt>
                <c:pt idx="806">
                  <c:v>10000000</c:v>
                </c:pt>
                <c:pt idx="807">
                  <c:v>10000000</c:v>
                </c:pt>
                <c:pt idx="808">
                  <c:v>12000000</c:v>
                </c:pt>
                <c:pt idx="809">
                  <c:v>15000000</c:v>
                </c:pt>
                <c:pt idx="810">
                  <c:v>12000000</c:v>
                </c:pt>
                <c:pt idx="811">
                  <c:v>50000000</c:v>
                </c:pt>
                <c:pt idx="812">
                  <c:v>30000000</c:v>
                </c:pt>
                <c:pt idx="813">
                  <c:v>15000000</c:v>
                </c:pt>
                <c:pt idx="814">
                  <c:v>10000000</c:v>
                </c:pt>
                <c:pt idx="815">
                  <c:v>50000000</c:v>
                </c:pt>
                <c:pt idx="816">
                  <c:v>15000000</c:v>
                </c:pt>
                <c:pt idx="817">
                  <c:v>50000000</c:v>
                </c:pt>
                <c:pt idx="818">
                  <c:v>15000000</c:v>
                </c:pt>
                <c:pt idx="819">
                  <c:v>15000000</c:v>
                </c:pt>
                <c:pt idx="820">
                  <c:v>15000000</c:v>
                </c:pt>
                <c:pt idx="821">
                  <c:v>12000000</c:v>
                </c:pt>
                <c:pt idx="822">
                  <c:v>30000000</c:v>
                </c:pt>
                <c:pt idx="823">
                  <c:v>50000000</c:v>
                </c:pt>
                <c:pt idx="824">
                  <c:v>50000000</c:v>
                </c:pt>
                <c:pt idx="825">
                  <c:v>50000000</c:v>
                </c:pt>
                <c:pt idx="826">
                  <c:v>40000000</c:v>
                </c:pt>
                <c:pt idx="827">
                  <c:v>40000000</c:v>
                </c:pt>
                <c:pt idx="828">
                  <c:v>40000000</c:v>
                </c:pt>
                <c:pt idx="829">
                  <c:v>15000000</c:v>
                </c:pt>
                <c:pt idx="830">
                  <c:v>10000000</c:v>
                </c:pt>
                <c:pt idx="831">
                  <c:v>10000000</c:v>
                </c:pt>
                <c:pt idx="832">
                  <c:v>15000000</c:v>
                </c:pt>
                <c:pt idx="833">
                  <c:v>12000000</c:v>
                </c:pt>
                <c:pt idx="834">
                  <c:v>40000000</c:v>
                </c:pt>
                <c:pt idx="835">
                  <c:v>15000000</c:v>
                </c:pt>
                <c:pt idx="836">
                  <c:v>30000000</c:v>
                </c:pt>
                <c:pt idx="837">
                  <c:v>30000000</c:v>
                </c:pt>
                <c:pt idx="838">
                  <c:v>12000000</c:v>
                </c:pt>
                <c:pt idx="839">
                  <c:v>10000000</c:v>
                </c:pt>
                <c:pt idx="840">
                  <c:v>10000000</c:v>
                </c:pt>
                <c:pt idx="841">
                  <c:v>10000000</c:v>
                </c:pt>
                <c:pt idx="842">
                  <c:v>40000000</c:v>
                </c:pt>
                <c:pt idx="843">
                  <c:v>10000000</c:v>
                </c:pt>
                <c:pt idx="844">
                  <c:v>10000000</c:v>
                </c:pt>
                <c:pt idx="845">
                  <c:v>30000000</c:v>
                </c:pt>
                <c:pt idx="846">
                  <c:v>10000000</c:v>
                </c:pt>
                <c:pt idx="847">
                  <c:v>50000000</c:v>
                </c:pt>
                <c:pt idx="848">
                  <c:v>50000000</c:v>
                </c:pt>
                <c:pt idx="849">
                  <c:v>50000000</c:v>
                </c:pt>
                <c:pt idx="850">
                  <c:v>10000000</c:v>
                </c:pt>
                <c:pt idx="851">
                  <c:v>15000000</c:v>
                </c:pt>
                <c:pt idx="852">
                  <c:v>10000000</c:v>
                </c:pt>
                <c:pt idx="853">
                  <c:v>15000000</c:v>
                </c:pt>
                <c:pt idx="854">
                  <c:v>15000000</c:v>
                </c:pt>
                <c:pt idx="855">
                  <c:v>15000000</c:v>
                </c:pt>
                <c:pt idx="856">
                  <c:v>40000000</c:v>
                </c:pt>
                <c:pt idx="857">
                  <c:v>15000000</c:v>
                </c:pt>
                <c:pt idx="858">
                  <c:v>40000000</c:v>
                </c:pt>
                <c:pt idx="859">
                  <c:v>40000000</c:v>
                </c:pt>
                <c:pt idx="860">
                  <c:v>15000000</c:v>
                </c:pt>
                <c:pt idx="861">
                  <c:v>10000000</c:v>
                </c:pt>
                <c:pt idx="862">
                  <c:v>50000000</c:v>
                </c:pt>
                <c:pt idx="863">
                  <c:v>12000000</c:v>
                </c:pt>
                <c:pt idx="864">
                  <c:v>50000000</c:v>
                </c:pt>
                <c:pt idx="865">
                  <c:v>10000000</c:v>
                </c:pt>
                <c:pt idx="866">
                  <c:v>28482738</c:v>
                </c:pt>
                <c:pt idx="867">
                  <c:v>40000000</c:v>
                </c:pt>
                <c:pt idx="868">
                  <c:v>15000000</c:v>
                </c:pt>
                <c:pt idx="869">
                  <c:v>12000000</c:v>
                </c:pt>
                <c:pt idx="870">
                  <c:v>40000000</c:v>
                </c:pt>
                <c:pt idx="871">
                  <c:v>50000000</c:v>
                </c:pt>
                <c:pt idx="872">
                  <c:v>10000000</c:v>
                </c:pt>
                <c:pt idx="873">
                  <c:v>40000000</c:v>
                </c:pt>
                <c:pt idx="874">
                  <c:v>36040168</c:v>
                </c:pt>
                <c:pt idx="875">
                  <c:v>30000000</c:v>
                </c:pt>
                <c:pt idx="876">
                  <c:v>12000000</c:v>
                </c:pt>
                <c:pt idx="877">
                  <c:v>50000000</c:v>
                </c:pt>
                <c:pt idx="878">
                  <c:v>50000000</c:v>
                </c:pt>
                <c:pt idx="879">
                  <c:v>10000000</c:v>
                </c:pt>
                <c:pt idx="880">
                  <c:v>50000000</c:v>
                </c:pt>
                <c:pt idx="881">
                  <c:v>15000000</c:v>
                </c:pt>
                <c:pt idx="882">
                  <c:v>30000000</c:v>
                </c:pt>
                <c:pt idx="883">
                  <c:v>30000000</c:v>
                </c:pt>
                <c:pt idx="884">
                  <c:v>12000000</c:v>
                </c:pt>
                <c:pt idx="885">
                  <c:v>12000000</c:v>
                </c:pt>
                <c:pt idx="886">
                  <c:v>30000000</c:v>
                </c:pt>
                <c:pt idx="887">
                  <c:v>10000000</c:v>
                </c:pt>
                <c:pt idx="888">
                  <c:v>10000000</c:v>
                </c:pt>
                <c:pt idx="889">
                  <c:v>50000000</c:v>
                </c:pt>
                <c:pt idx="890">
                  <c:v>30000000</c:v>
                </c:pt>
                <c:pt idx="891">
                  <c:v>10000000</c:v>
                </c:pt>
                <c:pt idx="892">
                  <c:v>50000000</c:v>
                </c:pt>
                <c:pt idx="893">
                  <c:v>15000000</c:v>
                </c:pt>
                <c:pt idx="894">
                  <c:v>30000000</c:v>
                </c:pt>
                <c:pt idx="895">
                  <c:v>40000000</c:v>
                </c:pt>
                <c:pt idx="896">
                  <c:v>40000000</c:v>
                </c:pt>
                <c:pt idx="897">
                  <c:v>40000000</c:v>
                </c:pt>
                <c:pt idx="898">
                  <c:v>15000000</c:v>
                </c:pt>
                <c:pt idx="899">
                  <c:v>15000000</c:v>
                </c:pt>
                <c:pt idx="900">
                  <c:v>30000000</c:v>
                </c:pt>
                <c:pt idx="901">
                  <c:v>30000000</c:v>
                </c:pt>
                <c:pt idx="902">
                  <c:v>15000000</c:v>
                </c:pt>
                <c:pt idx="903">
                  <c:v>40000000</c:v>
                </c:pt>
                <c:pt idx="904">
                  <c:v>30000000</c:v>
                </c:pt>
                <c:pt idx="905">
                  <c:v>50000000</c:v>
                </c:pt>
                <c:pt idx="906">
                  <c:v>40000000</c:v>
                </c:pt>
                <c:pt idx="907">
                  <c:v>12000000</c:v>
                </c:pt>
                <c:pt idx="908">
                  <c:v>50000000</c:v>
                </c:pt>
                <c:pt idx="909">
                  <c:v>15000000</c:v>
                </c:pt>
                <c:pt idx="910">
                  <c:v>40000000</c:v>
                </c:pt>
                <c:pt idx="911">
                  <c:v>10000000</c:v>
                </c:pt>
                <c:pt idx="912">
                  <c:v>15000000</c:v>
                </c:pt>
                <c:pt idx="913">
                  <c:v>50000000</c:v>
                </c:pt>
                <c:pt idx="914">
                  <c:v>10000000</c:v>
                </c:pt>
                <c:pt idx="915">
                  <c:v>10000000</c:v>
                </c:pt>
                <c:pt idx="916">
                  <c:v>30000000</c:v>
                </c:pt>
                <c:pt idx="917">
                  <c:v>12000000</c:v>
                </c:pt>
                <c:pt idx="918">
                  <c:v>40000000</c:v>
                </c:pt>
                <c:pt idx="919">
                  <c:v>50000000</c:v>
                </c:pt>
                <c:pt idx="920">
                  <c:v>15000000</c:v>
                </c:pt>
                <c:pt idx="921">
                  <c:v>10000000</c:v>
                </c:pt>
                <c:pt idx="922">
                  <c:v>10000000</c:v>
                </c:pt>
                <c:pt idx="923">
                  <c:v>15000000</c:v>
                </c:pt>
                <c:pt idx="924">
                  <c:v>38463843</c:v>
                </c:pt>
                <c:pt idx="925">
                  <c:v>50000000</c:v>
                </c:pt>
                <c:pt idx="926">
                  <c:v>10000000</c:v>
                </c:pt>
                <c:pt idx="927">
                  <c:v>12000000</c:v>
                </c:pt>
                <c:pt idx="928">
                  <c:v>12000000</c:v>
                </c:pt>
                <c:pt idx="929">
                  <c:v>15000000</c:v>
                </c:pt>
                <c:pt idx="930">
                  <c:v>15000000</c:v>
                </c:pt>
                <c:pt idx="931">
                  <c:v>30000000</c:v>
                </c:pt>
                <c:pt idx="932">
                  <c:v>30000000</c:v>
                </c:pt>
                <c:pt idx="933">
                  <c:v>15000000</c:v>
                </c:pt>
                <c:pt idx="934">
                  <c:v>12000000</c:v>
                </c:pt>
                <c:pt idx="935">
                  <c:v>50000000</c:v>
                </c:pt>
                <c:pt idx="936">
                  <c:v>30000000</c:v>
                </c:pt>
                <c:pt idx="937">
                  <c:v>10000000</c:v>
                </c:pt>
                <c:pt idx="938">
                  <c:v>10000000</c:v>
                </c:pt>
                <c:pt idx="939">
                  <c:v>50000000</c:v>
                </c:pt>
                <c:pt idx="940">
                  <c:v>15000000</c:v>
                </c:pt>
                <c:pt idx="941">
                  <c:v>40000000</c:v>
                </c:pt>
                <c:pt idx="942">
                  <c:v>40000000</c:v>
                </c:pt>
                <c:pt idx="943">
                  <c:v>12000000</c:v>
                </c:pt>
                <c:pt idx="944">
                  <c:v>40000000</c:v>
                </c:pt>
                <c:pt idx="945">
                  <c:v>12000000</c:v>
                </c:pt>
                <c:pt idx="946">
                  <c:v>15000000</c:v>
                </c:pt>
                <c:pt idx="947">
                  <c:v>10000000</c:v>
                </c:pt>
                <c:pt idx="948">
                  <c:v>50000000</c:v>
                </c:pt>
                <c:pt idx="949">
                  <c:v>23750654</c:v>
                </c:pt>
                <c:pt idx="950">
                  <c:v>15000000</c:v>
                </c:pt>
                <c:pt idx="951">
                  <c:v>50000000</c:v>
                </c:pt>
                <c:pt idx="952">
                  <c:v>12000000</c:v>
                </c:pt>
                <c:pt idx="953">
                  <c:v>40000000</c:v>
                </c:pt>
                <c:pt idx="954">
                  <c:v>50000000</c:v>
                </c:pt>
                <c:pt idx="955">
                  <c:v>12000000</c:v>
                </c:pt>
                <c:pt idx="956">
                  <c:v>12000000</c:v>
                </c:pt>
                <c:pt idx="957">
                  <c:v>40000000</c:v>
                </c:pt>
                <c:pt idx="958">
                  <c:v>30000000</c:v>
                </c:pt>
                <c:pt idx="959">
                  <c:v>15000000</c:v>
                </c:pt>
                <c:pt idx="960">
                  <c:v>40000000</c:v>
                </c:pt>
                <c:pt idx="961">
                  <c:v>10000000</c:v>
                </c:pt>
                <c:pt idx="962">
                  <c:v>40000000</c:v>
                </c:pt>
                <c:pt idx="963">
                  <c:v>15000000</c:v>
                </c:pt>
                <c:pt idx="964">
                  <c:v>12000000</c:v>
                </c:pt>
                <c:pt idx="965">
                  <c:v>24809565</c:v>
                </c:pt>
                <c:pt idx="966">
                  <c:v>50000000</c:v>
                </c:pt>
                <c:pt idx="967">
                  <c:v>50000000</c:v>
                </c:pt>
                <c:pt idx="968">
                  <c:v>10000000</c:v>
                </c:pt>
                <c:pt idx="969">
                  <c:v>12000000</c:v>
                </c:pt>
                <c:pt idx="970">
                  <c:v>30000000</c:v>
                </c:pt>
                <c:pt idx="971">
                  <c:v>50000000</c:v>
                </c:pt>
                <c:pt idx="972">
                  <c:v>12000000</c:v>
                </c:pt>
                <c:pt idx="973">
                  <c:v>10000000</c:v>
                </c:pt>
                <c:pt idx="974">
                  <c:v>10000000</c:v>
                </c:pt>
                <c:pt idx="975">
                  <c:v>10000000</c:v>
                </c:pt>
                <c:pt idx="976">
                  <c:v>50000000</c:v>
                </c:pt>
                <c:pt idx="977">
                  <c:v>30000000</c:v>
                </c:pt>
                <c:pt idx="978">
                  <c:v>15000000</c:v>
                </c:pt>
                <c:pt idx="979">
                  <c:v>15000000</c:v>
                </c:pt>
                <c:pt idx="980">
                  <c:v>40137192</c:v>
                </c:pt>
                <c:pt idx="981">
                  <c:v>12000000</c:v>
                </c:pt>
                <c:pt idx="982">
                  <c:v>15000000</c:v>
                </c:pt>
                <c:pt idx="983">
                  <c:v>30000000</c:v>
                </c:pt>
                <c:pt idx="984">
                  <c:v>10000000</c:v>
                </c:pt>
                <c:pt idx="985">
                  <c:v>15000000</c:v>
                </c:pt>
                <c:pt idx="986">
                  <c:v>12000000</c:v>
                </c:pt>
                <c:pt idx="987">
                  <c:v>15000000</c:v>
                </c:pt>
                <c:pt idx="988">
                  <c:v>10000000</c:v>
                </c:pt>
                <c:pt idx="989">
                  <c:v>12000000</c:v>
                </c:pt>
                <c:pt idx="990">
                  <c:v>30000000</c:v>
                </c:pt>
                <c:pt idx="991">
                  <c:v>15000000</c:v>
                </c:pt>
                <c:pt idx="992">
                  <c:v>15000000</c:v>
                </c:pt>
                <c:pt idx="993">
                  <c:v>15000000</c:v>
                </c:pt>
                <c:pt idx="994">
                  <c:v>15000000</c:v>
                </c:pt>
                <c:pt idx="995">
                  <c:v>30000000</c:v>
                </c:pt>
                <c:pt idx="996">
                  <c:v>40000000</c:v>
                </c:pt>
                <c:pt idx="997">
                  <c:v>30000000</c:v>
                </c:pt>
                <c:pt idx="998">
                  <c:v>50000000</c:v>
                </c:pt>
                <c:pt idx="999">
                  <c:v>30000000</c:v>
                </c:pt>
              </c:numCache>
            </c:numRef>
          </c:yVal>
          <c:smooth val="0"/>
          <c:extLst>
            <c:ext xmlns:c16="http://schemas.microsoft.com/office/drawing/2014/chart" uri="{C3380CC4-5D6E-409C-BE32-E72D297353CC}">
              <c16:uniqueId val="{00000000-A3D0-40C9-9502-146E915DF6E4}"/>
            </c:ext>
          </c:extLst>
        </c:ser>
        <c:dLbls>
          <c:showLegendKey val="0"/>
          <c:showVal val="0"/>
          <c:showCatName val="0"/>
          <c:showSerName val="0"/>
          <c:showPercent val="0"/>
          <c:showBubbleSize val="0"/>
        </c:dLbls>
        <c:axId val="1413132495"/>
        <c:axId val="742600495"/>
      </c:scatterChart>
      <c:valAx>
        <c:axId val="14131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00495"/>
        <c:crosses val="autoZero"/>
        <c:crossBetween val="midCat"/>
      </c:valAx>
      <c:valAx>
        <c:axId val="74260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32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'Property Dataset  '!$E$2:$E$1001</c:f>
              <c:numCache>
                <c:formatCode>General</c:formatCode>
                <c:ptCount val="1000"/>
                <c:pt idx="0">
                  <c:v>1526</c:v>
                </c:pt>
                <c:pt idx="1">
                  <c:v>424</c:v>
                </c:pt>
                <c:pt idx="2">
                  <c:v>1333</c:v>
                </c:pt>
                <c:pt idx="3">
                  <c:v>4121</c:v>
                </c:pt>
                <c:pt idx="4">
                  <c:v>4020</c:v>
                </c:pt>
                <c:pt idx="5">
                  <c:v>2599</c:v>
                </c:pt>
                <c:pt idx="6">
                  <c:v>3004</c:v>
                </c:pt>
                <c:pt idx="7">
                  <c:v>3661</c:v>
                </c:pt>
                <c:pt idx="8">
                  <c:v>1337</c:v>
                </c:pt>
                <c:pt idx="9">
                  <c:v>3234</c:v>
                </c:pt>
                <c:pt idx="10">
                  <c:v>782</c:v>
                </c:pt>
                <c:pt idx="11">
                  <c:v>2772</c:v>
                </c:pt>
                <c:pt idx="12">
                  <c:v>586</c:v>
                </c:pt>
                <c:pt idx="13">
                  <c:v>2667</c:v>
                </c:pt>
                <c:pt idx="14">
                  <c:v>2998</c:v>
                </c:pt>
                <c:pt idx="15">
                  <c:v>5520</c:v>
                </c:pt>
                <c:pt idx="16">
                  <c:v>4704</c:v>
                </c:pt>
                <c:pt idx="17">
                  <c:v>1543</c:v>
                </c:pt>
                <c:pt idx="18">
                  <c:v>2529</c:v>
                </c:pt>
                <c:pt idx="19">
                  <c:v>7042</c:v>
                </c:pt>
                <c:pt idx="20">
                  <c:v>5745</c:v>
                </c:pt>
                <c:pt idx="21">
                  <c:v>836</c:v>
                </c:pt>
                <c:pt idx="22">
                  <c:v>382</c:v>
                </c:pt>
                <c:pt idx="23">
                  <c:v>3722</c:v>
                </c:pt>
                <c:pt idx="24">
                  <c:v>264</c:v>
                </c:pt>
                <c:pt idx="25">
                  <c:v>4580</c:v>
                </c:pt>
                <c:pt idx="26">
                  <c:v>2710</c:v>
                </c:pt>
                <c:pt idx="27">
                  <c:v>9598</c:v>
                </c:pt>
                <c:pt idx="28">
                  <c:v>4022</c:v>
                </c:pt>
                <c:pt idx="29">
                  <c:v>2645</c:v>
                </c:pt>
                <c:pt idx="30">
                  <c:v>6023</c:v>
                </c:pt>
                <c:pt idx="31">
                  <c:v>7888</c:v>
                </c:pt>
                <c:pt idx="32">
                  <c:v>3422</c:v>
                </c:pt>
                <c:pt idx="33">
                  <c:v>560</c:v>
                </c:pt>
                <c:pt idx="34">
                  <c:v>554</c:v>
                </c:pt>
                <c:pt idx="35">
                  <c:v>644</c:v>
                </c:pt>
                <c:pt idx="36">
                  <c:v>3329</c:v>
                </c:pt>
                <c:pt idx="37">
                  <c:v>295</c:v>
                </c:pt>
                <c:pt idx="38">
                  <c:v>312</c:v>
                </c:pt>
                <c:pt idx="39">
                  <c:v>5741</c:v>
                </c:pt>
                <c:pt idx="40">
                  <c:v>6090</c:v>
                </c:pt>
                <c:pt idx="41">
                  <c:v>5719</c:v>
                </c:pt>
                <c:pt idx="42">
                  <c:v>3560</c:v>
                </c:pt>
                <c:pt idx="43">
                  <c:v>2896</c:v>
                </c:pt>
                <c:pt idx="44">
                  <c:v>404</c:v>
                </c:pt>
                <c:pt idx="45">
                  <c:v>2397</c:v>
                </c:pt>
                <c:pt idx="46">
                  <c:v>4794</c:v>
                </c:pt>
                <c:pt idx="47">
                  <c:v>5862</c:v>
                </c:pt>
                <c:pt idx="48">
                  <c:v>6433</c:v>
                </c:pt>
                <c:pt idx="49">
                  <c:v>2262</c:v>
                </c:pt>
                <c:pt idx="50">
                  <c:v>5053</c:v>
                </c:pt>
                <c:pt idx="51">
                  <c:v>7863</c:v>
                </c:pt>
                <c:pt idx="52">
                  <c:v>2538</c:v>
                </c:pt>
                <c:pt idx="53">
                  <c:v>454</c:v>
                </c:pt>
                <c:pt idx="54">
                  <c:v>276</c:v>
                </c:pt>
                <c:pt idx="55">
                  <c:v>8529</c:v>
                </c:pt>
                <c:pt idx="56">
                  <c:v>5031</c:v>
                </c:pt>
                <c:pt idx="57">
                  <c:v>6986</c:v>
                </c:pt>
                <c:pt idx="58">
                  <c:v>6098</c:v>
                </c:pt>
                <c:pt idx="59">
                  <c:v>5569</c:v>
                </c:pt>
                <c:pt idx="60">
                  <c:v>3421</c:v>
                </c:pt>
                <c:pt idx="61">
                  <c:v>269</c:v>
                </c:pt>
                <c:pt idx="62">
                  <c:v>2466</c:v>
                </c:pt>
                <c:pt idx="63">
                  <c:v>4231</c:v>
                </c:pt>
                <c:pt idx="64">
                  <c:v>3754</c:v>
                </c:pt>
                <c:pt idx="65">
                  <c:v>9627</c:v>
                </c:pt>
                <c:pt idx="66">
                  <c:v>6429</c:v>
                </c:pt>
                <c:pt idx="67">
                  <c:v>277</c:v>
                </c:pt>
                <c:pt idx="68">
                  <c:v>2383</c:v>
                </c:pt>
                <c:pt idx="69">
                  <c:v>5890</c:v>
                </c:pt>
                <c:pt idx="70">
                  <c:v>2046</c:v>
                </c:pt>
                <c:pt idx="71">
                  <c:v>6878</c:v>
                </c:pt>
                <c:pt idx="72">
                  <c:v>2138</c:v>
                </c:pt>
                <c:pt idx="73">
                  <c:v>4018</c:v>
                </c:pt>
                <c:pt idx="74">
                  <c:v>3265</c:v>
                </c:pt>
                <c:pt idx="75">
                  <c:v>359</c:v>
                </c:pt>
                <c:pt idx="76">
                  <c:v>4961</c:v>
                </c:pt>
                <c:pt idx="77">
                  <c:v>913</c:v>
                </c:pt>
                <c:pt idx="78">
                  <c:v>4834</c:v>
                </c:pt>
                <c:pt idx="79">
                  <c:v>5168</c:v>
                </c:pt>
                <c:pt idx="80">
                  <c:v>3984</c:v>
                </c:pt>
                <c:pt idx="81">
                  <c:v>2277</c:v>
                </c:pt>
                <c:pt idx="82">
                  <c:v>4166</c:v>
                </c:pt>
                <c:pt idx="83">
                  <c:v>3784</c:v>
                </c:pt>
                <c:pt idx="84">
                  <c:v>7012</c:v>
                </c:pt>
                <c:pt idx="85">
                  <c:v>9345</c:v>
                </c:pt>
                <c:pt idx="86">
                  <c:v>6086</c:v>
                </c:pt>
                <c:pt idx="87">
                  <c:v>9515</c:v>
                </c:pt>
                <c:pt idx="88">
                  <c:v>5221</c:v>
                </c:pt>
                <c:pt idx="89">
                  <c:v>5333</c:v>
                </c:pt>
                <c:pt idx="90">
                  <c:v>4371</c:v>
                </c:pt>
                <c:pt idx="91">
                  <c:v>3825</c:v>
                </c:pt>
                <c:pt idx="92">
                  <c:v>2508</c:v>
                </c:pt>
                <c:pt idx="93">
                  <c:v>6857</c:v>
                </c:pt>
                <c:pt idx="94">
                  <c:v>1241</c:v>
                </c:pt>
                <c:pt idx="95">
                  <c:v>2616</c:v>
                </c:pt>
                <c:pt idx="96">
                  <c:v>4043</c:v>
                </c:pt>
                <c:pt idx="97">
                  <c:v>3688</c:v>
                </c:pt>
                <c:pt idx="98">
                  <c:v>2470</c:v>
                </c:pt>
                <c:pt idx="99">
                  <c:v>344</c:v>
                </c:pt>
                <c:pt idx="100">
                  <c:v>2422</c:v>
                </c:pt>
                <c:pt idx="101">
                  <c:v>5249</c:v>
                </c:pt>
                <c:pt idx="102">
                  <c:v>4812</c:v>
                </c:pt>
                <c:pt idx="103">
                  <c:v>2193</c:v>
                </c:pt>
                <c:pt idx="104">
                  <c:v>6958</c:v>
                </c:pt>
                <c:pt idx="105">
                  <c:v>3974</c:v>
                </c:pt>
                <c:pt idx="106">
                  <c:v>6899</c:v>
                </c:pt>
                <c:pt idx="107">
                  <c:v>3724</c:v>
                </c:pt>
                <c:pt idx="108">
                  <c:v>2451</c:v>
                </c:pt>
                <c:pt idx="109">
                  <c:v>8412</c:v>
                </c:pt>
                <c:pt idx="110">
                  <c:v>479</c:v>
                </c:pt>
                <c:pt idx="111">
                  <c:v>2599</c:v>
                </c:pt>
                <c:pt idx="112">
                  <c:v>4947</c:v>
                </c:pt>
                <c:pt idx="113">
                  <c:v>1966</c:v>
                </c:pt>
                <c:pt idx="114">
                  <c:v>7150</c:v>
                </c:pt>
                <c:pt idx="115">
                  <c:v>1459</c:v>
                </c:pt>
                <c:pt idx="116">
                  <c:v>428</c:v>
                </c:pt>
                <c:pt idx="117">
                  <c:v>3526</c:v>
                </c:pt>
                <c:pt idx="118">
                  <c:v>4247</c:v>
                </c:pt>
                <c:pt idx="119">
                  <c:v>1149</c:v>
                </c:pt>
                <c:pt idx="120">
                  <c:v>5145</c:v>
                </c:pt>
                <c:pt idx="121">
                  <c:v>4674</c:v>
                </c:pt>
                <c:pt idx="122">
                  <c:v>3695</c:v>
                </c:pt>
                <c:pt idx="123">
                  <c:v>4045</c:v>
                </c:pt>
                <c:pt idx="124">
                  <c:v>3020</c:v>
                </c:pt>
                <c:pt idx="125">
                  <c:v>258</c:v>
                </c:pt>
                <c:pt idx="126">
                  <c:v>5516</c:v>
                </c:pt>
                <c:pt idx="127">
                  <c:v>819</c:v>
                </c:pt>
                <c:pt idx="128">
                  <c:v>973</c:v>
                </c:pt>
                <c:pt idx="129">
                  <c:v>4146</c:v>
                </c:pt>
                <c:pt idx="130">
                  <c:v>3553</c:v>
                </c:pt>
                <c:pt idx="131">
                  <c:v>6394</c:v>
                </c:pt>
                <c:pt idx="132">
                  <c:v>3642</c:v>
                </c:pt>
                <c:pt idx="133">
                  <c:v>5012</c:v>
                </c:pt>
                <c:pt idx="134">
                  <c:v>5409</c:v>
                </c:pt>
                <c:pt idx="135">
                  <c:v>1911</c:v>
                </c:pt>
                <c:pt idx="136">
                  <c:v>1772</c:v>
                </c:pt>
                <c:pt idx="137">
                  <c:v>4093</c:v>
                </c:pt>
                <c:pt idx="138">
                  <c:v>6789</c:v>
                </c:pt>
                <c:pt idx="139">
                  <c:v>3330</c:v>
                </c:pt>
                <c:pt idx="140">
                  <c:v>448</c:v>
                </c:pt>
                <c:pt idx="141">
                  <c:v>1088</c:v>
                </c:pt>
                <c:pt idx="142">
                  <c:v>281</c:v>
                </c:pt>
                <c:pt idx="143">
                  <c:v>3945</c:v>
                </c:pt>
                <c:pt idx="144">
                  <c:v>5605</c:v>
                </c:pt>
                <c:pt idx="145">
                  <c:v>4650</c:v>
                </c:pt>
                <c:pt idx="146">
                  <c:v>9672</c:v>
                </c:pt>
                <c:pt idx="147">
                  <c:v>2187</c:v>
                </c:pt>
                <c:pt idx="148">
                  <c:v>301</c:v>
                </c:pt>
                <c:pt idx="149">
                  <c:v>6975</c:v>
                </c:pt>
                <c:pt idx="150">
                  <c:v>328</c:v>
                </c:pt>
                <c:pt idx="151">
                  <c:v>6174</c:v>
                </c:pt>
                <c:pt idx="152">
                  <c:v>517</c:v>
                </c:pt>
                <c:pt idx="153">
                  <c:v>2349</c:v>
                </c:pt>
                <c:pt idx="154">
                  <c:v>7816</c:v>
                </c:pt>
                <c:pt idx="155">
                  <c:v>8577</c:v>
                </c:pt>
                <c:pt idx="156">
                  <c:v>414</c:v>
                </c:pt>
                <c:pt idx="157">
                  <c:v>2270</c:v>
                </c:pt>
                <c:pt idx="158">
                  <c:v>1567</c:v>
                </c:pt>
                <c:pt idx="159">
                  <c:v>9595</c:v>
                </c:pt>
                <c:pt idx="160">
                  <c:v>2632</c:v>
                </c:pt>
                <c:pt idx="161">
                  <c:v>9684</c:v>
                </c:pt>
                <c:pt idx="162">
                  <c:v>3222</c:v>
                </c:pt>
                <c:pt idx="163">
                  <c:v>6748</c:v>
                </c:pt>
                <c:pt idx="164">
                  <c:v>446</c:v>
                </c:pt>
                <c:pt idx="165">
                  <c:v>1621</c:v>
                </c:pt>
                <c:pt idx="166">
                  <c:v>1936</c:v>
                </c:pt>
                <c:pt idx="167">
                  <c:v>5211</c:v>
                </c:pt>
                <c:pt idx="168">
                  <c:v>7066</c:v>
                </c:pt>
                <c:pt idx="169">
                  <c:v>808</c:v>
                </c:pt>
                <c:pt idx="170">
                  <c:v>4838</c:v>
                </c:pt>
                <c:pt idx="171">
                  <c:v>342</c:v>
                </c:pt>
                <c:pt idx="172">
                  <c:v>5947</c:v>
                </c:pt>
                <c:pt idx="173">
                  <c:v>477</c:v>
                </c:pt>
                <c:pt idx="174">
                  <c:v>5722</c:v>
                </c:pt>
                <c:pt idx="175">
                  <c:v>304</c:v>
                </c:pt>
                <c:pt idx="176">
                  <c:v>9031</c:v>
                </c:pt>
                <c:pt idx="177">
                  <c:v>318</c:v>
                </c:pt>
                <c:pt idx="178">
                  <c:v>7674</c:v>
                </c:pt>
                <c:pt idx="179">
                  <c:v>6433</c:v>
                </c:pt>
                <c:pt idx="180">
                  <c:v>1429</c:v>
                </c:pt>
                <c:pt idx="181">
                  <c:v>2032</c:v>
                </c:pt>
                <c:pt idx="182">
                  <c:v>6264</c:v>
                </c:pt>
                <c:pt idx="183">
                  <c:v>4997</c:v>
                </c:pt>
                <c:pt idx="184">
                  <c:v>793</c:v>
                </c:pt>
                <c:pt idx="185">
                  <c:v>1129</c:v>
                </c:pt>
                <c:pt idx="186">
                  <c:v>4723</c:v>
                </c:pt>
                <c:pt idx="187">
                  <c:v>2745</c:v>
                </c:pt>
                <c:pt idx="188">
                  <c:v>1902</c:v>
                </c:pt>
                <c:pt idx="189">
                  <c:v>1682</c:v>
                </c:pt>
                <c:pt idx="190">
                  <c:v>708</c:v>
                </c:pt>
                <c:pt idx="191">
                  <c:v>7030</c:v>
                </c:pt>
                <c:pt idx="192">
                  <c:v>563</c:v>
                </c:pt>
                <c:pt idx="193">
                  <c:v>2631</c:v>
                </c:pt>
                <c:pt idx="194">
                  <c:v>6698</c:v>
                </c:pt>
                <c:pt idx="195">
                  <c:v>4169</c:v>
                </c:pt>
                <c:pt idx="196">
                  <c:v>7913</c:v>
                </c:pt>
                <c:pt idx="197">
                  <c:v>369</c:v>
                </c:pt>
                <c:pt idx="198">
                  <c:v>5257</c:v>
                </c:pt>
                <c:pt idx="199">
                  <c:v>1278</c:v>
                </c:pt>
                <c:pt idx="200">
                  <c:v>5346</c:v>
                </c:pt>
                <c:pt idx="201">
                  <c:v>2711</c:v>
                </c:pt>
                <c:pt idx="202">
                  <c:v>2216</c:v>
                </c:pt>
                <c:pt idx="203">
                  <c:v>598</c:v>
                </c:pt>
                <c:pt idx="204">
                  <c:v>594</c:v>
                </c:pt>
                <c:pt idx="205">
                  <c:v>5916</c:v>
                </c:pt>
                <c:pt idx="206">
                  <c:v>2553</c:v>
                </c:pt>
                <c:pt idx="207">
                  <c:v>6493</c:v>
                </c:pt>
                <c:pt idx="208">
                  <c:v>6549</c:v>
                </c:pt>
                <c:pt idx="209">
                  <c:v>2491</c:v>
                </c:pt>
                <c:pt idx="210">
                  <c:v>6993</c:v>
                </c:pt>
                <c:pt idx="211">
                  <c:v>2797</c:v>
                </c:pt>
                <c:pt idx="212">
                  <c:v>530</c:v>
                </c:pt>
                <c:pt idx="213">
                  <c:v>2832</c:v>
                </c:pt>
                <c:pt idx="214">
                  <c:v>2998</c:v>
                </c:pt>
                <c:pt idx="215">
                  <c:v>2272</c:v>
                </c:pt>
                <c:pt idx="216">
                  <c:v>4372</c:v>
                </c:pt>
                <c:pt idx="217">
                  <c:v>4800</c:v>
                </c:pt>
                <c:pt idx="218">
                  <c:v>2274</c:v>
                </c:pt>
                <c:pt idx="219">
                  <c:v>4952</c:v>
                </c:pt>
                <c:pt idx="220">
                  <c:v>6095</c:v>
                </c:pt>
                <c:pt idx="221">
                  <c:v>1661</c:v>
                </c:pt>
                <c:pt idx="222">
                  <c:v>3359</c:v>
                </c:pt>
                <c:pt idx="223">
                  <c:v>1952</c:v>
                </c:pt>
                <c:pt idx="224">
                  <c:v>453</c:v>
                </c:pt>
                <c:pt idx="225">
                  <c:v>814</c:v>
                </c:pt>
                <c:pt idx="226">
                  <c:v>6373</c:v>
                </c:pt>
                <c:pt idx="227">
                  <c:v>541</c:v>
                </c:pt>
                <c:pt idx="228">
                  <c:v>3133</c:v>
                </c:pt>
                <c:pt idx="229">
                  <c:v>2925</c:v>
                </c:pt>
                <c:pt idx="230">
                  <c:v>478</c:v>
                </c:pt>
                <c:pt idx="231">
                  <c:v>452</c:v>
                </c:pt>
                <c:pt idx="232">
                  <c:v>569</c:v>
                </c:pt>
                <c:pt idx="233">
                  <c:v>1759</c:v>
                </c:pt>
                <c:pt idx="234">
                  <c:v>1991</c:v>
                </c:pt>
                <c:pt idx="235">
                  <c:v>8836</c:v>
                </c:pt>
                <c:pt idx="236">
                  <c:v>3242</c:v>
                </c:pt>
                <c:pt idx="237">
                  <c:v>3131</c:v>
                </c:pt>
                <c:pt idx="238">
                  <c:v>2122</c:v>
                </c:pt>
                <c:pt idx="239">
                  <c:v>320</c:v>
                </c:pt>
                <c:pt idx="240">
                  <c:v>271</c:v>
                </c:pt>
                <c:pt idx="241">
                  <c:v>405</c:v>
                </c:pt>
                <c:pt idx="242">
                  <c:v>5716</c:v>
                </c:pt>
                <c:pt idx="243">
                  <c:v>3816</c:v>
                </c:pt>
                <c:pt idx="244">
                  <c:v>528</c:v>
                </c:pt>
                <c:pt idx="245">
                  <c:v>1650</c:v>
                </c:pt>
                <c:pt idx="246">
                  <c:v>2822</c:v>
                </c:pt>
                <c:pt idx="247">
                  <c:v>3718</c:v>
                </c:pt>
                <c:pt idx="248">
                  <c:v>7040</c:v>
                </c:pt>
                <c:pt idx="249">
                  <c:v>8046</c:v>
                </c:pt>
                <c:pt idx="250">
                  <c:v>4774</c:v>
                </c:pt>
                <c:pt idx="251">
                  <c:v>371</c:v>
                </c:pt>
                <c:pt idx="252">
                  <c:v>5542</c:v>
                </c:pt>
                <c:pt idx="253">
                  <c:v>9276</c:v>
                </c:pt>
                <c:pt idx="254">
                  <c:v>2079</c:v>
                </c:pt>
                <c:pt idx="255">
                  <c:v>8156</c:v>
                </c:pt>
                <c:pt idx="256">
                  <c:v>3177</c:v>
                </c:pt>
                <c:pt idx="257">
                  <c:v>3777</c:v>
                </c:pt>
                <c:pt idx="258">
                  <c:v>2751</c:v>
                </c:pt>
                <c:pt idx="259">
                  <c:v>1000</c:v>
                </c:pt>
                <c:pt idx="260">
                  <c:v>3748</c:v>
                </c:pt>
                <c:pt idx="261">
                  <c:v>434</c:v>
                </c:pt>
                <c:pt idx="262">
                  <c:v>9718</c:v>
                </c:pt>
                <c:pt idx="263">
                  <c:v>2776</c:v>
                </c:pt>
                <c:pt idx="264">
                  <c:v>482</c:v>
                </c:pt>
                <c:pt idx="265">
                  <c:v>919</c:v>
                </c:pt>
                <c:pt idx="266">
                  <c:v>5972</c:v>
                </c:pt>
                <c:pt idx="267">
                  <c:v>5801</c:v>
                </c:pt>
                <c:pt idx="268">
                  <c:v>4958</c:v>
                </c:pt>
                <c:pt idx="269">
                  <c:v>678</c:v>
                </c:pt>
                <c:pt idx="270">
                  <c:v>586</c:v>
                </c:pt>
                <c:pt idx="271">
                  <c:v>420</c:v>
                </c:pt>
                <c:pt idx="272">
                  <c:v>688</c:v>
                </c:pt>
                <c:pt idx="273">
                  <c:v>1974</c:v>
                </c:pt>
                <c:pt idx="274">
                  <c:v>2983</c:v>
                </c:pt>
                <c:pt idx="275">
                  <c:v>2060</c:v>
                </c:pt>
                <c:pt idx="276">
                  <c:v>4398</c:v>
                </c:pt>
                <c:pt idx="277">
                  <c:v>4748</c:v>
                </c:pt>
                <c:pt idx="278">
                  <c:v>2730</c:v>
                </c:pt>
                <c:pt idx="279">
                  <c:v>4930</c:v>
                </c:pt>
                <c:pt idx="280">
                  <c:v>621</c:v>
                </c:pt>
                <c:pt idx="281">
                  <c:v>2442</c:v>
                </c:pt>
                <c:pt idx="282">
                  <c:v>349</c:v>
                </c:pt>
                <c:pt idx="283">
                  <c:v>7007</c:v>
                </c:pt>
                <c:pt idx="284">
                  <c:v>2143</c:v>
                </c:pt>
                <c:pt idx="285">
                  <c:v>3199</c:v>
                </c:pt>
                <c:pt idx="286">
                  <c:v>7443</c:v>
                </c:pt>
                <c:pt idx="287">
                  <c:v>3930</c:v>
                </c:pt>
                <c:pt idx="288">
                  <c:v>1171</c:v>
                </c:pt>
                <c:pt idx="289">
                  <c:v>580</c:v>
                </c:pt>
                <c:pt idx="290">
                  <c:v>2203</c:v>
                </c:pt>
                <c:pt idx="291">
                  <c:v>3853</c:v>
                </c:pt>
                <c:pt idx="292">
                  <c:v>2637</c:v>
                </c:pt>
                <c:pt idx="293">
                  <c:v>1725</c:v>
                </c:pt>
                <c:pt idx="294">
                  <c:v>3081</c:v>
                </c:pt>
                <c:pt idx="295">
                  <c:v>3444</c:v>
                </c:pt>
                <c:pt idx="296">
                  <c:v>536</c:v>
                </c:pt>
                <c:pt idx="297">
                  <c:v>3880</c:v>
                </c:pt>
                <c:pt idx="298">
                  <c:v>1699</c:v>
                </c:pt>
                <c:pt idx="299">
                  <c:v>3027</c:v>
                </c:pt>
                <c:pt idx="300">
                  <c:v>2142</c:v>
                </c:pt>
                <c:pt idx="301">
                  <c:v>2140</c:v>
                </c:pt>
                <c:pt idx="302">
                  <c:v>1619</c:v>
                </c:pt>
                <c:pt idx="303">
                  <c:v>437</c:v>
                </c:pt>
                <c:pt idx="304">
                  <c:v>3782</c:v>
                </c:pt>
                <c:pt idx="305">
                  <c:v>2023</c:v>
                </c:pt>
                <c:pt idx="306">
                  <c:v>7863</c:v>
                </c:pt>
                <c:pt idx="307">
                  <c:v>5134</c:v>
                </c:pt>
                <c:pt idx="308">
                  <c:v>411</c:v>
                </c:pt>
                <c:pt idx="309">
                  <c:v>3456</c:v>
                </c:pt>
                <c:pt idx="310">
                  <c:v>1731</c:v>
                </c:pt>
                <c:pt idx="311">
                  <c:v>3047</c:v>
                </c:pt>
                <c:pt idx="312">
                  <c:v>4753</c:v>
                </c:pt>
                <c:pt idx="313">
                  <c:v>3567</c:v>
                </c:pt>
                <c:pt idx="314">
                  <c:v>2539</c:v>
                </c:pt>
                <c:pt idx="315">
                  <c:v>5324</c:v>
                </c:pt>
                <c:pt idx="316">
                  <c:v>4441</c:v>
                </c:pt>
                <c:pt idx="317">
                  <c:v>6913</c:v>
                </c:pt>
                <c:pt idx="318">
                  <c:v>599</c:v>
                </c:pt>
                <c:pt idx="319">
                  <c:v>4826</c:v>
                </c:pt>
                <c:pt idx="320">
                  <c:v>461</c:v>
                </c:pt>
                <c:pt idx="321">
                  <c:v>7147</c:v>
                </c:pt>
                <c:pt idx="322">
                  <c:v>438</c:v>
                </c:pt>
                <c:pt idx="323">
                  <c:v>2196</c:v>
                </c:pt>
                <c:pt idx="324">
                  <c:v>1588</c:v>
                </c:pt>
                <c:pt idx="325">
                  <c:v>613</c:v>
                </c:pt>
                <c:pt idx="326">
                  <c:v>3417</c:v>
                </c:pt>
                <c:pt idx="327">
                  <c:v>327</c:v>
                </c:pt>
                <c:pt idx="328">
                  <c:v>3012</c:v>
                </c:pt>
                <c:pt idx="329">
                  <c:v>4290</c:v>
                </c:pt>
                <c:pt idx="330">
                  <c:v>4769</c:v>
                </c:pt>
                <c:pt idx="331">
                  <c:v>4075</c:v>
                </c:pt>
                <c:pt idx="332">
                  <c:v>5799</c:v>
                </c:pt>
                <c:pt idx="333">
                  <c:v>6480</c:v>
                </c:pt>
                <c:pt idx="334">
                  <c:v>3516</c:v>
                </c:pt>
                <c:pt idx="335">
                  <c:v>2113</c:v>
                </c:pt>
                <c:pt idx="336">
                  <c:v>261</c:v>
                </c:pt>
                <c:pt idx="337">
                  <c:v>7881</c:v>
                </c:pt>
                <c:pt idx="338">
                  <c:v>260</c:v>
                </c:pt>
                <c:pt idx="339">
                  <c:v>4760</c:v>
                </c:pt>
                <c:pt idx="340">
                  <c:v>4272</c:v>
                </c:pt>
                <c:pt idx="341">
                  <c:v>484</c:v>
                </c:pt>
                <c:pt idx="342">
                  <c:v>1226</c:v>
                </c:pt>
                <c:pt idx="343">
                  <c:v>461</c:v>
                </c:pt>
                <c:pt idx="344">
                  <c:v>5493</c:v>
                </c:pt>
                <c:pt idx="345">
                  <c:v>2601</c:v>
                </c:pt>
                <c:pt idx="346">
                  <c:v>2563</c:v>
                </c:pt>
                <c:pt idx="347">
                  <c:v>8508</c:v>
                </c:pt>
                <c:pt idx="348">
                  <c:v>6299</c:v>
                </c:pt>
                <c:pt idx="349">
                  <c:v>492</c:v>
                </c:pt>
                <c:pt idx="350">
                  <c:v>1649</c:v>
                </c:pt>
                <c:pt idx="351">
                  <c:v>1865</c:v>
                </c:pt>
                <c:pt idx="352">
                  <c:v>9206</c:v>
                </c:pt>
                <c:pt idx="353">
                  <c:v>3290</c:v>
                </c:pt>
                <c:pt idx="354">
                  <c:v>3097</c:v>
                </c:pt>
                <c:pt idx="355">
                  <c:v>6334</c:v>
                </c:pt>
                <c:pt idx="356">
                  <c:v>6403</c:v>
                </c:pt>
                <c:pt idx="357">
                  <c:v>7612</c:v>
                </c:pt>
                <c:pt idx="358">
                  <c:v>5690</c:v>
                </c:pt>
                <c:pt idx="359">
                  <c:v>1845</c:v>
                </c:pt>
                <c:pt idx="360">
                  <c:v>1650</c:v>
                </c:pt>
                <c:pt idx="361">
                  <c:v>4867</c:v>
                </c:pt>
                <c:pt idx="362">
                  <c:v>1538</c:v>
                </c:pt>
                <c:pt idx="363">
                  <c:v>514</c:v>
                </c:pt>
                <c:pt idx="364">
                  <c:v>546</c:v>
                </c:pt>
                <c:pt idx="365">
                  <c:v>299</c:v>
                </c:pt>
                <c:pt idx="366">
                  <c:v>2828</c:v>
                </c:pt>
                <c:pt idx="367">
                  <c:v>3971</c:v>
                </c:pt>
                <c:pt idx="368">
                  <c:v>489</c:v>
                </c:pt>
                <c:pt idx="369">
                  <c:v>355</c:v>
                </c:pt>
                <c:pt idx="370">
                  <c:v>3793</c:v>
                </c:pt>
                <c:pt idx="371">
                  <c:v>6316</c:v>
                </c:pt>
                <c:pt idx="372">
                  <c:v>2978</c:v>
                </c:pt>
                <c:pt idx="373">
                  <c:v>8689</c:v>
                </c:pt>
                <c:pt idx="374">
                  <c:v>3320</c:v>
                </c:pt>
                <c:pt idx="375">
                  <c:v>1870</c:v>
                </c:pt>
                <c:pt idx="376">
                  <c:v>7866</c:v>
                </c:pt>
                <c:pt idx="377">
                  <c:v>4743</c:v>
                </c:pt>
                <c:pt idx="378">
                  <c:v>456</c:v>
                </c:pt>
                <c:pt idx="379">
                  <c:v>346</c:v>
                </c:pt>
                <c:pt idx="380">
                  <c:v>2262</c:v>
                </c:pt>
                <c:pt idx="381">
                  <c:v>331</c:v>
                </c:pt>
                <c:pt idx="382">
                  <c:v>3101</c:v>
                </c:pt>
                <c:pt idx="383">
                  <c:v>3993</c:v>
                </c:pt>
                <c:pt idx="384">
                  <c:v>1426</c:v>
                </c:pt>
                <c:pt idx="385">
                  <c:v>1519</c:v>
                </c:pt>
                <c:pt idx="386">
                  <c:v>1945</c:v>
                </c:pt>
                <c:pt idx="387">
                  <c:v>1739</c:v>
                </c:pt>
                <c:pt idx="388">
                  <c:v>4162</c:v>
                </c:pt>
                <c:pt idx="389">
                  <c:v>4987</c:v>
                </c:pt>
                <c:pt idx="390">
                  <c:v>963</c:v>
                </c:pt>
                <c:pt idx="391">
                  <c:v>1338</c:v>
                </c:pt>
                <c:pt idx="392">
                  <c:v>3672</c:v>
                </c:pt>
                <c:pt idx="393">
                  <c:v>3131</c:v>
                </c:pt>
                <c:pt idx="394">
                  <c:v>395</c:v>
                </c:pt>
                <c:pt idx="395">
                  <c:v>2074</c:v>
                </c:pt>
                <c:pt idx="396">
                  <c:v>598</c:v>
                </c:pt>
                <c:pt idx="397">
                  <c:v>847</c:v>
                </c:pt>
                <c:pt idx="398">
                  <c:v>5985</c:v>
                </c:pt>
                <c:pt idx="399">
                  <c:v>1533</c:v>
                </c:pt>
                <c:pt idx="400">
                  <c:v>3975</c:v>
                </c:pt>
                <c:pt idx="401">
                  <c:v>3351</c:v>
                </c:pt>
                <c:pt idx="402">
                  <c:v>1976</c:v>
                </c:pt>
                <c:pt idx="403">
                  <c:v>3993</c:v>
                </c:pt>
                <c:pt idx="404">
                  <c:v>6718</c:v>
                </c:pt>
                <c:pt idx="405">
                  <c:v>1673</c:v>
                </c:pt>
                <c:pt idx="406">
                  <c:v>7450</c:v>
                </c:pt>
                <c:pt idx="407">
                  <c:v>4838</c:v>
                </c:pt>
                <c:pt idx="408">
                  <c:v>3374</c:v>
                </c:pt>
                <c:pt idx="409">
                  <c:v>2511</c:v>
                </c:pt>
                <c:pt idx="410">
                  <c:v>877</c:v>
                </c:pt>
                <c:pt idx="411">
                  <c:v>4514</c:v>
                </c:pt>
                <c:pt idx="412">
                  <c:v>4689</c:v>
                </c:pt>
                <c:pt idx="413">
                  <c:v>5884</c:v>
                </c:pt>
                <c:pt idx="414">
                  <c:v>288</c:v>
                </c:pt>
                <c:pt idx="415">
                  <c:v>263</c:v>
                </c:pt>
                <c:pt idx="416">
                  <c:v>905</c:v>
                </c:pt>
                <c:pt idx="417">
                  <c:v>1538</c:v>
                </c:pt>
                <c:pt idx="418">
                  <c:v>4500</c:v>
                </c:pt>
                <c:pt idx="419">
                  <c:v>8717</c:v>
                </c:pt>
                <c:pt idx="420">
                  <c:v>1708</c:v>
                </c:pt>
                <c:pt idx="421">
                  <c:v>9764</c:v>
                </c:pt>
                <c:pt idx="422">
                  <c:v>5364</c:v>
                </c:pt>
                <c:pt idx="423">
                  <c:v>252</c:v>
                </c:pt>
                <c:pt idx="424">
                  <c:v>4661</c:v>
                </c:pt>
                <c:pt idx="425">
                  <c:v>292</c:v>
                </c:pt>
                <c:pt idx="426">
                  <c:v>3879</c:v>
                </c:pt>
                <c:pt idx="427">
                  <c:v>2488</c:v>
                </c:pt>
                <c:pt idx="428">
                  <c:v>3825</c:v>
                </c:pt>
                <c:pt idx="429">
                  <c:v>294</c:v>
                </c:pt>
                <c:pt idx="430">
                  <c:v>8829</c:v>
                </c:pt>
                <c:pt idx="431">
                  <c:v>600</c:v>
                </c:pt>
                <c:pt idx="432">
                  <c:v>3761</c:v>
                </c:pt>
                <c:pt idx="433">
                  <c:v>4091</c:v>
                </c:pt>
                <c:pt idx="434">
                  <c:v>7512</c:v>
                </c:pt>
                <c:pt idx="435">
                  <c:v>342</c:v>
                </c:pt>
                <c:pt idx="436">
                  <c:v>455</c:v>
                </c:pt>
                <c:pt idx="437">
                  <c:v>329</c:v>
                </c:pt>
                <c:pt idx="438">
                  <c:v>2414</c:v>
                </c:pt>
                <c:pt idx="439">
                  <c:v>7466</c:v>
                </c:pt>
                <c:pt idx="440">
                  <c:v>284</c:v>
                </c:pt>
                <c:pt idx="441">
                  <c:v>7372</c:v>
                </c:pt>
                <c:pt idx="442">
                  <c:v>323</c:v>
                </c:pt>
                <c:pt idx="443">
                  <c:v>2078</c:v>
                </c:pt>
                <c:pt idx="444">
                  <c:v>2491</c:v>
                </c:pt>
                <c:pt idx="445">
                  <c:v>3735</c:v>
                </c:pt>
                <c:pt idx="446">
                  <c:v>1885</c:v>
                </c:pt>
                <c:pt idx="447">
                  <c:v>1881</c:v>
                </c:pt>
                <c:pt idx="448">
                  <c:v>1588</c:v>
                </c:pt>
                <c:pt idx="449">
                  <c:v>270</c:v>
                </c:pt>
                <c:pt idx="450">
                  <c:v>2558</c:v>
                </c:pt>
                <c:pt idx="451">
                  <c:v>567</c:v>
                </c:pt>
                <c:pt idx="452">
                  <c:v>6670</c:v>
                </c:pt>
                <c:pt idx="453">
                  <c:v>6983</c:v>
                </c:pt>
                <c:pt idx="454">
                  <c:v>388</c:v>
                </c:pt>
                <c:pt idx="455">
                  <c:v>3626</c:v>
                </c:pt>
                <c:pt idx="456">
                  <c:v>325</c:v>
                </c:pt>
                <c:pt idx="457">
                  <c:v>1916</c:v>
                </c:pt>
                <c:pt idx="458">
                  <c:v>7873</c:v>
                </c:pt>
                <c:pt idx="459">
                  <c:v>5724</c:v>
                </c:pt>
                <c:pt idx="460">
                  <c:v>507</c:v>
                </c:pt>
                <c:pt idx="461">
                  <c:v>5583</c:v>
                </c:pt>
                <c:pt idx="462">
                  <c:v>3645</c:v>
                </c:pt>
                <c:pt idx="463">
                  <c:v>854</c:v>
                </c:pt>
                <c:pt idx="464">
                  <c:v>442</c:v>
                </c:pt>
                <c:pt idx="465">
                  <c:v>2595</c:v>
                </c:pt>
                <c:pt idx="466">
                  <c:v>512</c:v>
                </c:pt>
                <c:pt idx="467">
                  <c:v>352</c:v>
                </c:pt>
                <c:pt idx="468">
                  <c:v>2000</c:v>
                </c:pt>
                <c:pt idx="469">
                  <c:v>599</c:v>
                </c:pt>
                <c:pt idx="470">
                  <c:v>3038</c:v>
                </c:pt>
                <c:pt idx="471">
                  <c:v>2011</c:v>
                </c:pt>
                <c:pt idx="472">
                  <c:v>1646</c:v>
                </c:pt>
                <c:pt idx="473">
                  <c:v>2818</c:v>
                </c:pt>
                <c:pt idx="474">
                  <c:v>6837</c:v>
                </c:pt>
                <c:pt idx="475">
                  <c:v>8311</c:v>
                </c:pt>
                <c:pt idx="476">
                  <c:v>507</c:v>
                </c:pt>
                <c:pt idx="477">
                  <c:v>1299</c:v>
                </c:pt>
                <c:pt idx="478">
                  <c:v>3667</c:v>
                </c:pt>
                <c:pt idx="479">
                  <c:v>469</c:v>
                </c:pt>
                <c:pt idx="480">
                  <c:v>1647</c:v>
                </c:pt>
                <c:pt idx="481">
                  <c:v>4926</c:v>
                </c:pt>
                <c:pt idx="482">
                  <c:v>391</c:v>
                </c:pt>
                <c:pt idx="483">
                  <c:v>1607</c:v>
                </c:pt>
                <c:pt idx="484">
                  <c:v>5539</c:v>
                </c:pt>
                <c:pt idx="485">
                  <c:v>2055</c:v>
                </c:pt>
                <c:pt idx="486">
                  <c:v>460</c:v>
                </c:pt>
                <c:pt idx="487">
                  <c:v>515</c:v>
                </c:pt>
                <c:pt idx="488">
                  <c:v>319</c:v>
                </c:pt>
                <c:pt idx="489">
                  <c:v>3157</c:v>
                </c:pt>
                <c:pt idx="490">
                  <c:v>2811</c:v>
                </c:pt>
                <c:pt idx="491">
                  <c:v>484</c:v>
                </c:pt>
                <c:pt idx="492">
                  <c:v>284</c:v>
                </c:pt>
                <c:pt idx="493">
                  <c:v>4612</c:v>
                </c:pt>
                <c:pt idx="494">
                  <c:v>7558</c:v>
                </c:pt>
                <c:pt idx="495">
                  <c:v>7477</c:v>
                </c:pt>
                <c:pt idx="496">
                  <c:v>1913</c:v>
                </c:pt>
                <c:pt idx="497">
                  <c:v>5557</c:v>
                </c:pt>
                <c:pt idx="498">
                  <c:v>8759</c:v>
                </c:pt>
                <c:pt idx="499">
                  <c:v>6107</c:v>
                </c:pt>
                <c:pt idx="500">
                  <c:v>2810</c:v>
                </c:pt>
                <c:pt idx="501">
                  <c:v>712</c:v>
                </c:pt>
                <c:pt idx="502">
                  <c:v>6267</c:v>
                </c:pt>
                <c:pt idx="503">
                  <c:v>5000</c:v>
                </c:pt>
                <c:pt idx="504">
                  <c:v>6555</c:v>
                </c:pt>
                <c:pt idx="505">
                  <c:v>1423</c:v>
                </c:pt>
                <c:pt idx="506">
                  <c:v>1869</c:v>
                </c:pt>
                <c:pt idx="507">
                  <c:v>1353</c:v>
                </c:pt>
                <c:pt idx="508">
                  <c:v>1370</c:v>
                </c:pt>
                <c:pt idx="509">
                  <c:v>2114</c:v>
                </c:pt>
                <c:pt idx="510">
                  <c:v>6869</c:v>
                </c:pt>
                <c:pt idx="511">
                  <c:v>559</c:v>
                </c:pt>
                <c:pt idx="512">
                  <c:v>1083</c:v>
                </c:pt>
                <c:pt idx="513">
                  <c:v>3922</c:v>
                </c:pt>
                <c:pt idx="514">
                  <c:v>340</c:v>
                </c:pt>
                <c:pt idx="515">
                  <c:v>2971</c:v>
                </c:pt>
                <c:pt idx="516">
                  <c:v>2332</c:v>
                </c:pt>
                <c:pt idx="517">
                  <c:v>5747</c:v>
                </c:pt>
                <c:pt idx="518">
                  <c:v>6069</c:v>
                </c:pt>
                <c:pt idx="519">
                  <c:v>4236</c:v>
                </c:pt>
                <c:pt idx="520">
                  <c:v>500</c:v>
                </c:pt>
                <c:pt idx="521">
                  <c:v>4783</c:v>
                </c:pt>
                <c:pt idx="522">
                  <c:v>3286</c:v>
                </c:pt>
                <c:pt idx="523">
                  <c:v>1599</c:v>
                </c:pt>
                <c:pt idx="524">
                  <c:v>349</c:v>
                </c:pt>
                <c:pt idx="525">
                  <c:v>440</c:v>
                </c:pt>
                <c:pt idx="526">
                  <c:v>517</c:v>
                </c:pt>
                <c:pt idx="527">
                  <c:v>3389</c:v>
                </c:pt>
                <c:pt idx="528">
                  <c:v>321</c:v>
                </c:pt>
                <c:pt idx="529">
                  <c:v>4704</c:v>
                </c:pt>
                <c:pt idx="530">
                  <c:v>4851</c:v>
                </c:pt>
                <c:pt idx="531">
                  <c:v>3808</c:v>
                </c:pt>
                <c:pt idx="532">
                  <c:v>961</c:v>
                </c:pt>
                <c:pt idx="533">
                  <c:v>5581</c:v>
                </c:pt>
                <c:pt idx="534">
                  <c:v>1202</c:v>
                </c:pt>
                <c:pt idx="535">
                  <c:v>2623</c:v>
                </c:pt>
                <c:pt idx="536">
                  <c:v>1687</c:v>
                </c:pt>
                <c:pt idx="537">
                  <c:v>4208</c:v>
                </c:pt>
                <c:pt idx="538">
                  <c:v>9849</c:v>
                </c:pt>
                <c:pt idx="539">
                  <c:v>4929</c:v>
                </c:pt>
                <c:pt idx="540">
                  <c:v>431</c:v>
                </c:pt>
                <c:pt idx="541">
                  <c:v>2393</c:v>
                </c:pt>
                <c:pt idx="542">
                  <c:v>421</c:v>
                </c:pt>
                <c:pt idx="543">
                  <c:v>597</c:v>
                </c:pt>
                <c:pt idx="544">
                  <c:v>770</c:v>
                </c:pt>
                <c:pt idx="545">
                  <c:v>1520</c:v>
                </c:pt>
                <c:pt idx="546">
                  <c:v>4857</c:v>
                </c:pt>
                <c:pt idx="547">
                  <c:v>2362</c:v>
                </c:pt>
                <c:pt idx="548">
                  <c:v>2304</c:v>
                </c:pt>
                <c:pt idx="549">
                  <c:v>6054</c:v>
                </c:pt>
                <c:pt idx="550">
                  <c:v>897</c:v>
                </c:pt>
                <c:pt idx="551">
                  <c:v>2840</c:v>
                </c:pt>
                <c:pt idx="552">
                  <c:v>3026</c:v>
                </c:pt>
                <c:pt idx="553">
                  <c:v>9997</c:v>
                </c:pt>
                <c:pt idx="554">
                  <c:v>556</c:v>
                </c:pt>
                <c:pt idx="555">
                  <c:v>2918</c:v>
                </c:pt>
                <c:pt idx="556">
                  <c:v>265</c:v>
                </c:pt>
                <c:pt idx="557">
                  <c:v>2737</c:v>
                </c:pt>
                <c:pt idx="558">
                  <c:v>396</c:v>
                </c:pt>
                <c:pt idx="559">
                  <c:v>2934</c:v>
                </c:pt>
                <c:pt idx="560">
                  <c:v>3435</c:v>
                </c:pt>
                <c:pt idx="561">
                  <c:v>428</c:v>
                </c:pt>
                <c:pt idx="562">
                  <c:v>4150</c:v>
                </c:pt>
                <c:pt idx="563">
                  <c:v>4725</c:v>
                </c:pt>
                <c:pt idx="564">
                  <c:v>7694</c:v>
                </c:pt>
                <c:pt idx="565">
                  <c:v>9984</c:v>
                </c:pt>
                <c:pt idx="566">
                  <c:v>9373</c:v>
                </c:pt>
                <c:pt idx="567">
                  <c:v>1511</c:v>
                </c:pt>
                <c:pt idx="568">
                  <c:v>1749</c:v>
                </c:pt>
                <c:pt idx="569">
                  <c:v>6520</c:v>
                </c:pt>
                <c:pt idx="570">
                  <c:v>5529</c:v>
                </c:pt>
                <c:pt idx="571">
                  <c:v>3555</c:v>
                </c:pt>
                <c:pt idx="572">
                  <c:v>405</c:v>
                </c:pt>
                <c:pt idx="573">
                  <c:v>3708</c:v>
                </c:pt>
                <c:pt idx="574">
                  <c:v>553</c:v>
                </c:pt>
                <c:pt idx="575">
                  <c:v>3232</c:v>
                </c:pt>
                <c:pt idx="576">
                  <c:v>4631</c:v>
                </c:pt>
                <c:pt idx="577">
                  <c:v>2465</c:v>
                </c:pt>
                <c:pt idx="578">
                  <c:v>7328</c:v>
                </c:pt>
                <c:pt idx="579">
                  <c:v>6705</c:v>
                </c:pt>
                <c:pt idx="580">
                  <c:v>4481</c:v>
                </c:pt>
                <c:pt idx="581">
                  <c:v>5117</c:v>
                </c:pt>
                <c:pt idx="582">
                  <c:v>1956</c:v>
                </c:pt>
                <c:pt idx="583">
                  <c:v>1685</c:v>
                </c:pt>
                <c:pt idx="584">
                  <c:v>4990</c:v>
                </c:pt>
                <c:pt idx="585">
                  <c:v>1828</c:v>
                </c:pt>
                <c:pt idx="586">
                  <c:v>5994</c:v>
                </c:pt>
                <c:pt idx="587">
                  <c:v>2846</c:v>
                </c:pt>
                <c:pt idx="588">
                  <c:v>1374</c:v>
                </c:pt>
                <c:pt idx="589">
                  <c:v>5763</c:v>
                </c:pt>
                <c:pt idx="590">
                  <c:v>8838</c:v>
                </c:pt>
                <c:pt idx="591">
                  <c:v>3384</c:v>
                </c:pt>
                <c:pt idx="592">
                  <c:v>3096</c:v>
                </c:pt>
                <c:pt idx="593">
                  <c:v>7292</c:v>
                </c:pt>
                <c:pt idx="594">
                  <c:v>2532</c:v>
                </c:pt>
                <c:pt idx="595">
                  <c:v>399</c:v>
                </c:pt>
                <c:pt idx="596">
                  <c:v>814</c:v>
                </c:pt>
                <c:pt idx="597">
                  <c:v>8510</c:v>
                </c:pt>
                <c:pt idx="598">
                  <c:v>264</c:v>
                </c:pt>
                <c:pt idx="599">
                  <c:v>4024</c:v>
                </c:pt>
                <c:pt idx="600">
                  <c:v>1565</c:v>
                </c:pt>
                <c:pt idx="601">
                  <c:v>303</c:v>
                </c:pt>
                <c:pt idx="602">
                  <c:v>2498</c:v>
                </c:pt>
                <c:pt idx="603">
                  <c:v>5925</c:v>
                </c:pt>
                <c:pt idx="604">
                  <c:v>552</c:v>
                </c:pt>
                <c:pt idx="605">
                  <c:v>470</c:v>
                </c:pt>
                <c:pt idx="606">
                  <c:v>4038</c:v>
                </c:pt>
                <c:pt idx="607">
                  <c:v>3144</c:v>
                </c:pt>
                <c:pt idx="608">
                  <c:v>7615</c:v>
                </c:pt>
                <c:pt idx="609">
                  <c:v>265</c:v>
                </c:pt>
                <c:pt idx="610">
                  <c:v>1785</c:v>
                </c:pt>
                <c:pt idx="611">
                  <c:v>4314</c:v>
                </c:pt>
                <c:pt idx="612">
                  <c:v>2730</c:v>
                </c:pt>
                <c:pt idx="613">
                  <c:v>345</c:v>
                </c:pt>
                <c:pt idx="614">
                  <c:v>3160</c:v>
                </c:pt>
                <c:pt idx="615">
                  <c:v>315</c:v>
                </c:pt>
                <c:pt idx="616">
                  <c:v>353</c:v>
                </c:pt>
                <c:pt idx="617">
                  <c:v>555</c:v>
                </c:pt>
                <c:pt idx="618">
                  <c:v>3507</c:v>
                </c:pt>
                <c:pt idx="619">
                  <c:v>2850</c:v>
                </c:pt>
                <c:pt idx="620">
                  <c:v>480</c:v>
                </c:pt>
                <c:pt idx="621">
                  <c:v>2283</c:v>
                </c:pt>
                <c:pt idx="622">
                  <c:v>6656</c:v>
                </c:pt>
                <c:pt idx="623">
                  <c:v>514</c:v>
                </c:pt>
                <c:pt idx="624">
                  <c:v>5986</c:v>
                </c:pt>
                <c:pt idx="625">
                  <c:v>5584</c:v>
                </c:pt>
                <c:pt idx="626">
                  <c:v>5644</c:v>
                </c:pt>
                <c:pt idx="627">
                  <c:v>3105</c:v>
                </c:pt>
                <c:pt idx="628">
                  <c:v>3192</c:v>
                </c:pt>
                <c:pt idx="629">
                  <c:v>2749</c:v>
                </c:pt>
                <c:pt idx="630">
                  <c:v>4580</c:v>
                </c:pt>
                <c:pt idx="631">
                  <c:v>1797</c:v>
                </c:pt>
                <c:pt idx="632">
                  <c:v>4578</c:v>
                </c:pt>
                <c:pt idx="633">
                  <c:v>4597</c:v>
                </c:pt>
                <c:pt idx="634">
                  <c:v>4502</c:v>
                </c:pt>
                <c:pt idx="635">
                  <c:v>3868</c:v>
                </c:pt>
                <c:pt idx="636">
                  <c:v>5272</c:v>
                </c:pt>
                <c:pt idx="637">
                  <c:v>471</c:v>
                </c:pt>
                <c:pt idx="638">
                  <c:v>563</c:v>
                </c:pt>
                <c:pt idx="639">
                  <c:v>3041</c:v>
                </c:pt>
                <c:pt idx="640">
                  <c:v>4262</c:v>
                </c:pt>
                <c:pt idx="641">
                  <c:v>7956</c:v>
                </c:pt>
                <c:pt idx="642">
                  <c:v>325</c:v>
                </c:pt>
                <c:pt idx="643">
                  <c:v>6908</c:v>
                </c:pt>
                <c:pt idx="644">
                  <c:v>3241</c:v>
                </c:pt>
                <c:pt idx="645">
                  <c:v>1468</c:v>
                </c:pt>
                <c:pt idx="646">
                  <c:v>3516</c:v>
                </c:pt>
                <c:pt idx="647">
                  <c:v>2970</c:v>
                </c:pt>
                <c:pt idx="648">
                  <c:v>570</c:v>
                </c:pt>
                <c:pt idx="649">
                  <c:v>2345</c:v>
                </c:pt>
                <c:pt idx="650">
                  <c:v>445</c:v>
                </c:pt>
                <c:pt idx="651">
                  <c:v>2351</c:v>
                </c:pt>
                <c:pt idx="652">
                  <c:v>488</c:v>
                </c:pt>
                <c:pt idx="653">
                  <c:v>1573</c:v>
                </c:pt>
                <c:pt idx="654">
                  <c:v>7510</c:v>
                </c:pt>
                <c:pt idx="655">
                  <c:v>7678</c:v>
                </c:pt>
                <c:pt idx="656">
                  <c:v>8381</c:v>
                </c:pt>
                <c:pt idx="657">
                  <c:v>5326</c:v>
                </c:pt>
                <c:pt idx="658">
                  <c:v>2353</c:v>
                </c:pt>
                <c:pt idx="659">
                  <c:v>294</c:v>
                </c:pt>
                <c:pt idx="660">
                  <c:v>6861</c:v>
                </c:pt>
                <c:pt idx="661">
                  <c:v>2629</c:v>
                </c:pt>
                <c:pt idx="662">
                  <c:v>6957</c:v>
                </c:pt>
                <c:pt idx="663">
                  <c:v>4992</c:v>
                </c:pt>
                <c:pt idx="664">
                  <c:v>7746</c:v>
                </c:pt>
                <c:pt idx="665">
                  <c:v>1106</c:v>
                </c:pt>
                <c:pt idx="666">
                  <c:v>1188</c:v>
                </c:pt>
                <c:pt idx="667">
                  <c:v>393</c:v>
                </c:pt>
                <c:pt idx="668">
                  <c:v>3682</c:v>
                </c:pt>
                <c:pt idx="669">
                  <c:v>7022</c:v>
                </c:pt>
                <c:pt idx="670">
                  <c:v>6760</c:v>
                </c:pt>
                <c:pt idx="671">
                  <c:v>571</c:v>
                </c:pt>
                <c:pt idx="672">
                  <c:v>354</c:v>
                </c:pt>
                <c:pt idx="673">
                  <c:v>4622</c:v>
                </c:pt>
                <c:pt idx="674">
                  <c:v>1378</c:v>
                </c:pt>
                <c:pt idx="675">
                  <c:v>2819</c:v>
                </c:pt>
                <c:pt idx="676">
                  <c:v>4999</c:v>
                </c:pt>
                <c:pt idx="677">
                  <c:v>7907</c:v>
                </c:pt>
                <c:pt idx="678">
                  <c:v>5570</c:v>
                </c:pt>
                <c:pt idx="679">
                  <c:v>675</c:v>
                </c:pt>
                <c:pt idx="680">
                  <c:v>2396</c:v>
                </c:pt>
                <c:pt idx="681">
                  <c:v>9544</c:v>
                </c:pt>
                <c:pt idx="682">
                  <c:v>445</c:v>
                </c:pt>
                <c:pt idx="683">
                  <c:v>5596</c:v>
                </c:pt>
                <c:pt idx="684">
                  <c:v>2850</c:v>
                </c:pt>
                <c:pt idx="685">
                  <c:v>6041</c:v>
                </c:pt>
                <c:pt idx="686">
                  <c:v>575</c:v>
                </c:pt>
                <c:pt idx="687">
                  <c:v>1069</c:v>
                </c:pt>
                <c:pt idx="688">
                  <c:v>7260</c:v>
                </c:pt>
                <c:pt idx="689">
                  <c:v>328</c:v>
                </c:pt>
                <c:pt idx="690">
                  <c:v>3017</c:v>
                </c:pt>
                <c:pt idx="691">
                  <c:v>6426</c:v>
                </c:pt>
                <c:pt idx="692">
                  <c:v>559</c:v>
                </c:pt>
                <c:pt idx="693">
                  <c:v>3787</c:v>
                </c:pt>
                <c:pt idx="694">
                  <c:v>326</c:v>
                </c:pt>
                <c:pt idx="695">
                  <c:v>8975</c:v>
                </c:pt>
                <c:pt idx="696">
                  <c:v>587</c:v>
                </c:pt>
                <c:pt idx="697">
                  <c:v>4413</c:v>
                </c:pt>
                <c:pt idx="698">
                  <c:v>7482</c:v>
                </c:pt>
                <c:pt idx="699">
                  <c:v>1339</c:v>
                </c:pt>
                <c:pt idx="700">
                  <c:v>2434</c:v>
                </c:pt>
                <c:pt idx="701">
                  <c:v>2192</c:v>
                </c:pt>
                <c:pt idx="702">
                  <c:v>2233</c:v>
                </c:pt>
                <c:pt idx="703">
                  <c:v>9589</c:v>
                </c:pt>
                <c:pt idx="704">
                  <c:v>1328</c:v>
                </c:pt>
                <c:pt idx="705">
                  <c:v>2835</c:v>
                </c:pt>
                <c:pt idx="706">
                  <c:v>2892</c:v>
                </c:pt>
                <c:pt idx="707">
                  <c:v>2803</c:v>
                </c:pt>
                <c:pt idx="708">
                  <c:v>3221</c:v>
                </c:pt>
                <c:pt idx="709">
                  <c:v>8740</c:v>
                </c:pt>
                <c:pt idx="710">
                  <c:v>348</c:v>
                </c:pt>
                <c:pt idx="711">
                  <c:v>3982</c:v>
                </c:pt>
                <c:pt idx="712">
                  <c:v>323</c:v>
                </c:pt>
                <c:pt idx="713">
                  <c:v>1432</c:v>
                </c:pt>
                <c:pt idx="714">
                  <c:v>2741</c:v>
                </c:pt>
                <c:pt idx="715">
                  <c:v>5087</c:v>
                </c:pt>
                <c:pt idx="716">
                  <c:v>4647</c:v>
                </c:pt>
                <c:pt idx="717">
                  <c:v>4006</c:v>
                </c:pt>
                <c:pt idx="718">
                  <c:v>523</c:v>
                </c:pt>
                <c:pt idx="719">
                  <c:v>783</c:v>
                </c:pt>
                <c:pt idx="720">
                  <c:v>2961</c:v>
                </c:pt>
                <c:pt idx="721">
                  <c:v>5003</c:v>
                </c:pt>
                <c:pt idx="722">
                  <c:v>4180</c:v>
                </c:pt>
                <c:pt idx="723">
                  <c:v>1341</c:v>
                </c:pt>
                <c:pt idx="724">
                  <c:v>3748</c:v>
                </c:pt>
                <c:pt idx="725">
                  <c:v>511</c:v>
                </c:pt>
                <c:pt idx="726">
                  <c:v>8288</c:v>
                </c:pt>
                <c:pt idx="727">
                  <c:v>6560</c:v>
                </c:pt>
                <c:pt idx="728">
                  <c:v>4634</c:v>
                </c:pt>
                <c:pt idx="729">
                  <c:v>1496</c:v>
                </c:pt>
                <c:pt idx="730">
                  <c:v>2037</c:v>
                </c:pt>
                <c:pt idx="731">
                  <c:v>2292</c:v>
                </c:pt>
                <c:pt idx="732">
                  <c:v>3184</c:v>
                </c:pt>
                <c:pt idx="733">
                  <c:v>1593</c:v>
                </c:pt>
                <c:pt idx="734">
                  <c:v>2629</c:v>
                </c:pt>
                <c:pt idx="735">
                  <c:v>532</c:v>
                </c:pt>
                <c:pt idx="736">
                  <c:v>385</c:v>
                </c:pt>
                <c:pt idx="737">
                  <c:v>6910</c:v>
                </c:pt>
                <c:pt idx="738">
                  <c:v>1649</c:v>
                </c:pt>
                <c:pt idx="739">
                  <c:v>4664</c:v>
                </c:pt>
                <c:pt idx="740">
                  <c:v>2388</c:v>
                </c:pt>
                <c:pt idx="741">
                  <c:v>4118</c:v>
                </c:pt>
                <c:pt idx="742">
                  <c:v>2255</c:v>
                </c:pt>
                <c:pt idx="743">
                  <c:v>1587</c:v>
                </c:pt>
                <c:pt idx="744">
                  <c:v>2272</c:v>
                </c:pt>
                <c:pt idx="745">
                  <c:v>983</c:v>
                </c:pt>
                <c:pt idx="746">
                  <c:v>3558</c:v>
                </c:pt>
                <c:pt idx="747">
                  <c:v>6557</c:v>
                </c:pt>
                <c:pt idx="748">
                  <c:v>1828</c:v>
                </c:pt>
                <c:pt idx="749">
                  <c:v>3100</c:v>
                </c:pt>
                <c:pt idx="750">
                  <c:v>518</c:v>
                </c:pt>
                <c:pt idx="751">
                  <c:v>721</c:v>
                </c:pt>
                <c:pt idx="752">
                  <c:v>2757</c:v>
                </c:pt>
                <c:pt idx="753">
                  <c:v>523</c:v>
                </c:pt>
                <c:pt idx="754">
                  <c:v>5786</c:v>
                </c:pt>
                <c:pt idx="755">
                  <c:v>2257</c:v>
                </c:pt>
                <c:pt idx="756">
                  <c:v>1560</c:v>
                </c:pt>
                <c:pt idx="757">
                  <c:v>9328</c:v>
                </c:pt>
                <c:pt idx="758">
                  <c:v>3980</c:v>
                </c:pt>
                <c:pt idx="759">
                  <c:v>350</c:v>
                </c:pt>
                <c:pt idx="760">
                  <c:v>4606</c:v>
                </c:pt>
                <c:pt idx="761">
                  <c:v>1087</c:v>
                </c:pt>
                <c:pt idx="762">
                  <c:v>7690</c:v>
                </c:pt>
                <c:pt idx="763">
                  <c:v>3669</c:v>
                </c:pt>
                <c:pt idx="764">
                  <c:v>4072</c:v>
                </c:pt>
                <c:pt idx="765">
                  <c:v>2702</c:v>
                </c:pt>
                <c:pt idx="766">
                  <c:v>2942</c:v>
                </c:pt>
                <c:pt idx="767">
                  <c:v>7315</c:v>
                </c:pt>
                <c:pt idx="768">
                  <c:v>422</c:v>
                </c:pt>
                <c:pt idx="769">
                  <c:v>4513</c:v>
                </c:pt>
                <c:pt idx="770">
                  <c:v>7299</c:v>
                </c:pt>
                <c:pt idx="771">
                  <c:v>2553</c:v>
                </c:pt>
                <c:pt idx="772">
                  <c:v>331</c:v>
                </c:pt>
                <c:pt idx="773">
                  <c:v>8142</c:v>
                </c:pt>
                <c:pt idx="774">
                  <c:v>2518</c:v>
                </c:pt>
                <c:pt idx="775">
                  <c:v>6531</c:v>
                </c:pt>
                <c:pt idx="776">
                  <c:v>2738</c:v>
                </c:pt>
                <c:pt idx="777">
                  <c:v>2066</c:v>
                </c:pt>
                <c:pt idx="778">
                  <c:v>7660</c:v>
                </c:pt>
                <c:pt idx="779">
                  <c:v>2745</c:v>
                </c:pt>
                <c:pt idx="780">
                  <c:v>4177</c:v>
                </c:pt>
                <c:pt idx="781">
                  <c:v>2285</c:v>
                </c:pt>
                <c:pt idx="782">
                  <c:v>9117</c:v>
                </c:pt>
                <c:pt idx="783">
                  <c:v>1565</c:v>
                </c:pt>
                <c:pt idx="784">
                  <c:v>1279</c:v>
                </c:pt>
                <c:pt idx="785">
                  <c:v>1039</c:v>
                </c:pt>
                <c:pt idx="786">
                  <c:v>366</c:v>
                </c:pt>
                <c:pt idx="787">
                  <c:v>3161</c:v>
                </c:pt>
                <c:pt idx="788">
                  <c:v>2673</c:v>
                </c:pt>
                <c:pt idx="789">
                  <c:v>6855</c:v>
                </c:pt>
                <c:pt idx="790">
                  <c:v>2935</c:v>
                </c:pt>
                <c:pt idx="791">
                  <c:v>5600</c:v>
                </c:pt>
                <c:pt idx="792">
                  <c:v>3204</c:v>
                </c:pt>
                <c:pt idx="793">
                  <c:v>1697</c:v>
                </c:pt>
                <c:pt idx="794">
                  <c:v>7559</c:v>
                </c:pt>
                <c:pt idx="795">
                  <c:v>2900</c:v>
                </c:pt>
                <c:pt idx="796">
                  <c:v>1889</c:v>
                </c:pt>
                <c:pt idx="797">
                  <c:v>7203</c:v>
                </c:pt>
                <c:pt idx="798">
                  <c:v>1626</c:v>
                </c:pt>
                <c:pt idx="799">
                  <c:v>2439</c:v>
                </c:pt>
                <c:pt idx="800">
                  <c:v>547</c:v>
                </c:pt>
                <c:pt idx="801">
                  <c:v>5769</c:v>
                </c:pt>
                <c:pt idx="802">
                  <c:v>495</c:v>
                </c:pt>
                <c:pt idx="803">
                  <c:v>5892</c:v>
                </c:pt>
                <c:pt idx="804">
                  <c:v>3797</c:v>
                </c:pt>
                <c:pt idx="805">
                  <c:v>2041</c:v>
                </c:pt>
                <c:pt idx="806">
                  <c:v>6607</c:v>
                </c:pt>
                <c:pt idx="807">
                  <c:v>1838</c:v>
                </c:pt>
                <c:pt idx="808">
                  <c:v>498</c:v>
                </c:pt>
                <c:pt idx="809">
                  <c:v>4732</c:v>
                </c:pt>
                <c:pt idx="810">
                  <c:v>2141</c:v>
                </c:pt>
                <c:pt idx="811">
                  <c:v>332</c:v>
                </c:pt>
                <c:pt idx="812">
                  <c:v>778</c:v>
                </c:pt>
                <c:pt idx="813">
                  <c:v>3327</c:v>
                </c:pt>
                <c:pt idx="814">
                  <c:v>522</c:v>
                </c:pt>
                <c:pt idx="815">
                  <c:v>380</c:v>
                </c:pt>
                <c:pt idx="816">
                  <c:v>7443</c:v>
                </c:pt>
                <c:pt idx="817">
                  <c:v>4427</c:v>
                </c:pt>
                <c:pt idx="818">
                  <c:v>3606</c:v>
                </c:pt>
                <c:pt idx="819">
                  <c:v>3877</c:v>
                </c:pt>
                <c:pt idx="820">
                  <c:v>5926</c:v>
                </c:pt>
                <c:pt idx="821">
                  <c:v>6653</c:v>
                </c:pt>
                <c:pt idx="822">
                  <c:v>658</c:v>
                </c:pt>
                <c:pt idx="823">
                  <c:v>6530</c:v>
                </c:pt>
                <c:pt idx="824">
                  <c:v>2138</c:v>
                </c:pt>
                <c:pt idx="825">
                  <c:v>2009</c:v>
                </c:pt>
                <c:pt idx="826">
                  <c:v>5521</c:v>
                </c:pt>
                <c:pt idx="827">
                  <c:v>4788</c:v>
                </c:pt>
                <c:pt idx="828">
                  <c:v>3047</c:v>
                </c:pt>
                <c:pt idx="829">
                  <c:v>2611</c:v>
                </c:pt>
                <c:pt idx="830">
                  <c:v>2591</c:v>
                </c:pt>
                <c:pt idx="831">
                  <c:v>7768</c:v>
                </c:pt>
                <c:pt idx="832">
                  <c:v>4497</c:v>
                </c:pt>
                <c:pt idx="833">
                  <c:v>305</c:v>
                </c:pt>
                <c:pt idx="834">
                  <c:v>2465</c:v>
                </c:pt>
                <c:pt idx="835">
                  <c:v>4821</c:v>
                </c:pt>
                <c:pt idx="836">
                  <c:v>3495</c:v>
                </c:pt>
                <c:pt idx="837">
                  <c:v>3162</c:v>
                </c:pt>
                <c:pt idx="838">
                  <c:v>5730</c:v>
                </c:pt>
                <c:pt idx="839">
                  <c:v>1125</c:v>
                </c:pt>
                <c:pt idx="840">
                  <c:v>1708</c:v>
                </c:pt>
                <c:pt idx="841">
                  <c:v>8521</c:v>
                </c:pt>
                <c:pt idx="842">
                  <c:v>1278</c:v>
                </c:pt>
                <c:pt idx="843">
                  <c:v>2100</c:v>
                </c:pt>
                <c:pt idx="844">
                  <c:v>384</c:v>
                </c:pt>
                <c:pt idx="845">
                  <c:v>1532</c:v>
                </c:pt>
                <c:pt idx="846">
                  <c:v>3792</c:v>
                </c:pt>
                <c:pt idx="847">
                  <c:v>762</c:v>
                </c:pt>
                <c:pt idx="848">
                  <c:v>9037</c:v>
                </c:pt>
                <c:pt idx="849">
                  <c:v>487</c:v>
                </c:pt>
                <c:pt idx="850">
                  <c:v>3816</c:v>
                </c:pt>
                <c:pt idx="851">
                  <c:v>3364</c:v>
                </c:pt>
                <c:pt idx="852">
                  <c:v>4131</c:v>
                </c:pt>
                <c:pt idx="853">
                  <c:v>7989</c:v>
                </c:pt>
                <c:pt idx="854">
                  <c:v>7697</c:v>
                </c:pt>
                <c:pt idx="855">
                  <c:v>549</c:v>
                </c:pt>
                <c:pt idx="856">
                  <c:v>9727</c:v>
                </c:pt>
                <c:pt idx="857">
                  <c:v>328</c:v>
                </c:pt>
                <c:pt idx="858">
                  <c:v>4151</c:v>
                </c:pt>
                <c:pt idx="859">
                  <c:v>2830</c:v>
                </c:pt>
                <c:pt idx="860">
                  <c:v>4230</c:v>
                </c:pt>
                <c:pt idx="861">
                  <c:v>3412</c:v>
                </c:pt>
                <c:pt idx="862">
                  <c:v>4296</c:v>
                </c:pt>
                <c:pt idx="863">
                  <c:v>4721</c:v>
                </c:pt>
                <c:pt idx="864">
                  <c:v>1484</c:v>
                </c:pt>
                <c:pt idx="865">
                  <c:v>2587</c:v>
                </c:pt>
                <c:pt idx="866">
                  <c:v>274</c:v>
                </c:pt>
                <c:pt idx="867">
                  <c:v>2977</c:v>
                </c:pt>
                <c:pt idx="868">
                  <c:v>2982</c:v>
                </c:pt>
                <c:pt idx="869">
                  <c:v>7905</c:v>
                </c:pt>
                <c:pt idx="870">
                  <c:v>363</c:v>
                </c:pt>
                <c:pt idx="871">
                  <c:v>3637</c:v>
                </c:pt>
                <c:pt idx="872">
                  <c:v>384</c:v>
                </c:pt>
                <c:pt idx="873">
                  <c:v>3794</c:v>
                </c:pt>
                <c:pt idx="874">
                  <c:v>391</c:v>
                </c:pt>
                <c:pt idx="875">
                  <c:v>586</c:v>
                </c:pt>
                <c:pt idx="876">
                  <c:v>2851</c:v>
                </c:pt>
                <c:pt idx="877">
                  <c:v>299</c:v>
                </c:pt>
                <c:pt idx="878">
                  <c:v>501</c:v>
                </c:pt>
                <c:pt idx="879">
                  <c:v>8720</c:v>
                </c:pt>
                <c:pt idx="880">
                  <c:v>1049</c:v>
                </c:pt>
                <c:pt idx="881">
                  <c:v>452</c:v>
                </c:pt>
                <c:pt idx="882">
                  <c:v>4363</c:v>
                </c:pt>
                <c:pt idx="883">
                  <c:v>2405</c:v>
                </c:pt>
                <c:pt idx="884">
                  <c:v>9885</c:v>
                </c:pt>
                <c:pt idx="885">
                  <c:v>5003</c:v>
                </c:pt>
                <c:pt idx="886">
                  <c:v>361</c:v>
                </c:pt>
                <c:pt idx="887">
                  <c:v>439</c:v>
                </c:pt>
                <c:pt idx="888">
                  <c:v>958</c:v>
                </c:pt>
                <c:pt idx="889">
                  <c:v>3763</c:v>
                </c:pt>
                <c:pt idx="890">
                  <c:v>399</c:v>
                </c:pt>
                <c:pt idx="891">
                  <c:v>6661</c:v>
                </c:pt>
                <c:pt idx="892">
                  <c:v>6580</c:v>
                </c:pt>
                <c:pt idx="893">
                  <c:v>1282</c:v>
                </c:pt>
                <c:pt idx="894">
                  <c:v>7996</c:v>
                </c:pt>
                <c:pt idx="895">
                  <c:v>2382</c:v>
                </c:pt>
                <c:pt idx="896">
                  <c:v>6789</c:v>
                </c:pt>
                <c:pt idx="897">
                  <c:v>1136</c:v>
                </c:pt>
                <c:pt idx="898">
                  <c:v>1163</c:v>
                </c:pt>
                <c:pt idx="899">
                  <c:v>2977</c:v>
                </c:pt>
                <c:pt idx="900">
                  <c:v>6722</c:v>
                </c:pt>
                <c:pt idx="901">
                  <c:v>2737</c:v>
                </c:pt>
                <c:pt idx="902">
                  <c:v>8750</c:v>
                </c:pt>
                <c:pt idx="903">
                  <c:v>980</c:v>
                </c:pt>
                <c:pt idx="904">
                  <c:v>7290</c:v>
                </c:pt>
                <c:pt idx="905">
                  <c:v>7378</c:v>
                </c:pt>
                <c:pt idx="906">
                  <c:v>2787</c:v>
                </c:pt>
                <c:pt idx="907">
                  <c:v>576</c:v>
                </c:pt>
                <c:pt idx="908">
                  <c:v>586</c:v>
                </c:pt>
                <c:pt idx="909">
                  <c:v>7866</c:v>
                </c:pt>
                <c:pt idx="910">
                  <c:v>6417</c:v>
                </c:pt>
                <c:pt idx="911">
                  <c:v>3511</c:v>
                </c:pt>
                <c:pt idx="912">
                  <c:v>2471</c:v>
                </c:pt>
                <c:pt idx="913">
                  <c:v>9956</c:v>
                </c:pt>
                <c:pt idx="914">
                  <c:v>3822</c:v>
                </c:pt>
                <c:pt idx="915">
                  <c:v>7534</c:v>
                </c:pt>
                <c:pt idx="916">
                  <c:v>4249</c:v>
                </c:pt>
                <c:pt idx="917">
                  <c:v>9404</c:v>
                </c:pt>
                <c:pt idx="918">
                  <c:v>8160</c:v>
                </c:pt>
                <c:pt idx="919">
                  <c:v>321</c:v>
                </c:pt>
                <c:pt idx="920">
                  <c:v>7514</c:v>
                </c:pt>
                <c:pt idx="921">
                  <c:v>1864</c:v>
                </c:pt>
                <c:pt idx="922">
                  <c:v>862</c:v>
                </c:pt>
                <c:pt idx="923">
                  <c:v>2957</c:v>
                </c:pt>
                <c:pt idx="924">
                  <c:v>405</c:v>
                </c:pt>
                <c:pt idx="925">
                  <c:v>5230</c:v>
                </c:pt>
                <c:pt idx="926">
                  <c:v>3769</c:v>
                </c:pt>
                <c:pt idx="927">
                  <c:v>1887</c:v>
                </c:pt>
                <c:pt idx="928">
                  <c:v>6763</c:v>
                </c:pt>
                <c:pt idx="929">
                  <c:v>6886</c:v>
                </c:pt>
                <c:pt idx="930">
                  <c:v>4682</c:v>
                </c:pt>
                <c:pt idx="931">
                  <c:v>319</c:v>
                </c:pt>
                <c:pt idx="932">
                  <c:v>2613</c:v>
                </c:pt>
                <c:pt idx="933">
                  <c:v>5855</c:v>
                </c:pt>
                <c:pt idx="934">
                  <c:v>2575</c:v>
                </c:pt>
                <c:pt idx="935">
                  <c:v>6995</c:v>
                </c:pt>
                <c:pt idx="936">
                  <c:v>2972</c:v>
                </c:pt>
                <c:pt idx="937">
                  <c:v>1996</c:v>
                </c:pt>
                <c:pt idx="938">
                  <c:v>355</c:v>
                </c:pt>
                <c:pt idx="939">
                  <c:v>3344</c:v>
                </c:pt>
                <c:pt idx="940">
                  <c:v>5743</c:v>
                </c:pt>
                <c:pt idx="941">
                  <c:v>4742</c:v>
                </c:pt>
                <c:pt idx="942">
                  <c:v>4270</c:v>
                </c:pt>
                <c:pt idx="943">
                  <c:v>388</c:v>
                </c:pt>
                <c:pt idx="944">
                  <c:v>7127</c:v>
                </c:pt>
                <c:pt idx="945">
                  <c:v>3923</c:v>
                </c:pt>
                <c:pt idx="946">
                  <c:v>2059</c:v>
                </c:pt>
                <c:pt idx="947">
                  <c:v>1904</c:v>
                </c:pt>
                <c:pt idx="948">
                  <c:v>4749</c:v>
                </c:pt>
                <c:pt idx="949">
                  <c:v>256</c:v>
                </c:pt>
                <c:pt idx="950">
                  <c:v>5564</c:v>
                </c:pt>
                <c:pt idx="951">
                  <c:v>6428</c:v>
                </c:pt>
                <c:pt idx="952">
                  <c:v>253</c:v>
                </c:pt>
                <c:pt idx="953">
                  <c:v>6814</c:v>
                </c:pt>
                <c:pt idx="954">
                  <c:v>558</c:v>
                </c:pt>
                <c:pt idx="955">
                  <c:v>4500</c:v>
                </c:pt>
                <c:pt idx="956">
                  <c:v>3266</c:v>
                </c:pt>
                <c:pt idx="957">
                  <c:v>2465</c:v>
                </c:pt>
                <c:pt idx="958">
                  <c:v>649</c:v>
                </c:pt>
                <c:pt idx="959">
                  <c:v>2774</c:v>
                </c:pt>
                <c:pt idx="960">
                  <c:v>2332</c:v>
                </c:pt>
                <c:pt idx="961">
                  <c:v>8290</c:v>
                </c:pt>
                <c:pt idx="962">
                  <c:v>3156</c:v>
                </c:pt>
                <c:pt idx="963">
                  <c:v>2574</c:v>
                </c:pt>
                <c:pt idx="964">
                  <c:v>4142</c:v>
                </c:pt>
                <c:pt idx="965">
                  <c:v>262</c:v>
                </c:pt>
                <c:pt idx="966">
                  <c:v>3680</c:v>
                </c:pt>
                <c:pt idx="967">
                  <c:v>1763</c:v>
                </c:pt>
                <c:pt idx="968">
                  <c:v>5758</c:v>
                </c:pt>
                <c:pt idx="969">
                  <c:v>9916</c:v>
                </c:pt>
                <c:pt idx="970">
                  <c:v>2613</c:v>
                </c:pt>
                <c:pt idx="971">
                  <c:v>4781</c:v>
                </c:pt>
                <c:pt idx="972">
                  <c:v>7931</c:v>
                </c:pt>
                <c:pt idx="973">
                  <c:v>2240</c:v>
                </c:pt>
                <c:pt idx="974">
                  <c:v>2835</c:v>
                </c:pt>
                <c:pt idx="975">
                  <c:v>329</c:v>
                </c:pt>
                <c:pt idx="976">
                  <c:v>6572</c:v>
                </c:pt>
                <c:pt idx="977">
                  <c:v>9210</c:v>
                </c:pt>
                <c:pt idx="978">
                  <c:v>460</c:v>
                </c:pt>
                <c:pt idx="979">
                  <c:v>260</c:v>
                </c:pt>
                <c:pt idx="980">
                  <c:v>254</c:v>
                </c:pt>
                <c:pt idx="981">
                  <c:v>2193</c:v>
                </c:pt>
                <c:pt idx="982">
                  <c:v>3893</c:v>
                </c:pt>
                <c:pt idx="983">
                  <c:v>2814</c:v>
                </c:pt>
                <c:pt idx="984">
                  <c:v>6783</c:v>
                </c:pt>
                <c:pt idx="985">
                  <c:v>2448</c:v>
                </c:pt>
                <c:pt idx="986">
                  <c:v>593</c:v>
                </c:pt>
                <c:pt idx="987">
                  <c:v>2057</c:v>
                </c:pt>
                <c:pt idx="988">
                  <c:v>560</c:v>
                </c:pt>
                <c:pt idx="989">
                  <c:v>1740</c:v>
                </c:pt>
                <c:pt idx="990">
                  <c:v>2803</c:v>
                </c:pt>
                <c:pt idx="991">
                  <c:v>468</c:v>
                </c:pt>
                <c:pt idx="992">
                  <c:v>1249</c:v>
                </c:pt>
                <c:pt idx="993">
                  <c:v>2658</c:v>
                </c:pt>
                <c:pt idx="994">
                  <c:v>5282</c:v>
                </c:pt>
                <c:pt idx="995">
                  <c:v>6040</c:v>
                </c:pt>
                <c:pt idx="996">
                  <c:v>7007</c:v>
                </c:pt>
                <c:pt idx="997">
                  <c:v>1921</c:v>
                </c:pt>
                <c:pt idx="998">
                  <c:v>4170</c:v>
                </c:pt>
                <c:pt idx="999">
                  <c:v>4412</c:v>
                </c:pt>
              </c:numCache>
            </c:numRef>
          </c:xVal>
          <c:yVal>
            <c:numRef>
              <c:f>'Property Dataset  '!$F$2:$F$1001</c:f>
              <c:numCache>
                <c:formatCode>"₹"\ #,##0.00</c:formatCode>
                <c:ptCount val="1000"/>
                <c:pt idx="0">
                  <c:v>10000000</c:v>
                </c:pt>
                <c:pt idx="1">
                  <c:v>50000000</c:v>
                </c:pt>
                <c:pt idx="2">
                  <c:v>10000000</c:v>
                </c:pt>
                <c:pt idx="3">
                  <c:v>15000000</c:v>
                </c:pt>
                <c:pt idx="4">
                  <c:v>30000000</c:v>
                </c:pt>
                <c:pt idx="5">
                  <c:v>12000000</c:v>
                </c:pt>
                <c:pt idx="6">
                  <c:v>30000000</c:v>
                </c:pt>
                <c:pt idx="7">
                  <c:v>12000000</c:v>
                </c:pt>
                <c:pt idx="8">
                  <c:v>10000000</c:v>
                </c:pt>
                <c:pt idx="9">
                  <c:v>10000000</c:v>
                </c:pt>
                <c:pt idx="10">
                  <c:v>10000000</c:v>
                </c:pt>
                <c:pt idx="11">
                  <c:v>40000000</c:v>
                </c:pt>
                <c:pt idx="12">
                  <c:v>12000000</c:v>
                </c:pt>
                <c:pt idx="13">
                  <c:v>50000000</c:v>
                </c:pt>
                <c:pt idx="14">
                  <c:v>40000000</c:v>
                </c:pt>
                <c:pt idx="15">
                  <c:v>12000000</c:v>
                </c:pt>
                <c:pt idx="16">
                  <c:v>50000000</c:v>
                </c:pt>
                <c:pt idx="17">
                  <c:v>40000000</c:v>
                </c:pt>
                <c:pt idx="18">
                  <c:v>10000000</c:v>
                </c:pt>
                <c:pt idx="19">
                  <c:v>10000000</c:v>
                </c:pt>
                <c:pt idx="20">
                  <c:v>40000000</c:v>
                </c:pt>
                <c:pt idx="21">
                  <c:v>30000000</c:v>
                </c:pt>
                <c:pt idx="22">
                  <c:v>10000000</c:v>
                </c:pt>
                <c:pt idx="23">
                  <c:v>15000000</c:v>
                </c:pt>
                <c:pt idx="24">
                  <c:v>26959771</c:v>
                </c:pt>
                <c:pt idx="25">
                  <c:v>40000000</c:v>
                </c:pt>
                <c:pt idx="26">
                  <c:v>30000000</c:v>
                </c:pt>
                <c:pt idx="27">
                  <c:v>10000000</c:v>
                </c:pt>
                <c:pt idx="28">
                  <c:v>10000000</c:v>
                </c:pt>
                <c:pt idx="29">
                  <c:v>40000000</c:v>
                </c:pt>
                <c:pt idx="30">
                  <c:v>40000000</c:v>
                </c:pt>
                <c:pt idx="31">
                  <c:v>10000000</c:v>
                </c:pt>
                <c:pt idx="32">
                  <c:v>50000000</c:v>
                </c:pt>
                <c:pt idx="33">
                  <c:v>50000000</c:v>
                </c:pt>
                <c:pt idx="34">
                  <c:v>50000000</c:v>
                </c:pt>
                <c:pt idx="35">
                  <c:v>40000000</c:v>
                </c:pt>
                <c:pt idx="36">
                  <c:v>10000000</c:v>
                </c:pt>
                <c:pt idx="37">
                  <c:v>12000000</c:v>
                </c:pt>
                <c:pt idx="38">
                  <c:v>26019572</c:v>
                </c:pt>
                <c:pt idx="39">
                  <c:v>15000000</c:v>
                </c:pt>
                <c:pt idx="40">
                  <c:v>40000000</c:v>
                </c:pt>
                <c:pt idx="41">
                  <c:v>30000000</c:v>
                </c:pt>
                <c:pt idx="42">
                  <c:v>12000000</c:v>
                </c:pt>
                <c:pt idx="43">
                  <c:v>30000000</c:v>
                </c:pt>
                <c:pt idx="44">
                  <c:v>10000000</c:v>
                </c:pt>
                <c:pt idx="45">
                  <c:v>30000000</c:v>
                </c:pt>
                <c:pt idx="46">
                  <c:v>15000000</c:v>
                </c:pt>
                <c:pt idx="47">
                  <c:v>50000000</c:v>
                </c:pt>
                <c:pt idx="48">
                  <c:v>10000000</c:v>
                </c:pt>
                <c:pt idx="49">
                  <c:v>40000000</c:v>
                </c:pt>
                <c:pt idx="50">
                  <c:v>30000000</c:v>
                </c:pt>
                <c:pt idx="51">
                  <c:v>15000000</c:v>
                </c:pt>
                <c:pt idx="52">
                  <c:v>40000000</c:v>
                </c:pt>
                <c:pt idx="53">
                  <c:v>15000000</c:v>
                </c:pt>
                <c:pt idx="54">
                  <c:v>15000000</c:v>
                </c:pt>
                <c:pt idx="55">
                  <c:v>12000000</c:v>
                </c:pt>
                <c:pt idx="56">
                  <c:v>15000000</c:v>
                </c:pt>
                <c:pt idx="57">
                  <c:v>50000000</c:v>
                </c:pt>
                <c:pt idx="58">
                  <c:v>15000000</c:v>
                </c:pt>
                <c:pt idx="59">
                  <c:v>15000000</c:v>
                </c:pt>
                <c:pt idx="60">
                  <c:v>30000000</c:v>
                </c:pt>
                <c:pt idx="61">
                  <c:v>26688946</c:v>
                </c:pt>
                <c:pt idx="62">
                  <c:v>50000000</c:v>
                </c:pt>
                <c:pt idx="63">
                  <c:v>10000000</c:v>
                </c:pt>
                <c:pt idx="64">
                  <c:v>40000000</c:v>
                </c:pt>
                <c:pt idx="65">
                  <c:v>30000000</c:v>
                </c:pt>
                <c:pt idx="66">
                  <c:v>15000000</c:v>
                </c:pt>
                <c:pt idx="67">
                  <c:v>33263634</c:v>
                </c:pt>
                <c:pt idx="68">
                  <c:v>50000000</c:v>
                </c:pt>
                <c:pt idx="69">
                  <c:v>15000000</c:v>
                </c:pt>
                <c:pt idx="70">
                  <c:v>12000000</c:v>
                </c:pt>
                <c:pt idx="71">
                  <c:v>12000000</c:v>
                </c:pt>
                <c:pt idx="72">
                  <c:v>12000000</c:v>
                </c:pt>
                <c:pt idx="73">
                  <c:v>50000000</c:v>
                </c:pt>
                <c:pt idx="74">
                  <c:v>40000000</c:v>
                </c:pt>
                <c:pt idx="75">
                  <c:v>40000000</c:v>
                </c:pt>
                <c:pt idx="76">
                  <c:v>40000000</c:v>
                </c:pt>
                <c:pt idx="77">
                  <c:v>15000000</c:v>
                </c:pt>
                <c:pt idx="78">
                  <c:v>30000000</c:v>
                </c:pt>
                <c:pt idx="79">
                  <c:v>50000000</c:v>
                </c:pt>
                <c:pt idx="80">
                  <c:v>15000000</c:v>
                </c:pt>
                <c:pt idx="81">
                  <c:v>40000000</c:v>
                </c:pt>
                <c:pt idx="82">
                  <c:v>50000000</c:v>
                </c:pt>
                <c:pt idx="83">
                  <c:v>15000000</c:v>
                </c:pt>
                <c:pt idx="84">
                  <c:v>12000000</c:v>
                </c:pt>
                <c:pt idx="85">
                  <c:v>30000000</c:v>
                </c:pt>
                <c:pt idx="86">
                  <c:v>10000000</c:v>
                </c:pt>
                <c:pt idx="87">
                  <c:v>15000000</c:v>
                </c:pt>
                <c:pt idx="88">
                  <c:v>30000000</c:v>
                </c:pt>
                <c:pt idx="89">
                  <c:v>50000000</c:v>
                </c:pt>
                <c:pt idx="90">
                  <c:v>15000000</c:v>
                </c:pt>
                <c:pt idx="91">
                  <c:v>10000000</c:v>
                </c:pt>
                <c:pt idx="92">
                  <c:v>10000000</c:v>
                </c:pt>
                <c:pt idx="93">
                  <c:v>15000000</c:v>
                </c:pt>
                <c:pt idx="94">
                  <c:v>12000000</c:v>
                </c:pt>
                <c:pt idx="95">
                  <c:v>15000000</c:v>
                </c:pt>
                <c:pt idx="96">
                  <c:v>12000000</c:v>
                </c:pt>
                <c:pt idx="97">
                  <c:v>12000000</c:v>
                </c:pt>
                <c:pt idx="98">
                  <c:v>12000000</c:v>
                </c:pt>
                <c:pt idx="99">
                  <c:v>30000000</c:v>
                </c:pt>
                <c:pt idx="100">
                  <c:v>50000000</c:v>
                </c:pt>
                <c:pt idx="101">
                  <c:v>10000000</c:v>
                </c:pt>
                <c:pt idx="102">
                  <c:v>15000000</c:v>
                </c:pt>
                <c:pt idx="103">
                  <c:v>30000000</c:v>
                </c:pt>
                <c:pt idx="104">
                  <c:v>12000000</c:v>
                </c:pt>
                <c:pt idx="105">
                  <c:v>50000000</c:v>
                </c:pt>
                <c:pt idx="106">
                  <c:v>15000000</c:v>
                </c:pt>
                <c:pt idx="107">
                  <c:v>50000000</c:v>
                </c:pt>
                <c:pt idx="108">
                  <c:v>10000000</c:v>
                </c:pt>
                <c:pt idx="109">
                  <c:v>30000000</c:v>
                </c:pt>
                <c:pt idx="110">
                  <c:v>50000000</c:v>
                </c:pt>
                <c:pt idx="111">
                  <c:v>30000000</c:v>
                </c:pt>
                <c:pt idx="112">
                  <c:v>50000000</c:v>
                </c:pt>
                <c:pt idx="113">
                  <c:v>40000000</c:v>
                </c:pt>
                <c:pt idx="114">
                  <c:v>12000000</c:v>
                </c:pt>
                <c:pt idx="115">
                  <c:v>50000000</c:v>
                </c:pt>
                <c:pt idx="116">
                  <c:v>30000000</c:v>
                </c:pt>
                <c:pt idx="117">
                  <c:v>15000000</c:v>
                </c:pt>
                <c:pt idx="118">
                  <c:v>15000000</c:v>
                </c:pt>
                <c:pt idx="119">
                  <c:v>30000000</c:v>
                </c:pt>
                <c:pt idx="120">
                  <c:v>15000000</c:v>
                </c:pt>
                <c:pt idx="121">
                  <c:v>12000000</c:v>
                </c:pt>
                <c:pt idx="122">
                  <c:v>12000000</c:v>
                </c:pt>
                <c:pt idx="123">
                  <c:v>10000000</c:v>
                </c:pt>
                <c:pt idx="124">
                  <c:v>15000000</c:v>
                </c:pt>
                <c:pt idx="125">
                  <c:v>43113726</c:v>
                </c:pt>
                <c:pt idx="126">
                  <c:v>10000000</c:v>
                </c:pt>
                <c:pt idx="127">
                  <c:v>30000000</c:v>
                </c:pt>
                <c:pt idx="128">
                  <c:v>30000000</c:v>
                </c:pt>
                <c:pt idx="129">
                  <c:v>10000000</c:v>
                </c:pt>
                <c:pt idx="130">
                  <c:v>50000000</c:v>
                </c:pt>
                <c:pt idx="131">
                  <c:v>12000000</c:v>
                </c:pt>
                <c:pt idx="132">
                  <c:v>30000000</c:v>
                </c:pt>
                <c:pt idx="133">
                  <c:v>15000000</c:v>
                </c:pt>
                <c:pt idx="134">
                  <c:v>30000000</c:v>
                </c:pt>
                <c:pt idx="135">
                  <c:v>12000000</c:v>
                </c:pt>
                <c:pt idx="136">
                  <c:v>12000000</c:v>
                </c:pt>
                <c:pt idx="137">
                  <c:v>12000000</c:v>
                </c:pt>
                <c:pt idx="138">
                  <c:v>50000000</c:v>
                </c:pt>
                <c:pt idx="139">
                  <c:v>10000000</c:v>
                </c:pt>
                <c:pt idx="140">
                  <c:v>50000000</c:v>
                </c:pt>
                <c:pt idx="141">
                  <c:v>50000000</c:v>
                </c:pt>
                <c:pt idx="142">
                  <c:v>15000000</c:v>
                </c:pt>
                <c:pt idx="143">
                  <c:v>30000000</c:v>
                </c:pt>
                <c:pt idx="144">
                  <c:v>30000000</c:v>
                </c:pt>
                <c:pt idx="145">
                  <c:v>30000000</c:v>
                </c:pt>
                <c:pt idx="146">
                  <c:v>30000000</c:v>
                </c:pt>
                <c:pt idx="147">
                  <c:v>30000000</c:v>
                </c:pt>
                <c:pt idx="148">
                  <c:v>30567155</c:v>
                </c:pt>
                <c:pt idx="149">
                  <c:v>15000000</c:v>
                </c:pt>
                <c:pt idx="150">
                  <c:v>12000000</c:v>
                </c:pt>
                <c:pt idx="151">
                  <c:v>50000000</c:v>
                </c:pt>
                <c:pt idx="152">
                  <c:v>12000000</c:v>
                </c:pt>
                <c:pt idx="153">
                  <c:v>30000000</c:v>
                </c:pt>
                <c:pt idx="154">
                  <c:v>30000000</c:v>
                </c:pt>
                <c:pt idx="155">
                  <c:v>30000000</c:v>
                </c:pt>
                <c:pt idx="156">
                  <c:v>40000000</c:v>
                </c:pt>
                <c:pt idx="157">
                  <c:v>30000000</c:v>
                </c:pt>
                <c:pt idx="158">
                  <c:v>30000000</c:v>
                </c:pt>
                <c:pt idx="159">
                  <c:v>30000000</c:v>
                </c:pt>
                <c:pt idx="160">
                  <c:v>15000000</c:v>
                </c:pt>
                <c:pt idx="161">
                  <c:v>12000000</c:v>
                </c:pt>
                <c:pt idx="162">
                  <c:v>40000000</c:v>
                </c:pt>
                <c:pt idx="163">
                  <c:v>40000000</c:v>
                </c:pt>
                <c:pt idx="164">
                  <c:v>15000000</c:v>
                </c:pt>
                <c:pt idx="165">
                  <c:v>30000000</c:v>
                </c:pt>
                <c:pt idx="166">
                  <c:v>40000000</c:v>
                </c:pt>
                <c:pt idx="167">
                  <c:v>10000000</c:v>
                </c:pt>
                <c:pt idx="168">
                  <c:v>30000000</c:v>
                </c:pt>
                <c:pt idx="169">
                  <c:v>40000000</c:v>
                </c:pt>
                <c:pt idx="170">
                  <c:v>10000000</c:v>
                </c:pt>
                <c:pt idx="171">
                  <c:v>12000000</c:v>
                </c:pt>
                <c:pt idx="172">
                  <c:v>15000000</c:v>
                </c:pt>
                <c:pt idx="173">
                  <c:v>30000000</c:v>
                </c:pt>
                <c:pt idx="174">
                  <c:v>40000000</c:v>
                </c:pt>
                <c:pt idx="175">
                  <c:v>10000000</c:v>
                </c:pt>
                <c:pt idx="176">
                  <c:v>15000000</c:v>
                </c:pt>
                <c:pt idx="177">
                  <c:v>33863478</c:v>
                </c:pt>
                <c:pt idx="178">
                  <c:v>12000000</c:v>
                </c:pt>
                <c:pt idx="179">
                  <c:v>10000000</c:v>
                </c:pt>
                <c:pt idx="180">
                  <c:v>12000000</c:v>
                </c:pt>
                <c:pt idx="181">
                  <c:v>40000000</c:v>
                </c:pt>
                <c:pt idx="182">
                  <c:v>12000000</c:v>
                </c:pt>
                <c:pt idx="183">
                  <c:v>10000000</c:v>
                </c:pt>
                <c:pt idx="184">
                  <c:v>40000000</c:v>
                </c:pt>
                <c:pt idx="185">
                  <c:v>50000000</c:v>
                </c:pt>
                <c:pt idx="186">
                  <c:v>12000000</c:v>
                </c:pt>
                <c:pt idx="187">
                  <c:v>50000000</c:v>
                </c:pt>
                <c:pt idx="188">
                  <c:v>10000000</c:v>
                </c:pt>
                <c:pt idx="189">
                  <c:v>15000000</c:v>
                </c:pt>
                <c:pt idx="190">
                  <c:v>10000000</c:v>
                </c:pt>
                <c:pt idx="191">
                  <c:v>12000000</c:v>
                </c:pt>
                <c:pt idx="192">
                  <c:v>15000000</c:v>
                </c:pt>
                <c:pt idx="193">
                  <c:v>15000000</c:v>
                </c:pt>
                <c:pt idx="194">
                  <c:v>30000000</c:v>
                </c:pt>
                <c:pt idx="195">
                  <c:v>30000000</c:v>
                </c:pt>
                <c:pt idx="196">
                  <c:v>30000000</c:v>
                </c:pt>
                <c:pt idx="197">
                  <c:v>30000000</c:v>
                </c:pt>
                <c:pt idx="198">
                  <c:v>12000000</c:v>
                </c:pt>
                <c:pt idx="199">
                  <c:v>10000000</c:v>
                </c:pt>
                <c:pt idx="200">
                  <c:v>12000000</c:v>
                </c:pt>
                <c:pt idx="201">
                  <c:v>10000000</c:v>
                </c:pt>
                <c:pt idx="202">
                  <c:v>12000000</c:v>
                </c:pt>
                <c:pt idx="203">
                  <c:v>30000000</c:v>
                </c:pt>
                <c:pt idx="204">
                  <c:v>40000000</c:v>
                </c:pt>
                <c:pt idx="205">
                  <c:v>30000000</c:v>
                </c:pt>
                <c:pt idx="206">
                  <c:v>12000000</c:v>
                </c:pt>
                <c:pt idx="207">
                  <c:v>12000000</c:v>
                </c:pt>
                <c:pt idx="208">
                  <c:v>10000000</c:v>
                </c:pt>
                <c:pt idx="209">
                  <c:v>15000000</c:v>
                </c:pt>
                <c:pt idx="210">
                  <c:v>40000000</c:v>
                </c:pt>
                <c:pt idx="211">
                  <c:v>40000000</c:v>
                </c:pt>
                <c:pt idx="212">
                  <c:v>50000000</c:v>
                </c:pt>
                <c:pt idx="213">
                  <c:v>50000000</c:v>
                </c:pt>
                <c:pt idx="214">
                  <c:v>50000000</c:v>
                </c:pt>
                <c:pt idx="215">
                  <c:v>50000000</c:v>
                </c:pt>
                <c:pt idx="216">
                  <c:v>50000000</c:v>
                </c:pt>
                <c:pt idx="217">
                  <c:v>50000000</c:v>
                </c:pt>
                <c:pt idx="218">
                  <c:v>15000000</c:v>
                </c:pt>
                <c:pt idx="219">
                  <c:v>10000000</c:v>
                </c:pt>
                <c:pt idx="220">
                  <c:v>50000000</c:v>
                </c:pt>
                <c:pt idx="221">
                  <c:v>10000000</c:v>
                </c:pt>
                <c:pt idx="222">
                  <c:v>40000000</c:v>
                </c:pt>
                <c:pt idx="223">
                  <c:v>15000000</c:v>
                </c:pt>
                <c:pt idx="224">
                  <c:v>30000000</c:v>
                </c:pt>
                <c:pt idx="225">
                  <c:v>30000000</c:v>
                </c:pt>
                <c:pt idx="226">
                  <c:v>12000000</c:v>
                </c:pt>
                <c:pt idx="227">
                  <c:v>15000000</c:v>
                </c:pt>
                <c:pt idx="228">
                  <c:v>15000000</c:v>
                </c:pt>
                <c:pt idx="229">
                  <c:v>50000000</c:v>
                </c:pt>
                <c:pt idx="230">
                  <c:v>10000000</c:v>
                </c:pt>
                <c:pt idx="231">
                  <c:v>12000000</c:v>
                </c:pt>
                <c:pt idx="232">
                  <c:v>40000000</c:v>
                </c:pt>
                <c:pt idx="233">
                  <c:v>15000000</c:v>
                </c:pt>
                <c:pt idx="234">
                  <c:v>10000000</c:v>
                </c:pt>
                <c:pt idx="235">
                  <c:v>12000000</c:v>
                </c:pt>
                <c:pt idx="236">
                  <c:v>12000000</c:v>
                </c:pt>
                <c:pt idx="237">
                  <c:v>12000000</c:v>
                </c:pt>
                <c:pt idx="238">
                  <c:v>10000000</c:v>
                </c:pt>
                <c:pt idx="239">
                  <c:v>15000000</c:v>
                </c:pt>
                <c:pt idx="240">
                  <c:v>28198675</c:v>
                </c:pt>
                <c:pt idx="241">
                  <c:v>40000000</c:v>
                </c:pt>
                <c:pt idx="242">
                  <c:v>15000000</c:v>
                </c:pt>
                <c:pt idx="243">
                  <c:v>50000000</c:v>
                </c:pt>
                <c:pt idx="244">
                  <c:v>15000000</c:v>
                </c:pt>
                <c:pt idx="245">
                  <c:v>50000000</c:v>
                </c:pt>
                <c:pt idx="246">
                  <c:v>50000000</c:v>
                </c:pt>
                <c:pt idx="247">
                  <c:v>12000000</c:v>
                </c:pt>
                <c:pt idx="248">
                  <c:v>10000000</c:v>
                </c:pt>
                <c:pt idx="249">
                  <c:v>40000000</c:v>
                </c:pt>
                <c:pt idx="250">
                  <c:v>30000000</c:v>
                </c:pt>
                <c:pt idx="251">
                  <c:v>15000000</c:v>
                </c:pt>
                <c:pt idx="252">
                  <c:v>15000000</c:v>
                </c:pt>
                <c:pt idx="253">
                  <c:v>50000000</c:v>
                </c:pt>
                <c:pt idx="254">
                  <c:v>12000000</c:v>
                </c:pt>
                <c:pt idx="255">
                  <c:v>10000000</c:v>
                </c:pt>
                <c:pt idx="256">
                  <c:v>15000000</c:v>
                </c:pt>
                <c:pt idx="257">
                  <c:v>10000000</c:v>
                </c:pt>
                <c:pt idx="258">
                  <c:v>10000000</c:v>
                </c:pt>
                <c:pt idx="259">
                  <c:v>30000000</c:v>
                </c:pt>
                <c:pt idx="260">
                  <c:v>40000000</c:v>
                </c:pt>
                <c:pt idx="261">
                  <c:v>30000000</c:v>
                </c:pt>
                <c:pt idx="262">
                  <c:v>12000000</c:v>
                </c:pt>
                <c:pt idx="263">
                  <c:v>10000000</c:v>
                </c:pt>
                <c:pt idx="264">
                  <c:v>12000000</c:v>
                </c:pt>
                <c:pt idx="265">
                  <c:v>40000000</c:v>
                </c:pt>
                <c:pt idx="266">
                  <c:v>40000000</c:v>
                </c:pt>
                <c:pt idx="267">
                  <c:v>50000000</c:v>
                </c:pt>
                <c:pt idx="268">
                  <c:v>12000000</c:v>
                </c:pt>
                <c:pt idx="269">
                  <c:v>12000000</c:v>
                </c:pt>
                <c:pt idx="270">
                  <c:v>12000000</c:v>
                </c:pt>
                <c:pt idx="271">
                  <c:v>50000000</c:v>
                </c:pt>
                <c:pt idx="272">
                  <c:v>50000000</c:v>
                </c:pt>
                <c:pt idx="273">
                  <c:v>12000000</c:v>
                </c:pt>
                <c:pt idx="274">
                  <c:v>10000000</c:v>
                </c:pt>
                <c:pt idx="275">
                  <c:v>40000000</c:v>
                </c:pt>
                <c:pt idx="276">
                  <c:v>50000000</c:v>
                </c:pt>
                <c:pt idx="277">
                  <c:v>50000000</c:v>
                </c:pt>
                <c:pt idx="278">
                  <c:v>50000000</c:v>
                </c:pt>
                <c:pt idx="279">
                  <c:v>15000000</c:v>
                </c:pt>
                <c:pt idx="280">
                  <c:v>30000000</c:v>
                </c:pt>
                <c:pt idx="281">
                  <c:v>10000000</c:v>
                </c:pt>
                <c:pt idx="282">
                  <c:v>40000000</c:v>
                </c:pt>
                <c:pt idx="283">
                  <c:v>50000000</c:v>
                </c:pt>
                <c:pt idx="284">
                  <c:v>10000000</c:v>
                </c:pt>
                <c:pt idx="285">
                  <c:v>12000000</c:v>
                </c:pt>
                <c:pt idx="286">
                  <c:v>40000000</c:v>
                </c:pt>
                <c:pt idx="287">
                  <c:v>40000000</c:v>
                </c:pt>
                <c:pt idx="288">
                  <c:v>10000000</c:v>
                </c:pt>
                <c:pt idx="289">
                  <c:v>40000000</c:v>
                </c:pt>
                <c:pt idx="290">
                  <c:v>12000000</c:v>
                </c:pt>
                <c:pt idx="291">
                  <c:v>50000000</c:v>
                </c:pt>
                <c:pt idx="292">
                  <c:v>40000000</c:v>
                </c:pt>
                <c:pt idx="293">
                  <c:v>40000000</c:v>
                </c:pt>
                <c:pt idx="294">
                  <c:v>10000000</c:v>
                </c:pt>
                <c:pt idx="295">
                  <c:v>30000000</c:v>
                </c:pt>
                <c:pt idx="296">
                  <c:v>12000000</c:v>
                </c:pt>
                <c:pt idx="297">
                  <c:v>50000000</c:v>
                </c:pt>
                <c:pt idx="298">
                  <c:v>40000000</c:v>
                </c:pt>
                <c:pt idx="299">
                  <c:v>30000000</c:v>
                </c:pt>
                <c:pt idx="300">
                  <c:v>50000000</c:v>
                </c:pt>
                <c:pt idx="301">
                  <c:v>30000000</c:v>
                </c:pt>
                <c:pt idx="302">
                  <c:v>30000000</c:v>
                </c:pt>
                <c:pt idx="303">
                  <c:v>29861449</c:v>
                </c:pt>
                <c:pt idx="304">
                  <c:v>40000000</c:v>
                </c:pt>
                <c:pt idx="305">
                  <c:v>10000000</c:v>
                </c:pt>
                <c:pt idx="306">
                  <c:v>40000000</c:v>
                </c:pt>
                <c:pt idx="307">
                  <c:v>10000000</c:v>
                </c:pt>
                <c:pt idx="308">
                  <c:v>50000000</c:v>
                </c:pt>
                <c:pt idx="309">
                  <c:v>12000000</c:v>
                </c:pt>
                <c:pt idx="310">
                  <c:v>40000000</c:v>
                </c:pt>
                <c:pt idx="311">
                  <c:v>12000000</c:v>
                </c:pt>
                <c:pt idx="312">
                  <c:v>10000000</c:v>
                </c:pt>
                <c:pt idx="313">
                  <c:v>40000000</c:v>
                </c:pt>
                <c:pt idx="314">
                  <c:v>12000000</c:v>
                </c:pt>
                <c:pt idx="315">
                  <c:v>10000000</c:v>
                </c:pt>
                <c:pt idx="316">
                  <c:v>40000000</c:v>
                </c:pt>
                <c:pt idx="317">
                  <c:v>15000000</c:v>
                </c:pt>
                <c:pt idx="318">
                  <c:v>12000000</c:v>
                </c:pt>
                <c:pt idx="319">
                  <c:v>40000000</c:v>
                </c:pt>
                <c:pt idx="320">
                  <c:v>50000000</c:v>
                </c:pt>
                <c:pt idx="321">
                  <c:v>50000000</c:v>
                </c:pt>
                <c:pt idx="322">
                  <c:v>30000000</c:v>
                </c:pt>
                <c:pt idx="323">
                  <c:v>30000000</c:v>
                </c:pt>
                <c:pt idx="324">
                  <c:v>15000000</c:v>
                </c:pt>
                <c:pt idx="325">
                  <c:v>50000000</c:v>
                </c:pt>
                <c:pt idx="326">
                  <c:v>12000000</c:v>
                </c:pt>
                <c:pt idx="327">
                  <c:v>25905850</c:v>
                </c:pt>
                <c:pt idx="328">
                  <c:v>15000000</c:v>
                </c:pt>
                <c:pt idx="329">
                  <c:v>40000000</c:v>
                </c:pt>
                <c:pt idx="330">
                  <c:v>10000000</c:v>
                </c:pt>
                <c:pt idx="331">
                  <c:v>10000000</c:v>
                </c:pt>
                <c:pt idx="332">
                  <c:v>50000000</c:v>
                </c:pt>
                <c:pt idx="333">
                  <c:v>12000000</c:v>
                </c:pt>
                <c:pt idx="334">
                  <c:v>40000000</c:v>
                </c:pt>
                <c:pt idx="335">
                  <c:v>50000000</c:v>
                </c:pt>
                <c:pt idx="336">
                  <c:v>20085307</c:v>
                </c:pt>
                <c:pt idx="337">
                  <c:v>15000000</c:v>
                </c:pt>
                <c:pt idx="338">
                  <c:v>15000000</c:v>
                </c:pt>
                <c:pt idx="339">
                  <c:v>10000000</c:v>
                </c:pt>
                <c:pt idx="340">
                  <c:v>40000000</c:v>
                </c:pt>
                <c:pt idx="341">
                  <c:v>10000000</c:v>
                </c:pt>
                <c:pt idx="342">
                  <c:v>40000000</c:v>
                </c:pt>
                <c:pt idx="343">
                  <c:v>30000000</c:v>
                </c:pt>
                <c:pt idx="344">
                  <c:v>15000000</c:v>
                </c:pt>
                <c:pt idx="345">
                  <c:v>40000000</c:v>
                </c:pt>
                <c:pt idx="346">
                  <c:v>10000000</c:v>
                </c:pt>
                <c:pt idx="347">
                  <c:v>40000000</c:v>
                </c:pt>
                <c:pt idx="348">
                  <c:v>50000000</c:v>
                </c:pt>
                <c:pt idx="349">
                  <c:v>10000000</c:v>
                </c:pt>
                <c:pt idx="350">
                  <c:v>12000000</c:v>
                </c:pt>
                <c:pt idx="351">
                  <c:v>30000000</c:v>
                </c:pt>
                <c:pt idx="352">
                  <c:v>12000000</c:v>
                </c:pt>
                <c:pt idx="353">
                  <c:v>15000000</c:v>
                </c:pt>
                <c:pt idx="354">
                  <c:v>10000000</c:v>
                </c:pt>
                <c:pt idx="355">
                  <c:v>40000000</c:v>
                </c:pt>
                <c:pt idx="356">
                  <c:v>12000000</c:v>
                </c:pt>
                <c:pt idx="357">
                  <c:v>30000000</c:v>
                </c:pt>
                <c:pt idx="358">
                  <c:v>30000000</c:v>
                </c:pt>
                <c:pt idx="359">
                  <c:v>10000000</c:v>
                </c:pt>
                <c:pt idx="360">
                  <c:v>30000000</c:v>
                </c:pt>
                <c:pt idx="361">
                  <c:v>30000000</c:v>
                </c:pt>
                <c:pt idx="362">
                  <c:v>10000000</c:v>
                </c:pt>
                <c:pt idx="363">
                  <c:v>40000000</c:v>
                </c:pt>
                <c:pt idx="364">
                  <c:v>50000000</c:v>
                </c:pt>
                <c:pt idx="365">
                  <c:v>33705310</c:v>
                </c:pt>
                <c:pt idx="366">
                  <c:v>12000000</c:v>
                </c:pt>
                <c:pt idx="367">
                  <c:v>30000000</c:v>
                </c:pt>
                <c:pt idx="368">
                  <c:v>30000000</c:v>
                </c:pt>
                <c:pt idx="369">
                  <c:v>10000000</c:v>
                </c:pt>
                <c:pt idx="370">
                  <c:v>30000000</c:v>
                </c:pt>
                <c:pt idx="371">
                  <c:v>40000000</c:v>
                </c:pt>
                <c:pt idx="372">
                  <c:v>40000000</c:v>
                </c:pt>
                <c:pt idx="373">
                  <c:v>10000000</c:v>
                </c:pt>
                <c:pt idx="374">
                  <c:v>30000000</c:v>
                </c:pt>
                <c:pt idx="375">
                  <c:v>30000000</c:v>
                </c:pt>
                <c:pt idx="376">
                  <c:v>10000000</c:v>
                </c:pt>
                <c:pt idx="377">
                  <c:v>10000000</c:v>
                </c:pt>
                <c:pt idx="378">
                  <c:v>30000000</c:v>
                </c:pt>
                <c:pt idx="379">
                  <c:v>50000000</c:v>
                </c:pt>
                <c:pt idx="380">
                  <c:v>10000000</c:v>
                </c:pt>
                <c:pt idx="381">
                  <c:v>37455633</c:v>
                </c:pt>
                <c:pt idx="382">
                  <c:v>10000000</c:v>
                </c:pt>
                <c:pt idx="383">
                  <c:v>15000000</c:v>
                </c:pt>
                <c:pt idx="384">
                  <c:v>15000000</c:v>
                </c:pt>
                <c:pt idx="385">
                  <c:v>30000000</c:v>
                </c:pt>
                <c:pt idx="386">
                  <c:v>12000000</c:v>
                </c:pt>
                <c:pt idx="387">
                  <c:v>15000000</c:v>
                </c:pt>
                <c:pt idx="388">
                  <c:v>30000000</c:v>
                </c:pt>
                <c:pt idx="389">
                  <c:v>10000000</c:v>
                </c:pt>
                <c:pt idx="390">
                  <c:v>12000000</c:v>
                </c:pt>
                <c:pt idx="391">
                  <c:v>10000000</c:v>
                </c:pt>
                <c:pt idx="392">
                  <c:v>50000000</c:v>
                </c:pt>
                <c:pt idx="393">
                  <c:v>15000000</c:v>
                </c:pt>
                <c:pt idx="394">
                  <c:v>15000000</c:v>
                </c:pt>
                <c:pt idx="395">
                  <c:v>10000000</c:v>
                </c:pt>
                <c:pt idx="396">
                  <c:v>40000000</c:v>
                </c:pt>
                <c:pt idx="397">
                  <c:v>10000000</c:v>
                </c:pt>
                <c:pt idx="398">
                  <c:v>10000000</c:v>
                </c:pt>
                <c:pt idx="399">
                  <c:v>50000000</c:v>
                </c:pt>
                <c:pt idx="400">
                  <c:v>15000000</c:v>
                </c:pt>
                <c:pt idx="401">
                  <c:v>10000000</c:v>
                </c:pt>
                <c:pt idx="402">
                  <c:v>15000000</c:v>
                </c:pt>
                <c:pt idx="403">
                  <c:v>10000000</c:v>
                </c:pt>
                <c:pt idx="404">
                  <c:v>10000000</c:v>
                </c:pt>
                <c:pt idx="405">
                  <c:v>15000000</c:v>
                </c:pt>
                <c:pt idx="406">
                  <c:v>12000000</c:v>
                </c:pt>
                <c:pt idx="407">
                  <c:v>10000000</c:v>
                </c:pt>
                <c:pt idx="408">
                  <c:v>12000000</c:v>
                </c:pt>
                <c:pt idx="409">
                  <c:v>30000000</c:v>
                </c:pt>
                <c:pt idx="410">
                  <c:v>40000000</c:v>
                </c:pt>
                <c:pt idx="411">
                  <c:v>50000000</c:v>
                </c:pt>
                <c:pt idx="412">
                  <c:v>50000000</c:v>
                </c:pt>
                <c:pt idx="413">
                  <c:v>10000000</c:v>
                </c:pt>
                <c:pt idx="414">
                  <c:v>10000000</c:v>
                </c:pt>
                <c:pt idx="415">
                  <c:v>25142695</c:v>
                </c:pt>
                <c:pt idx="416">
                  <c:v>30000000</c:v>
                </c:pt>
                <c:pt idx="417">
                  <c:v>12000000</c:v>
                </c:pt>
                <c:pt idx="418">
                  <c:v>12000000</c:v>
                </c:pt>
                <c:pt idx="419">
                  <c:v>12000000</c:v>
                </c:pt>
                <c:pt idx="420">
                  <c:v>30000000</c:v>
                </c:pt>
                <c:pt idx="421">
                  <c:v>30000000</c:v>
                </c:pt>
                <c:pt idx="422">
                  <c:v>12000000</c:v>
                </c:pt>
                <c:pt idx="423">
                  <c:v>29032345</c:v>
                </c:pt>
                <c:pt idx="424">
                  <c:v>10000000</c:v>
                </c:pt>
                <c:pt idx="425">
                  <c:v>35334620</c:v>
                </c:pt>
                <c:pt idx="426">
                  <c:v>12000000</c:v>
                </c:pt>
                <c:pt idx="427">
                  <c:v>15000000</c:v>
                </c:pt>
                <c:pt idx="428">
                  <c:v>15000000</c:v>
                </c:pt>
                <c:pt idx="429">
                  <c:v>27172447</c:v>
                </c:pt>
                <c:pt idx="430">
                  <c:v>30000000</c:v>
                </c:pt>
                <c:pt idx="431">
                  <c:v>10000000</c:v>
                </c:pt>
                <c:pt idx="432">
                  <c:v>40000000</c:v>
                </c:pt>
                <c:pt idx="433">
                  <c:v>50000000</c:v>
                </c:pt>
                <c:pt idx="434">
                  <c:v>10000000</c:v>
                </c:pt>
                <c:pt idx="435">
                  <c:v>25291572</c:v>
                </c:pt>
                <c:pt idx="436">
                  <c:v>15000000</c:v>
                </c:pt>
                <c:pt idx="437">
                  <c:v>30272733</c:v>
                </c:pt>
                <c:pt idx="438">
                  <c:v>10000000</c:v>
                </c:pt>
                <c:pt idx="439">
                  <c:v>10000000</c:v>
                </c:pt>
                <c:pt idx="440">
                  <c:v>15000000</c:v>
                </c:pt>
                <c:pt idx="441">
                  <c:v>12000000</c:v>
                </c:pt>
                <c:pt idx="442">
                  <c:v>26558706</c:v>
                </c:pt>
                <c:pt idx="443">
                  <c:v>50000000</c:v>
                </c:pt>
                <c:pt idx="444">
                  <c:v>40000000</c:v>
                </c:pt>
                <c:pt idx="445">
                  <c:v>12000000</c:v>
                </c:pt>
                <c:pt idx="446">
                  <c:v>50000000</c:v>
                </c:pt>
                <c:pt idx="447">
                  <c:v>50000000</c:v>
                </c:pt>
                <c:pt idx="448">
                  <c:v>15000000</c:v>
                </c:pt>
                <c:pt idx="449">
                  <c:v>28507727</c:v>
                </c:pt>
                <c:pt idx="450">
                  <c:v>30000000</c:v>
                </c:pt>
                <c:pt idx="451">
                  <c:v>40000000</c:v>
                </c:pt>
                <c:pt idx="452">
                  <c:v>40000000</c:v>
                </c:pt>
                <c:pt idx="453">
                  <c:v>40000000</c:v>
                </c:pt>
                <c:pt idx="454">
                  <c:v>30000000</c:v>
                </c:pt>
                <c:pt idx="455">
                  <c:v>40000000</c:v>
                </c:pt>
                <c:pt idx="456">
                  <c:v>50000000</c:v>
                </c:pt>
                <c:pt idx="457">
                  <c:v>10000000</c:v>
                </c:pt>
                <c:pt idx="458">
                  <c:v>40000000</c:v>
                </c:pt>
                <c:pt idx="459">
                  <c:v>15000000</c:v>
                </c:pt>
                <c:pt idx="460">
                  <c:v>15000000</c:v>
                </c:pt>
                <c:pt idx="461">
                  <c:v>40000000</c:v>
                </c:pt>
                <c:pt idx="462">
                  <c:v>12000000</c:v>
                </c:pt>
                <c:pt idx="463">
                  <c:v>10000000</c:v>
                </c:pt>
                <c:pt idx="464">
                  <c:v>30000000</c:v>
                </c:pt>
                <c:pt idx="465">
                  <c:v>30000000</c:v>
                </c:pt>
                <c:pt idx="466">
                  <c:v>10000000</c:v>
                </c:pt>
                <c:pt idx="467">
                  <c:v>12000000</c:v>
                </c:pt>
                <c:pt idx="468">
                  <c:v>40000000</c:v>
                </c:pt>
                <c:pt idx="469">
                  <c:v>12000000</c:v>
                </c:pt>
                <c:pt idx="470">
                  <c:v>40000000</c:v>
                </c:pt>
                <c:pt idx="471">
                  <c:v>15000000</c:v>
                </c:pt>
                <c:pt idx="472">
                  <c:v>50000000</c:v>
                </c:pt>
                <c:pt idx="473">
                  <c:v>10000000</c:v>
                </c:pt>
                <c:pt idx="474">
                  <c:v>50000000</c:v>
                </c:pt>
                <c:pt idx="475">
                  <c:v>10000000</c:v>
                </c:pt>
                <c:pt idx="476">
                  <c:v>30000000</c:v>
                </c:pt>
                <c:pt idx="477">
                  <c:v>10000000</c:v>
                </c:pt>
                <c:pt idx="478">
                  <c:v>15000000</c:v>
                </c:pt>
                <c:pt idx="479">
                  <c:v>50000000</c:v>
                </c:pt>
                <c:pt idx="480">
                  <c:v>30000000</c:v>
                </c:pt>
                <c:pt idx="481">
                  <c:v>15000000</c:v>
                </c:pt>
                <c:pt idx="482">
                  <c:v>15000000</c:v>
                </c:pt>
                <c:pt idx="483">
                  <c:v>15000000</c:v>
                </c:pt>
                <c:pt idx="484">
                  <c:v>30000000</c:v>
                </c:pt>
                <c:pt idx="485">
                  <c:v>10000000</c:v>
                </c:pt>
                <c:pt idx="486">
                  <c:v>15000000</c:v>
                </c:pt>
                <c:pt idx="487">
                  <c:v>10000000</c:v>
                </c:pt>
                <c:pt idx="488">
                  <c:v>12000000</c:v>
                </c:pt>
                <c:pt idx="489">
                  <c:v>50000000</c:v>
                </c:pt>
                <c:pt idx="490">
                  <c:v>40000000</c:v>
                </c:pt>
                <c:pt idx="491">
                  <c:v>40000000</c:v>
                </c:pt>
                <c:pt idx="492">
                  <c:v>10000000</c:v>
                </c:pt>
                <c:pt idx="493">
                  <c:v>10000000</c:v>
                </c:pt>
                <c:pt idx="494">
                  <c:v>15000000</c:v>
                </c:pt>
                <c:pt idx="495">
                  <c:v>40000000</c:v>
                </c:pt>
                <c:pt idx="496">
                  <c:v>30000000</c:v>
                </c:pt>
                <c:pt idx="497">
                  <c:v>12000000</c:v>
                </c:pt>
                <c:pt idx="498">
                  <c:v>50000000</c:v>
                </c:pt>
                <c:pt idx="499">
                  <c:v>30000000</c:v>
                </c:pt>
                <c:pt idx="500">
                  <c:v>30000000</c:v>
                </c:pt>
                <c:pt idx="501">
                  <c:v>10000000</c:v>
                </c:pt>
                <c:pt idx="502">
                  <c:v>50000000</c:v>
                </c:pt>
                <c:pt idx="503">
                  <c:v>50000000</c:v>
                </c:pt>
                <c:pt idx="504">
                  <c:v>50000000</c:v>
                </c:pt>
                <c:pt idx="505">
                  <c:v>10000000</c:v>
                </c:pt>
                <c:pt idx="506">
                  <c:v>50000000</c:v>
                </c:pt>
                <c:pt idx="507">
                  <c:v>30000000</c:v>
                </c:pt>
                <c:pt idx="508">
                  <c:v>50000000</c:v>
                </c:pt>
                <c:pt idx="509">
                  <c:v>40000000</c:v>
                </c:pt>
                <c:pt idx="510">
                  <c:v>12000000</c:v>
                </c:pt>
                <c:pt idx="511">
                  <c:v>40000000</c:v>
                </c:pt>
                <c:pt idx="512">
                  <c:v>30000000</c:v>
                </c:pt>
                <c:pt idx="513">
                  <c:v>50000000</c:v>
                </c:pt>
                <c:pt idx="514">
                  <c:v>15000000</c:v>
                </c:pt>
                <c:pt idx="515">
                  <c:v>40000000</c:v>
                </c:pt>
                <c:pt idx="516">
                  <c:v>15000000</c:v>
                </c:pt>
                <c:pt idx="517">
                  <c:v>40000000</c:v>
                </c:pt>
                <c:pt idx="518">
                  <c:v>30000000</c:v>
                </c:pt>
                <c:pt idx="519">
                  <c:v>40000000</c:v>
                </c:pt>
                <c:pt idx="520">
                  <c:v>10000000</c:v>
                </c:pt>
                <c:pt idx="521">
                  <c:v>40000000</c:v>
                </c:pt>
                <c:pt idx="522">
                  <c:v>40000000</c:v>
                </c:pt>
                <c:pt idx="523">
                  <c:v>30000000</c:v>
                </c:pt>
                <c:pt idx="524">
                  <c:v>10000000</c:v>
                </c:pt>
                <c:pt idx="525">
                  <c:v>50000000</c:v>
                </c:pt>
                <c:pt idx="526">
                  <c:v>15000000</c:v>
                </c:pt>
                <c:pt idx="527">
                  <c:v>10000000</c:v>
                </c:pt>
                <c:pt idx="528">
                  <c:v>10000000</c:v>
                </c:pt>
                <c:pt idx="529">
                  <c:v>15000000</c:v>
                </c:pt>
                <c:pt idx="530">
                  <c:v>50000000</c:v>
                </c:pt>
                <c:pt idx="531">
                  <c:v>40000000</c:v>
                </c:pt>
                <c:pt idx="532">
                  <c:v>40000000</c:v>
                </c:pt>
                <c:pt idx="533">
                  <c:v>10000000</c:v>
                </c:pt>
                <c:pt idx="534">
                  <c:v>30000000</c:v>
                </c:pt>
                <c:pt idx="535">
                  <c:v>10000000</c:v>
                </c:pt>
                <c:pt idx="536">
                  <c:v>15000000</c:v>
                </c:pt>
                <c:pt idx="537">
                  <c:v>50000000</c:v>
                </c:pt>
                <c:pt idx="538">
                  <c:v>40000000</c:v>
                </c:pt>
                <c:pt idx="539">
                  <c:v>10000000</c:v>
                </c:pt>
                <c:pt idx="540">
                  <c:v>40000000</c:v>
                </c:pt>
                <c:pt idx="541">
                  <c:v>12000000</c:v>
                </c:pt>
                <c:pt idx="542">
                  <c:v>30000000</c:v>
                </c:pt>
                <c:pt idx="543">
                  <c:v>12000000</c:v>
                </c:pt>
                <c:pt idx="544">
                  <c:v>10000000</c:v>
                </c:pt>
                <c:pt idx="545">
                  <c:v>10000000</c:v>
                </c:pt>
                <c:pt idx="546">
                  <c:v>15000000</c:v>
                </c:pt>
                <c:pt idx="547">
                  <c:v>30000000</c:v>
                </c:pt>
                <c:pt idx="548">
                  <c:v>10000000</c:v>
                </c:pt>
                <c:pt idx="549">
                  <c:v>12000000</c:v>
                </c:pt>
                <c:pt idx="550">
                  <c:v>15000000</c:v>
                </c:pt>
                <c:pt idx="551">
                  <c:v>40000000</c:v>
                </c:pt>
                <c:pt idx="552">
                  <c:v>50000000</c:v>
                </c:pt>
                <c:pt idx="553">
                  <c:v>12000000</c:v>
                </c:pt>
                <c:pt idx="554">
                  <c:v>40000000</c:v>
                </c:pt>
                <c:pt idx="555">
                  <c:v>40000000</c:v>
                </c:pt>
                <c:pt idx="556">
                  <c:v>15000000</c:v>
                </c:pt>
                <c:pt idx="557">
                  <c:v>30000000</c:v>
                </c:pt>
                <c:pt idx="558">
                  <c:v>15000000</c:v>
                </c:pt>
                <c:pt idx="559">
                  <c:v>30000000</c:v>
                </c:pt>
                <c:pt idx="560">
                  <c:v>40000000</c:v>
                </c:pt>
                <c:pt idx="561">
                  <c:v>30000000</c:v>
                </c:pt>
                <c:pt idx="562">
                  <c:v>50000000</c:v>
                </c:pt>
                <c:pt idx="563">
                  <c:v>10000000</c:v>
                </c:pt>
                <c:pt idx="564">
                  <c:v>10000000</c:v>
                </c:pt>
                <c:pt idx="565">
                  <c:v>10000000</c:v>
                </c:pt>
                <c:pt idx="566">
                  <c:v>30000000</c:v>
                </c:pt>
                <c:pt idx="567">
                  <c:v>40000000</c:v>
                </c:pt>
                <c:pt idx="568">
                  <c:v>30000000</c:v>
                </c:pt>
                <c:pt idx="569">
                  <c:v>12000000</c:v>
                </c:pt>
                <c:pt idx="570">
                  <c:v>10000000</c:v>
                </c:pt>
                <c:pt idx="571">
                  <c:v>30000000</c:v>
                </c:pt>
                <c:pt idx="572">
                  <c:v>30000000</c:v>
                </c:pt>
                <c:pt idx="573">
                  <c:v>50000000</c:v>
                </c:pt>
                <c:pt idx="574">
                  <c:v>40000000</c:v>
                </c:pt>
                <c:pt idx="575">
                  <c:v>10000000</c:v>
                </c:pt>
                <c:pt idx="576">
                  <c:v>10000000</c:v>
                </c:pt>
                <c:pt idx="577">
                  <c:v>12000000</c:v>
                </c:pt>
                <c:pt idx="578">
                  <c:v>15000000</c:v>
                </c:pt>
                <c:pt idx="579">
                  <c:v>12000000</c:v>
                </c:pt>
                <c:pt idx="580">
                  <c:v>10000000</c:v>
                </c:pt>
                <c:pt idx="581">
                  <c:v>15000000</c:v>
                </c:pt>
                <c:pt idx="582">
                  <c:v>15000000</c:v>
                </c:pt>
                <c:pt idx="583">
                  <c:v>40000000</c:v>
                </c:pt>
                <c:pt idx="584">
                  <c:v>12000000</c:v>
                </c:pt>
                <c:pt idx="585">
                  <c:v>30000000</c:v>
                </c:pt>
                <c:pt idx="586">
                  <c:v>30000000</c:v>
                </c:pt>
                <c:pt idx="587">
                  <c:v>10000000</c:v>
                </c:pt>
                <c:pt idx="588">
                  <c:v>50000000</c:v>
                </c:pt>
                <c:pt idx="589">
                  <c:v>10000000</c:v>
                </c:pt>
                <c:pt idx="590">
                  <c:v>50000000</c:v>
                </c:pt>
                <c:pt idx="591">
                  <c:v>12000000</c:v>
                </c:pt>
                <c:pt idx="592">
                  <c:v>50000000</c:v>
                </c:pt>
                <c:pt idx="593">
                  <c:v>30000000</c:v>
                </c:pt>
                <c:pt idx="594">
                  <c:v>50000000</c:v>
                </c:pt>
                <c:pt idx="595">
                  <c:v>12000000</c:v>
                </c:pt>
                <c:pt idx="596">
                  <c:v>40000000</c:v>
                </c:pt>
                <c:pt idx="597">
                  <c:v>30000000</c:v>
                </c:pt>
                <c:pt idx="598">
                  <c:v>48545647</c:v>
                </c:pt>
                <c:pt idx="599">
                  <c:v>50000000</c:v>
                </c:pt>
                <c:pt idx="600">
                  <c:v>30000000</c:v>
                </c:pt>
                <c:pt idx="601">
                  <c:v>15000000</c:v>
                </c:pt>
                <c:pt idx="602">
                  <c:v>30000000</c:v>
                </c:pt>
                <c:pt idx="603">
                  <c:v>30000000</c:v>
                </c:pt>
                <c:pt idx="604">
                  <c:v>12000000</c:v>
                </c:pt>
                <c:pt idx="605">
                  <c:v>10000000</c:v>
                </c:pt>
                <c:pt idx="606">
                  <c:v>10000000</c:v>
                </c:pt>
                <c:pt idx="607">
                  <c:v>50000000</c:v>
                </c:pt>
                <c:pt idx="608">
                  <c:v>40000000</c:v>
                </c:pt>
                <c:pt idx="609">
                  <c:v>12000000</c:v>
                </c:pt>
                <c:pt idx="610">
                  <c:v>10000000</c:v>
                </c:pt>
                <c:pt idx="611">
                  <c:v>12000000</c:v>
                </c:pt>
                <c:pt idx="612">
                  <c:v>12000000</c:v>
                </c:pt>
                <c:pt idx="613">
                  <c:v>26749649</c:v>
                </c:pt>
                <c:pt idx="614">
                  <c:v>15000000</c:v>
                </c:pt>
                <c:pt idx="615">
                  <c:v>42034728</c:v>
                </c:pt>
                <c:pt idx="616">
                  <c:v>48216090</c:v>
                </c:pt>
                <c:pt idx="617">
                  <c:v>10000000</c:v>
                </c:pt>
                <c:pt idx="618">
                  <c:v>12000000</c:v>
                </c:pt>
                <c:pt idx="619">
                  <c:v>40000000</c:v>
                </c:pt>
                <c:pt idx="620">
                  <c:v>10000000</c:v>
                </c:pt>
                <c:pt idx="621">
                  <c:v>40000000</c:v>
                </c:pt>
                <c:pt idx="622">
                  <c:v>30000000</c:v>
                </c:pt>
                <c:pt idx="623">
                  <c:v>12000000</c:v>
                </c:pt>
                <c:pt idx="624">
                  <c:v>30000000</c:v>
                </c:pt>
                <c:pt idx="625">
                  <c:v>50000000</c:v>
                </c:pt>
                <c:pt idx="626">
                  <c:v>50000000</c:v>
                </c:pt>
                <c:pt idx="627">
                  <c:v>40000000</c:v>
                </c:pt>
                <c:pt idx="628">
                  <c:v>12000000</c:v>
                </c:pt>
                <c:pt idx="629">
                  <c:v>30000000</c:v>
                </c:pt>
                <c:pt idx="630">
                  <c:v>10000000</c:v>
                </c:pt>
                <c:pt idx="631">
                  <c:v>50000000</c:v>
                </c:pt>
                <c:pt idx="632">
                  <c:v>40000000</c:v>
                </c:pt>
                <c:pt idx="633">
                  <c:v>30000000</c:v>
                </c:pt>
                <c:pt idx="634">
                  <c:v>50000000</c:v>
                </c:pt>
                <c:pt idx="635">
                  <c:v>12000000</c:v>
                </c:pt>
                <c:pt idx="636">
                  <c:v>15000000</c:v>
                </c:pt>
                <c:pt idx="637">
                  <c:v>12000000</c:v>
                </c:pt>
                <c:pt idx="638">
                  <c:v>10000000</c:v>
                </c:pt>
                <c:pt idx="639">
                  <c:v>12000000</c:v>
                </c:pt>
                <c:pt idx="640">
                  <c:v>15000000</c:v>
                </c:pt>
                <c:pt idx="641">
                  <c:v>10000000</c:v>
                </c:pt>
                <c:pt idx="642">
                  <c:v>50000000</c:v>
                </c:pt>
                <c:pt idx="643">
                  <c:v>50000000</c:v>
                </c:pt>
                <c:pt idx="644">
                  <c:v>50000000</c:v>
                </c:pt>
                <c:pt idx="645">
                  <c:v>15000000</c:v>
                </c:pt>
                <c:pt idx="646">
                  <c:v>50000000</c:v>
                </c:pt>
                <c:pt idx="647">
                  <c:v>30000000</c:v>
                </c:pt>
                <c:pt idx="648">
                  <c:v>30000000</c:v>
                </c:pt>
                <c:pt idx="649">
                  <c:v>30000000</c:v>
                </c:pt>
                <c:pt idx="650">
                  <c:v>50000000</c:v>
                </c:pt>
                <c:pt idx="651">
                  <c:v>50000000</c:v>
                </c:pt>
                <c:pt idx="652">
                  <c:v>50000000</c:v>
                </c:pt>
                <c:pt idx="653">
                  <c:v>30000000</c:v>
                </c:pt>
                <c:pt idx="654">
                  <c:v>40000000</c:v>
                </c:pt>
                <c:pt idx="655">
                  <c:v>12000000</c:v>
                </c:pt>
                <c:pt idx="656">
                  <c:v>12000000</c:v>
                </c:pt>
                <c:pt idx="657">
                  <c:v>10000000</c:v>
                </c:pt>
                <c:pt idx="658">
                  <c:v>40000000</c:v>
                </c:pt>
                <c:pt idx="659">
                  <c:v>15000000</c:v>
                </c:pt>
                <c:pt idx="660">
                  <c:v>50000000</c:v>
                </c:pt>
                <c:pt idx="661">
                  <c:v>15000000</c:v>
                </c:pt>
                <c:pt idx="662">
                  <c:v>30000000</c:v>
                </c:pt>
                <c:pt idx="663">
                  <c:v>15000000</c:v>
                </c:pt>
                <c:pt idx="664">
                  <c:v>30000000</c:v>
                </c:pt>
                <c:pt idx="665">
                  <c:v>15000000</c:v>
                </c:pt>
                <c:pt idx="666">
                  <c:v>40000000</c:v>
                </c:pt>
                <c:pt idx="667">
                  <c:v>40000000</c:v>
                </c:pt>
                <c:pt idx="668">
                  <c:v>10000000</c:v>
                </c:pt>
                <c:pt idx="669">
                  <c:v>12000000</c:v>
                </c:pt>
                <c:pt idx="670">
                  <c:v>10000000</c:v>
                </c:pt>
                <c:pt idx="671">
                  <c:v>40000000</c:v>
                </c:pt>
                <c:pt idx="672">
                  <c:v>10000000</c:v>
                </c:pt>
                <c:pt idx="673">
                  <c:v>12000000</c:v>
                </c:pt>
                <c:pt idx="674">
                  <c:v>40000000</c:v>
                </c:pt>
                <c:pt idx="675">
                  <c:v>15000000</c:v>
                </c:pt>
                <c:pt idx="676">
                  <c:v>50000000</c:v>
                </c:pt>
                <c:pt idx="677">
                  <c:v>30000000</c:v>
                </c:pt>
                <c:pt idx="678">
                  <c:v>30000000</c:v>
                </c:pt>
                <c:pt idx="679">
                  <c:v>12000000</c:v>
                </c:pt>
                <c:pt idx="680">
                  <c:v>15000000</c:v>
                </c:pt>
                <c:pt idx="681">
                  <c:v>40000000</c:v>
                </c:pt>
                <c:pt idx="682">
                  <c:v>50000000</c:v>
                </c:pt>
                <c:pt idx="683">
                  <c:v>30000000</c:v>
                </c:pt>
                <c:pt idx="684">
                  <c:v>10000000</c:v>
                </c:pt>
                <c:pt idx="685">
                  <c:v>12000000</c:v>
                </c:pt>
                <c:pt idx="686">
                  <c:v>15000000</c:v>
                </c:pt>
                <c:pt idx="687">
                  <c:v>30000000</c:v>
                </c:pt>
                <c:pt idx="688">
                  <c:v>10000000</c:v>
                </c:pt>
                <c:pt idx="689">
                  <c:v>30000000</c:v>
                </c:pt>
                <c:pt idx="690">
                  <c:v>15000000</c:v>
                </c:pt>
                <c:pt idx="691">
                  <c:v>10000000</c:v>
                </c:pt>
                <c:pt idx="692">
                  <c:v>40000000</c:v>
                </c:pt>
                <c:pt idx="693">
                  <c:v>30000000</c:v>
                </c:pt>
                <c:pt idx="694">
                  <c:v>30000000</c:v>
                </c:pt>
                <c:pt idx="695">
                  <c:v>15000000</c:v>
                </c:pt>
                <c:pt idx="696">
                  <c:v>30000000</c:v>
                </c:pt>
                <c:pt idx="697">
                  <c:v>50000000</c:v>
                </c:pt>
                <c:pt idx="698">
                  <c:v>15000000</c:v>
                </c:pt>
                <c:pt idx="699">
                  <c:v>40000000</c:v>
                </c:pt>
                <c:pt idx="700">
                  <c:v>12000000</c:v>
                </c:pt>
                <c:pt idx="701">
                  <c:v>10000000</c:v>
                </c:pt>
                <c:pt idx="702">
                  <c:v>30000000</c:v>
                </c:pt>
                <c:pt idx="703">
                  <c:v>10000000</c:v>
                </c:pt>
                <c:pt idx="704">
                  <c:v>12000000</c:v>
                </c:pt>
                <c:pt idx="705">
                  <c:v>50000000</c:v>
                </c:pt>
                <c:pt idx="706">
                  <c:v>15000000</c:v>
                </c:pt>
                <c:pt idx="707">
                  <c:v>50000000</c:v>
                </c:pt>
                <c:pt idx="708">
                  <c:v>15000000</c:v>
                </c:pt>
                <c:pt idx="709">
                  <c:v>30000000</c:v>
                </c:pt>
                <c:pt idx="710">
                  <c:v>30000000</c:v>
                </c:pt>
                <c:pt idx="711">
                  <c:v>12000000</c:v>
                </c:pt>
                <c:pt idx="712">
                  <c:v>30397515</c:v>
                </c:pt>
                <c:pt idx="713">
                  <c:v>40000000</c:v>
                </c:pt>
                <c:pt idx="714">
                  <c:v>12000000</c:v>
                </c:pt>
                <c:pt idx="715">
                  <c:v>10000000</c:v>
                </c:pt>
                <c:pt idx="716">
                  <c:v>30000000</c:v>
                </c:pt>
                <c:pt idx="717">
                  <c:v>15000000</c:v>
                </c:pt>
                <c:pt idx="718">
                  <c:v>30000000</c:v>
                </c:pt>
                <c:pt idx="719">
                  <c:v>30000000</c:v>
                </c:pt>
                <c:pt idx="720">
                  <c:v>15000000</c:v>
                </c:pt>
                <c:pt idx="721">
                  <c:v>50000000</c:v>
                </c:pt>
                <c:pt idx="722">
                  <c:v>15000000</c:v>
                </c:pt>
                <c:pt idx="723">
                  <c:v>10000000</c:v>
                </c:pt>
                <c:pt idx="724">
                  <c:v>40000000</c:v>
                </c:pt>
                <c:pt idx="725">
                  <c:v>50000000</c:v>
                </c:pt>
                <c:pt idx="726">
                  <c:v>10000000</c:v>
                </c:pt>
                <c:pt idx="727">
                  <c:v>15000000</c:v>
                </c:pt>
                <c:pt idx="728">
                  <c:v>40000000</c:v>
                </c:pt>
                <c:pt idx="729">
                  <c:v>30000000</c:v>
                </c:pt>
                <c:pt idx="730">
                  <c:v>12000000</c:v>
                </c:pt>
                <c:pt idx="731">
                  <c:v>40000000</c:v>
                </c:pt>
                <c:pt idx="732">
                  <c:v>15000000</c:v>
                </c:pt>
                <c:pt idx="733">
                  <c:v>50000000</c:v>
                </c:pt>
                <c:pt idx="734">
                  <c:v>12000000</c:v>
                </c:pt>
                <c:pt idx="735">
                  <c:v>15000000</c:v>
                </c:pt>
                <c:pt idx="736">
                  <c:v>15000000</c:v>
                </c:pt>
                <c:pt idx="737">
                  <c:v>30000000</c:v>
                </c:pt>
                <c:pt idx="738">
                  <c:v>50000000</c:v>
                </c:pt>
                <c:pt idx="739">
                  <c:v>30000000</c:v>
                </c:pt>
                <c:pt idx="740">
                  <c:v>15000000</c:v>
                </c:pt>
                <c:pt idx="741">
                  <c:v>10000000</c:v>
                </c:pt>
                <c:pt idx="742">
                  <c:v>12000000</c:v>
                </c:pt>
                <c:pt idx="743">
                  <c:v>12000000</c:v>
                </c:pt>
                <c:pt idx="744">
                  <c:v>15000000</c:v>
                </c:pt>
                <c:pt idx="745">
                  <c:v>40000000</c:v>
                </c:pt>
                <c:pt idx="746">
                  <c:v>50000000</c:v>
                </c:pt>
                <c:pt idx="747">
                  <c:v>50000000</c:v>
                </c:pt>
                <c:pt idx="748">
                  <c:v>12000000</c:v>
                </c:pt>
                <c:pt idx="749">
                  <c:v>15000000</c:v>
                </c:pt>
                <c:pt idx="750">
                  <c:v>40000000</c:v>
                </c:pt>
                <c:pt idx="751">
                  <c:v>30000000</c:v>
                </c:pt>
                <c:pt idx="752">
                  <c:v>10000000</c:v>
                </c:pt>
                <c:pt idx="753">
                  <c:v>50000000</c:v>
                </c:pt>
                <c:pt idx="754">
                  <c:v>30000000</c:v>
                </c:pt>
                <c:pt idx="755">
                  <c:v>15000000</c:v>
                </c:pt>
                <c:pt idx="756">
                  <c:v>50000000</c:v>
                </c:pt>
                <c:pt idx="757">
                  <c:v>12000000</c:v>
                </c:pt>
                <c:pt idx="758">
                  <c:v>10000000</c:v>
                </c:pt>
                <c:pt idx="759">
                  <c:v>15000000</c:v>
                </c:pt>
                <c:pt idx="760">
                  <c:v>40000000</c:v>
                </c:pt>
                <c:pt idx="761">
                  <c:v>50000000</c:v>
                </c:pt>
                <c:pt idx="762">
                  <c:v>30000000</c:v>
                </c:pt>
                <c:pt idx="763">
                  <c:v>10000000</c:v>
                </c:pt>
                <c:pt idx="764">
                  <c:v>50000000</c:v>
                </c:pt>
                <c:pt idx="765">
                  <c:v>40000000</c:v>
                </c:pt>
                <c:pt idx="766">
                  <c:v>40000000</c:v>
                </c:pt>
                <c:pt idx="767">
                  <c:v>30000000</c:v>
                </c:pt>
                <c:pt idx="768">
                  <c:v>30000000</c:v>
                </c:pt>
                <c:pt idx="769">
                  <c:v>50000000</c:v>
                </c:pt>
                <c:pt idx="770">
                  <c:v>40000000</c:v>
                </c:pt>
                <c:pt idx="771">
                  <c:v>40000000</c:v>
                </c:pt>
                <c:pt idx="772">
                  <c:v>15000000</c:v>
                </c:pt>
                <c:pt idx="773">
                  <c:v>10000000</c:v>
                </c:pt>
                <c:pt idx="774">
                  <c:v>10000000</c:v>
                </c:pt>
                <c:pt idx="775">
                  <c:v>10000000</c:v>
                </c:pt>
                <c:pt idx="776">
                  <c:v>40000000</c:v>
                </c:pt>
                <c:pt idx="777">
                  <c:v>30000000</c:v>
                </c:pt>
                <c:pt idx="778">
                  <c:v>12000000</c:v>
                </c:pt>
                <c:pt idx="779">
                  <c:v>30000000</c:v>
                </c:pt>
                <c:pt idx="780">
                  <c:v>30000000</c:v>
                </c:pt>
                <c:pt idx="781">
                  <c:v>30000000</c:v>
                </c:pt>
                <c:pt idx="782">
                  <c:v>30000000</c:v>
                </c:pt>
                <c:pt idx="783">
                  <c:v>30000000</c:v>
                </c:pt>
                <c:pt idx="784">
                  <c:v>50000000</c:v>
                </c:pt>
                <c:pt idx="785">
                  <c:v>50000000</c:v>
                </c:pt>
                <c:pt idx="786">
                  <c:v>12000000</c:v>
                </c:pt>
                <c:pt idx="787">
                  <c:v>50000000</c:v>
                </c:pt>
                <c:pt idx="788">
                  <c:v>50000000</c:v>
                </c:pt>
                <c:pt idx="789">
                  <c:v>15000000</c:v>
                </c:pt>
                <c:pt idx="790">
                  <c:v>30000000</c:v>
                </c:pt>
                <c:pt idx="791">
                  <c:v>12000000</c:v>
                </c:pt>
                <c:pt idx="792">
                  <c:v>40000000</c:v>
                </c:pt>
                <c:pt idx="793">
                  <c:v>30000000</c:v>
                </c:pt>
                <c:pt idx="794">
                  <c:v>15000000</c:v>
                </c:pt>
                <c:pt idx="795">
                  <c:v>12000000</c:v>
                </c:pt>
                <c:pt idx="796">
                  <c:v>10000000</c:v>
                </c:pt>
                <c:pt idx="797">
                  <c:v>15000000</c:v>
                </c:pt>
                <c:pt idx="798">
                  <c:v>15000000</c:v>
                </c:pt>
                <c:pt idx="799">
                  <c:v>50000000</c:v>
                </c:pt>
                <c:pt idx="800">
                  <c:v>40000000</c:v>
                </c:pt>
                <c:pt idx="801">
                  <c:v>50000000</c:v>
                </c:pt>
                <c:pt idx="802">
                  <c:v>30000000</c:v>
                </c:pt>
                <c:pt idx="803">
                  <c:v>50000000</c:v>
                </c:pt>
                <c:pt idx="804">
                  <c:v>40000000</c:v>
                </c:pt>
                <c:pt idx="805">
                  <c:v>12000000</c:v>
                </c:pt>
                <c:pt idx="806">
                  <c:v>10000000</c:v>
                </c:pt>
                <c:pt idx="807">
                  <c:v>10000000</c:v>
                </c:pt>
                <c:pt idx="808">
                  <c:v>12000000</c:v>
                </c:pt>
                <c:pt idx="809">
                  <c:v>15000000</c:v>
                </c:pt>
                <c:pt idx="810">
                  <c:v>12000000</c:v>
                </c:pt>
                <c:pt idx="811">
                  <c:v>50000000</c:v>
                </c:pt>
                <c:pt idx="812">
                  <c:v>30000000</c:v>
                </c:pt>
                <c:pt idx="813">
                  <c:v>15000000</c:v>
                </c:pt>
                <c:pt idx="814">
                  <c:v>10000000</c:v>
                </c:pt>
                <c:pt idx="815">
                  <c:v>50000000</c:v>
                </c:pt>
                <c:pt idx="816">
                  <c:v>15000000</c:v>
                </c:pt>
                <c:pt idx="817">
                  <c:v>50000000</c:v>
                </c:pt>
                <c:pt idx="818">
                  <c:v>15000000</c:v>
                </c:pt>
                <c:pt idx="819">
                  <c:v>15000000</c:v>
                </c:pt>
                <c:pt idx="820">
                  <c:v>15000000</c:v>
                </c:pt>
                <c:pt idx="821">
                  <c:v>12000000</c:v>
                </c:pt>
                <c:pt idx="822">
                  <c:v>30000000</c:v>
                </c:pt>
                <c:pt idx="823">
                  <c:v>50000000</c:v>
                </c:pt>
                <c:pt idx="824">
                  <c:v>50000000</c:v>
                </c:pt>
                <c:pt idx="825">
                  <c:v>50000000</c:v>
                </c:pt>
                <c:pt idx="826">
                  <c:v>40000000</c:v>
                </c:pt>
                <c:pt idx="827">
                  <c:v>40000000</c:v>
                </c:pt>
                <c:pt idx="828">
                  <c:v>40000000</c:v>
                </c:pt>
                <c:pt idx="829">
                  <c:v>15000000</c:v>
                </c:pt>
                <c:pt idx="830">
                  <c:v>10000000</c:v>
                </c:pt>
                <c:pt idx="831">
                  <c:v>10000000</c:v>
                </c:pt>
                <c:pt idx="832">
                  <c:v>15000000</c:v>
                </c:pt>
                <c:pt idx="833">
                  <c:v>12000000</c:v>
                </c:pt>
                <c:pt idx="834">
                  <c:v>40000000</c:v>
                </c:pt>
                <c:pt idx="835">
                  <c:v>15000000</c:v>
                </c:pt>
                <c:pt idx="836">
                  <c:v>30000000</c:v>
                </c:pt>
                <c:pt idx="837">
                  <c:v>30000000</c:v>
                </c:pt>
                <c:pt idx="838">
                  <c:v>12000000</c:v>
                </c:pt>
                <c:pt idx="839">
                  <c:v>10000000</c:v>
                </c:pt>
                <c:pt idx="840">
                  <c:v>10000000</c:v>
                </c:pt>
                <c:pt idx="841">
                  <c:v>10000000</c:v>
                </c:pt>
                <c:pt idx="842">
                  <c:v>40000000</c:v>
                </c:pt>
                <c:pt idx="843">
                  <c:v>10000000</c:v>
                </c:pt>
                <c:pt idx="844">
                  <c:v>10000000</c:v>
                </c:pt>
                <c:pt idx="845">
                  <c:v>30000000</c:v>
                </c:pt>
                <c:pt idx="846">
                  <c:v>10000000</c:v>
                </c:pt>
                <c:pt idx="847">
                  <c:v>50000000</c:v>
                </c:pt>
                <c:pt idx="848">
                  <c:v>50000000</c:v>
                </c:pt>
                <c:pt idx="849">
                  <c:v>50000000</c:v>
                </c:pt>
                <c:pt idx="850">
                  <c:v>10000000</c:v>
                </c:pt>
                <c:pt idx="851">
                  <c:v>15000000</c:v>
                </c:pt>
                <c:pt idx="852">
                  <c:v>10000000</c:v>
                </c:pt>
                <c:pt idx="853">
                  <c:v>15000000</c:v>
                </c:pt>
                <c:pt idx="854">
                  <c:v>15000000</c:v>
                </c:pt>
                <c:pt idx="855">
                  <c:v>15000000</c:v>
                </c:pt>
                <c:pt idx="856">
                  <c:v>40000000</c:v>
                </c:pt>
                <c:pt idx="857">
                  <c:v>15000000</c:v>
                </c:pt>
                <c:pt idx="858">
                  <c:v>40000000</c:v>
                </c:pt>
                <c:pt idx="859">
                  <c:v>40000000</c:v>
                </c:pt>
                <c:pt idx="860">
                  <c:v>15000000</c:v>
                </c:pt>
                <c:pt idx="861">
                  <c:v>10000000</c:v>
                </c:pt>
                <c:pt idx="862">
                  <c:v>50000000</c:v>
                </c:pt>
                <c:pt idx="863">
                  <c:v>12000000</c:v>
                </c:pt>
                <c:pt idx="864">
                  <c:v>50000000</c:v>
                </c:pt>
                <c:pt idx="865">
                  <c:v>10000000</c:v>
                </c:pt>
                <c:pt idx="866">
                  <c:v>28482738</c:v>
                </c:pt>
                <c:pt idx="867">
                  <c:v>40000000</c:v>
                </c:pt>
                <c:pt idx="868">
                  <c:v>15000000</c:v>
                </c:pt>
                <c:pt idx="869">
                  <c:v>12000000</c:v>
                </c:pt>
                <c:pt idx="870">
                  <c:v>40000000</c:v>
                </c:pt>
                <c:pt idx="871">
                  <c:v>50000000</c:v>
                </c:pt>
                <c:pt idx="872">
                  <c:v>10000000</c:v>
                </c:pt>
                <c:pt idx="873">
                  <c:v>40000000</c:v>
                </c:pt>
                <c:pt idx="874">
                  <c:v>36040168</c:v>
                </c:pt>
                <c:pt idx="875">
                  <c:v>30000000</c:v>
                </c:pt>
                <c:pt idx="876">
                  <c:v>12000000</c:v>
                </c:pt>
                <c:pt idx="877">
                  <c:v>50000000</c:v>
                </c:pt>
                <c:pt idx="878">
                  <c:v>50000000</c:v>
                </c:pt>
                <c:pt idx="879">
                  <c:v>10000000</c:v>
                </c:pt>
                <c:pt idx="880">
                  <c:v>50000000</c:v>
                </c:pt>
                <c:pt idx="881">
                  <c:v>15000000</c:v>
                </c:pt>
                <c:pt idx="882">
                  <c:v>30000000</c:v>
                </c:pt>
                <c:pt idx="883">
                  <c:v>30000000</c:v>
                </c:pt>
                <c:pt idx="884">
                  <c:v>12000000</c:v>
                </c:pt>
                <c:pt idx="885">
                  <c:v>12000000</c:v>
                </c:pt>
                <c:pt idx="886">
                  <c:v>30000000</c:v>
                </c:pt>
                <c:pt idx="887">
                  <c:v>10000000</c:v>
                </c:pt>
                <c:pt idx="888">
                  <c:v>10000000</c:v>
                </c:pt>
                <c:pt idx="889">
                  <c:v>50000000</c:v>
                </c:pt>
                <c:pt idx="890">
                  <c:v>30000000</c:v>
                </c:pt>
                <c:pt idx="891">
                  <c:v>10000000</c:v>
                </c:pt>
                <c:pt idx="892">
                  <c:v>50000000</c:v>
                </c:pt>
                <c:pt idx="893">
                  <c:v>15000000</c:v>
                </c:pt>
                <c:pt idx="894">
                  <c:v>30000000</c:v>
                </c:pt>
                <c:pt idx="895">
                  <c:v>40000000</c:v>
                </c:pt>
                <c:pt idx="896">
                  <c:v>40000000</c:v>
                </c:pt>
                <c:pt idx="897">
                  <c:v>40000000</c:v>
                </c:pt>
                <c:pt idx="898">
                  <c:v>15000000</c:v>
                </c:pt>
                <c:pt idx="899">
                  <c:v>15000000</c:v>
                </c:pt>
                <c:pt idx="900">
                  <c:v>30000000</c:v>
                </c:pt>
                <c:pt idx="901">
                  <c:v>30000000</c:v>
                </c:pt>
                <c:pt idx="902">
                  <c:v>15000000</c:v>
                </c:pt>
                <c:pt idx="903">
                  <c:v>40000000</c:v>
                </c:pt>
                <c:pt idx="904">
                  <c:v>30000000</c:v>
                </c:pt>
                <c:pt idx="905">
                  <c:v>50000000</c:v>
                </c:pt>
                <c:pt idx="906">
                  <c:v>40000000</c:v>
                </c:pt>
                <c:pt idx="907">
                  <c:v>12000000</c:v>
                </c:pt>
                <c:pt idx="908">
                  <c:v>50000000</c:v>
                </c:pt>
                <c:pt idx="909">
                  <c:v>15000000</c:v>
                </c:pt>
                <c:pt idx="910">
                  <c:v>40000000</c:v>
                </c:pt>
                <c:pt idx="911">
                  <c:v>10000000</c:v>
                </c:pt>
                <c:pt idx="912">
                  <c:v>15000000</c:v>
                </c:pt>
                <c:pt idx="913">
                  <c:v>50000000</c:v>
                </c:pt>
                <c:pt idx="914">
                  <c:v>10000000</c:v>
                </c:pt>
                <c:pt idx="915">
                  <c:v>10000000</c:v>
                </c:pt>
                <c:pt idx="916">
                  <c:v>30000000</c:v>
                </c:pt>
                <c:pt idx="917">
                  <c:v>12000000</c:v>
                </c:pt>
                <c:pt idx="918">
                  <c:v>40000000</c:v>
                </c:pt>
                <c:pt idx="919">
                  <c:v>50000000</c:v>
                </c:pt>
                <c:pt idx="920">
                  <c:v>15000000</c:v>
                </c:pt>
                <c:pt idx="921">
                  <c:v>10000000</c:v>
                </c:pt>
                <c:pt idx="922">
                  <c:v>10000000</c:v>
                </c:pt>
                <c:pt idx="923">
                  <c:v>15000000</c:v>
                </c:pt>
                <c:pt idx="924">
                  <c:v>38463843</c:v>
                </c:pt>
                <c:pt idx="925">
                  <c:v>50000000</c:v>
                </c:pt>
                <c:pt idx="926">
                  <c:v>10000000</c:v>
                </c:pt>
                <c:pt idx="927">
                  <c:v>12000000</c:v>
                </c:pt>
                <c:pt idx="928">
                  <c:v>12000000</c:v>
                </c:pt>
                <c:pt idx="929">
                  <c:v>15000000</c:v>
                </c:pt>
                <c:pt idx="930">
                  <c:v>15000000</c:v>
                </c:pt>
                <c:pt idx="931">
                  <c:v>30000000</c:v>
                </c:pt>
                <c:pt idx="932">
                  <c:v>30000000</c:v>
                </c:pt>
                <c:pt idx="933">
                  <c:v>15000000</c:v>
                </c:pt>
                <c:pt idx="934">
                  <c:v>12000000</c:v>
                </c:pt>
                <c:pt idx="935">
                  <c:v>50000000</c:v>
                </c:pt>
                <c:pt idx="936">
                  <c:v>30000000</c:v>
                </c:pt>
                <c:pt idx="937">
                  <c:v>10000000</c:v>
                </c:pt>
                <c:pt idx="938">
                  <c:v>10000000</c:v>
                </c:pt>
                <c:pt idx="939">
                  <c:v>50000000</c:v>
                </c:pt>
                <c:pt idx="940">
                  <c:v>15000000</c:v>
                </c:pt>
                <c:pt idx="941">
                  <c:v>40000000</c:v>
                </c:pt>
                <c:pt idx="942">
                  <c:v>40000000</c:v>
                </c:pt>
                <c:pt idx="943">
                  <c:v>12000000</c:v>
                </c:pt>
                <c:pt idx="944">
                  <c:v>40000000</c:v>
                </c:pt>
                <c:pt idx="945">
                  <c:v>12000000</c:v>
                </c:pt>
                <c:pt idx="946">
                  <c:v>15000000</c:v>
                </c:pt>
                <c:pt idx="947">
                  <c:v>10000000</c:v>
                </c:pt>
                <c:pt idx="948">
                  <c:v>50000000</c:v>
                </c:pt>
                <c:pt idx="949">
                  <c:v>23750654</c:v>
                </c:pt>
                <c:pt idx="950">
                  <c:v>15000000</c:v>
                </c:pt>
                <c:pt idx="951">
                  <c:v>50000000</c:v>
                </c:pt>
                <c:pt idx="952">
                  <c:v>12000000</c:v>
                </c:pt>
                <c:pt idx="953">
                  <c:v>40000000</c:v>
                </c:pt>
                <c:pt idx="954">
                  <c:v>50000000</c:v>
                </c:pt>
                <c:pt idx="955">
                  <c:v>12000000</c:v>
                </c:pt>
                <c:pt idx="956">
                  <c:v>12000000</c:v>
                </c:pt>
                <c:pt idx="957">
                  <c:v>40000000</c:v>
                </c:pt>
                <c:pt idx="958">
                  <c:v>30000000</c:v>
                </c:pt>
                <c:pt idx="959">
                  <c:v>15000000</c:v>
                </c:pt>
                <c:pt idx="960">
                  <c:v>40000000</c:v>
                </c:pt>
                <c:pt idx="961">
                  <c:v>10000000</c:v>
                </c:pt>
                <c:pt idx="962">
                  <c:v>40000000</c:v>
                </c:pt>
                <c:pt idx="963">
                  <c:v>15000000</c:v>
                </c:pt>
                <c:pt idx="964">
                  <c:v>12000000</c:v>
                </c:pt>
                <c:pt idx="965">
                  <c:v>24809565</c:v>
                </c:pt>
                <c:pt idx="966">
                  <c:v>50000000</c:v>
                </c:pt>
                <c:pt idx="967">
                  <c:v>50000000</c:v>
                </c:pt>
                <c:pt idx="968">
                  <c:v>10000000</c:v>
                </c:pt>
                <c:pt idx="969">
                  <c:v>12000000</c:v>
                </c:pt>
                <c:pt idx="970">
                  <c:v>30000000</c:v>
                </c:pt>
                <c:pt idx="971">
                  <c:v>50000000</c:v>
                </c:pt>
                <c:pt idx="972">
                  <c:v>12000000</c:v>
                </c:pt>
                <c:pt idx="973">
                  <c:v>10000000</c:v>
                </c:pt>
                <c:pt idx="974">
                  <c:v>10000000</c:v>
                </c:pt>
                <c:pt idx="975">
                  <c:v>10000000</c:v>
                </c:pt>
                <c:pt idx="976">
                  <c:v>50000000</c:v>
                </c:pt>
                <c:pt idx="977">
                  <c:v>30000000</c:v>
                </c:pt>
                <c:pt idx="978">
                  <c:v>15000000</c:v>
                </c:pt>
                <c:pt idx="979">
                  <c:v>15000000</c:v>
                </c:pt>
                <c:pt idx="980">
                  <c:v>40137192</c:v>
                </c:pt>
                <c:pt idx="981">
                  <c:v>12000000</c:v>
                </c:pt>
                <c:pt idx="982">
                  <c:v>15000000</c:v>
                </c:pt>
                <c:pt idx="983">
                  <c:v>30000000</c:v>
                </c:pt>
                <c:pt idx="984">
                  <c:v>10000000</c:v>
                </c:pt>
                <c:pt idx="985">
                  <c:v>15000000</c:v>
                </c:pt>
                <c:pt idx="986">
                  <c:v>12000000</c:v>
                </c:pt>
                <c:pt idx="987">
                  <c:v>15000000</c:v>
                </c:pt>
                <c:pt idx="988">
                  <c:v>10000000</c:v>
                </c:pt>
                <c:pt idx="989">
                  <c:v>12000000</c:v>
                </c:pt>
                <c:pt idx="990">
                  <c:v>30000000</c:v>
                </c:pt>
                <c:pt idx="991">
                  <c:v>15000000</c:v>
                </c:pt>
                <c:pt idx="992">
                  <c:v>15000000</c:v>
                </c:pt>
                <c:pt idx="993">
                  <c:v>15000000</c:v>
                </c:pt>
                <c:pt idx="994">
                  <c:v>15000000</c:v>
                </c:pt>
                <c:pt idx="995">
                  <c:v>30000000</c:v>
                </c:pt>
                <c:pt idx="996">
                  <c:v>40000000</c:v>
                </c:pt>
                <c:pt idx="997">
                  <c:v>30000000</c:v>
                </c:pt>
                <c:pt idx="998">
                  <c:v>50000000</c:v>
                </c:pt>
                <c:pt idx="999">
                  <c:v>30000000</c:v>
                </c:pt>
              </c:numCache>
            </c:numRef>
          </c:yVal>
          <c:smooth val="0"/>
          <c:extLst>
            <c:ext xmlns:c16="http://schemas.microsoft.com/office/drawing/2014/chart" uri="{C3380CC4-5D6E-409C-BE32-E72D297353CC}">
              <c16:uniqueId val="{00000000-A3D0-40C9-9502-146E915DF6E4}"/>
            </c:ext>
          </c:extLst>
        </c:ser>
        <c:dLbls>
          <c:showLegendKey val="0"/>
          <c:showVal val="0"/>
          <c:showCatName val="0"/>
          <c:showSerName val="0"/>
          <c:showPercent val="0"/>
          <c:showBubbleSize val="0"/>
        </c:dLbls>
        <c:axId val="1413132495"/>
        <c:axId val="742600495"/>
      </c:scatterChart>
      <c:valAx>
        <c:axId val="14131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00495"/>
        <c:crosses val="autoZero"/>
        <c:crossBetween val="midCat"/>
      </c:valAx>
      <c:valAx>
        <c:axId val="74260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32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'Property Dataset  '!$E$2:$E$1001</c:f>
              <c:numCache>
                <c:formatCode>General</c:formatCode>
                <c:ptCount val="1000"/>
                <c:pt idx="0">
                  <c:v>1526</c:v>
                </c:pt>
                <c:pt idx="1">
                  <c:v>424</c:v>
                </c:pt>
                <c:pt idx="2">
                  <c:v>1333</c:v>
                </c:pt>
                <c:pt idx="3">
                  <c:v>4121</c:v>
                </c:pt>
                <c:pt idx="4">
                  <c:v>4020</c:v>
                </c:pt>
                <c:pt idx="5">
                  <c:v>2599</c:v>
                </c:pt>
                <c:pt idx="6">
                  <c:v>3004</c:v>
                </c:pt>
                <c:pt idx="7">
                  <c:v>3661</c:v>
                </c:pt>
                <c:pt idx="8">
                  <c:v>1337</c:v>
                </c:pt>
                <c:pt idx="9">
                  <c:v>3234</c:v>
                </c:pt>
                <c:pt idx="10">
                  <c:v>782</c:v>
                </c:pt>
                <c:pt idx="11">
                  <c:v>2772</c:v>
                </c:pt>
                <c:pt idx="12">
                  <c:v>586</c:v>
                </c:pt>
                <c:pt idx="13">
                  <c:v>2667</c:v>
                </c:pt>
                <c:pt idx="14">
                  <c:v>2998</c:v>
                </c:pt>
                <c:pt idx="15">
                  <c:v>5520</c:v>
                </c:pt>
                <c:pt idx="16">
                  <c:v>4704</c:v>
                </c:pt>
                <c:pt idx="17">
                  <c:v>1543</c:v>
                </c:pt>
                <c:pt idx="18">
                  <c:v>2529</c:v>
                </c:pt>
                <c:pt idx="19">
                  <c:v>7042</c:v>
                </c:pt>
                <c:pt idx="20">
                  <c:v>5745</c:v>
                </c:pt>
                <c:pt idx="21">
                  <c:v>836</c:v>
                </c:pt>
                <c:pt idx="22">
                  <c:v>382</c:v>
                </c:pt>
                <c:pt idx="23">
                  <c:v>3722</c:v>
                </c:pt>
                <c:pt idx="24">
                  <c:v>264</c:v>
                </c:pt>
                <c:pt idx="25">
                  <c:v>4580</c:v>
                </c:pt>
                <c:pt idx="26">
                  <c:v>2710</c:v>
                </c:pt>
                <c:pt idx="27">
                  <c:v>9598</c:v>
                </c:pt>
                <c:pt idx="28">
                  <c:v>4022</c:v>
                </c:pt>
                <c:pt idx="29">
                  <c:v>2645</c:v>
                </c:pt>
                <c:pt idx="30">
                  <c:v>6023</c:v>
                </c:pt>
                <c:pt idx="31">
                  <c:v>7888</c:v>
                </c:pt>
                <c:pt idx="32">
                  <c:v>3422</c:v>
                </c:pt>
                <c:pt idx="33">
                  <c:v>560</c:v>
                </c:pt>
                <c:pt idx="34">
                  <c:v>554</c:v>
                </c:pt>
                <c:pt idx="35">
                  <c:v>644</c:v>
                </c:pt>
                <c:pt idx="36">
                  <c:v>3329</c:v>
                </c:pt>
                <c:pt idx="37">
                  <c:v>295</c:v>
                </c:pt>
                <c:pt idx="38">
                  <c:v>312</c:v>
                </c:pt>
                <c:pt idx="39">
                  <c:v>5741</c:v>
                </c:pt>
                <c:pt idx="40">
                  <c:v>6090</c:v>
                </c:pt>
                <c:pt idx="41">
                  <c:v>5719</c:v>
                </c:pt>
                <c:pt idx="42">
                  <c:v>3560</c:v>
                </c:pt>
                <c:pt idx="43">
                  <c:v>2896</c:v>
                </c:pt>
                <c:pt idx="44">
                  <c:v>404</c:v>
                </c:pt>
                <c:pt idx="45">
                  <c:v>2397</c:v>
                </c:pt>
                <c:pt idx="46">
                  <c:v>4794</c:v>
                </c:pt>
                <c:pt idx="47">
                  <c:v>5862</c:v>
                </c:pt>
                <c:pt idx="48">
                  <c:v>6433</c:v>
                </c:pt>
                <c:pt idx="49">
                  <c:v>2262</c:v>
                </c:pt>
                <c:pt idx="50">
                  <c:v>5053</c:v>
                </c:pt>
                <c:pt idx="51">
                  <c:v>7863</c:v>
                </c:pt>
                <c:pt idx="52">
                  <c:v>2538</c:v>
                </c:pt>
                <c:pt idx="53">
                  <c:v>454</c:v>
                </c:pt>
                <c:pt idx="54">
                  <c:v>276</c:v>
                </c:pt>
                <c:pt idx="55">
                  <c:v>8529</c:v>
                </c:pt>
                <c:pt idx="56">
                  <c:v>5031</c:v>
                </c:pt>
                <c:pt idx="57">
                  <c:v>6986</c:v>
                </c:pt>
                <c:pt idx="58">
                  <c:v>6098</c:v>
                </c:pt>
                <c:pt idx="59">
                  <c:v>5569</c:v>
                </c:pt>
                <c:pt idx="60">
                  <c:v>3421</c:v>
                </c:pt>
                <c:pt idx="61">
                  <c:v>269</c:v>
                </c:pt>
                <c:pt idx="62">
                  <c:v>2466</c:v>
                </c:pt>
                <c:pt idx="63">
                  <c:v>4231</c:v>
                </c:pt>
                <c:pt idx="64">
                  <c:v>3754</c:v>
                </c:pt>
                <c:pt idx="65">
                  <c:v>9627</c:v>
                </c:pt>
                <c:pt idx="66">
                  <c:v>6429</c:v>
                </c:pt>
                <c:pt idx="67">
                  <c:v>277</c:v>
                </c:pt>
                <c:pt idx="68">
                  <c:v>2383</c:v>
                </c:pt>
                <c:pt idx="69">
                  <c:v>5890</c:v>
                </c:pt>
                <c:pt idx="70">
                  <c:v>2046</c:v>
                </c:pt>
                <c:pt idx="71">
                  <c:v>6878</c:v>
                </c:pt>
                <c:pt idx="72">
                  <c:v>2138</c:v>
                </c:pt>
                <c:pt idx="73">
                  <c:v>4018</c:v>
                </c:pt>
                <c:pt idx="74">
                  <c:v>3265</c:v>
                </c:pt>
                <c:pt idx="75">
                  <c:v>359</c:v>
                </c:pt>
                <c:pt idx="76">
                  <c:v>4961</c:v>
                </c:pt>
                <c:pt idx="77">
                  <c:v>913</c:v>
                </c:pt>
                <c:pt idx="78">
                  <c:v>4834</c:v>
                </c:pt>
                <c:pt idx="79">
                  <c:v>5168</c:v>
                </c:pt>
                <c:pt idx="80">
                  <c:v>3984</c:v>
                </c:pt>
                <c:pt idx="81">
                  <c:v>2277</c:v>
                </c:pt>
                <c:pt idx="82">
                  <c:v>4166</c:v>
                </c:pt>
                <c:pt idx="83">
                  <c:v>3784</c:v>
                </c:pt>
                <c:pt idx="84">
                  <c:v>7012</c:v>
                </c:pt>
                <c:pt idx="85">
                  <c:v>9345</c:v>
                </c:pt>
                <c:pt idx="86">
                  <c:v>6086</c:v>
                </c:pt>
                <c:pt idx="87">
                  <c:v>9515</c:v>
                </c:pt>
                <c:pt idx="88">
                  <c:v>5221</c:v>
                </c:pt>
                <c:pt idx="89">
                  <c:v>5333</c:v>
                </c:pt>
                <c:pt idx="90">
                  <c:v>4371</c:v>
                </c:pt>
                <c:pt idx="91">
                  <c:v>3825</c:v>
                </c:pt>
                <c:pt idx="92">
                  <c:v>2508</c:v>
                </c:pt>
                <c:pt idx="93">
                  <c:v>6857</c:v>
                </c:pt>
                <c:pt idx="94">
                  <c:v>1241</c:v>
                </c:pt>
                <c:pt idx="95">
                  <c:v>2616</c:v>
                </c:pt>
                <c:pt idx="96">
                  <c:v>4043</c:v>
                </c:pt>
                <c:pt idx="97">
                  <c:v>3688</c:v>
                </c:pt>
                <c:pt idx="98">
                  <c:v>2470</c:v>
                </c:pt>
                <c:pt idx="99">
                  <c:v>344</c:v>
                </c:pt>
                <c:pt idx="100">
                  <c:v>2422</c:v>
                </c:pt>
                <c:pt idx="101">
                  <c:v>5249</c:v>
                </c:pt>
                <c:pt idx="102">
                  <c:v>4812</c:v>
                </c:pt>
                <c:pt idx="103">
                  <c:v>2193</c:v>
                </c:pt>
                <c:pt idx="104">
                  <c:v>6958</c:v>
                </c:pt>
                <c:pt idx="105">
                  <c:v>3974</c:v>
                </c:pt>
                <c:pt idx="106">
                  <c:v>6899</c:v>
                </c:pt>
                <c:pt idx="107">
                  <c:v>3724</c:v>
                </c:pt>
                <c:pt idx="108">
                  <c:v>2451</c:v>
                </c:pt>
                <c:pt idx="109">
                  <c:v>8412</c:v>
                </c:pt>
                <c:pt idx="110">
                  <c:v>479</c:v>
                </c:pt>
                <c:pt idx="111">
                  <c:v>2599</c:v>
                </c:pt>
                <c:pt idx="112">
                  <c:v>4947</c:v>
                </c:pt>
                <c:pt idx="113">
                  <c:v>1966</c:v>
                </c:pt>
                <c:pt idx="114">
                  <c:v>7150</c:v>
                </c:pt>
                <c:pt idx="115">
                  <c:v>1459</c:v>
                </c:pt>
                <c:pt idx="116">
                  <c:v>428</c:v>
                </c:pt>
                <c:pt idx="117">
                  <c:v>3526</c:v>
                </c:pt>
                <c:pt idx="118">
                  <c:v>4247</c:v>
                </c:pt>
                <c:pt idx="119">
                  <c:v>1149</c:v>
                </c:pt>
                <c:pt idx="120">
                  <c:v>5145</c:v>
                </c:pt>
                <c:pt idx="121">
                  <c:v>4674</c:v>
                </c:pt>
                <c:pt idx="122">
                  <c:v>3695</c:v>
                </c:pt>
                <c:pt idx="123">
                  <c:v>4045</c:v>
                </c:pt>
                <c:pt idx="124">
                  <c:v>3020</c:v>
                </c:pt>
                <c:pt idx="125">
                  <c:v>258</c:v>
                </c:pt>
                <c:pt idx="126">
                  <c:v>5516</c:v>
                </c:pt>
                <c:pt idx="127">
                  <c:v>819</c:v>
                </c:pt>
                <c:pt idx="128">
                  <c:v>973</c:v>
                </c:pt>
                <c:pt idx="129">
                  <c:v>4146</c:v>
                </c:pt>
                <c:pt idx="130">
                  <c:v>3553</c:v>
                </c:pt>
                <c:pt idx="131">
                  <c:v>6394</c:v>
                </c:pt>
                <c:pt idx="132">
                  <c:v>3642</c:v>
                </c:pt>
                <c:pt idx="133">
                  <c:v>5012</c:v>
                </c:pt>
                <c:pt idx="134">
                  <c:v>5409</c:v>
                </c:pt>
                <c:pt idx="135">
                  <c:v>1911</c:v>
                </c:pt>
                <c:pt idx="136">
                  <c:v>1772</c:v>
                </c:pt>
                <c:pt idx="137">
                  <c:v>4093</c:v>
                </c:pt>
                <c:pt idx="138">
                  <c:v>6789</c:v>
                </c:pt>
                <c:pt idx="139">
                  <c:v>3330</c:v>
                </c:pt>
                <c:pt idx="140">
                  <c:v>448</c:v>
                </c:pt>
                <c:pt idx="141">
                  <c:v>1088</c:v>
                </c:pt>
                <c:pt idx="142">
                  <c:v>281</c:v>
                </c:pt>
                <c:pt idx="143">
                  <c:v>3945</c:v>
                </c:pt>
                <c:pt idx="144">
                  <c:v>5605</c:v>
                </c:pt>
                <c:pt idx="145">
                  <c:v>4650</c:v>
                </c:pt>
                <c:pt idx="146">
                  <c:v>9672</c:v>
                </c:pt>
                <c:pt idx="147">
                  <c:v>2187</c:v>
                </c:pt>
                <c:pt idx="148">
                  <c:v>301</c:v>
                </c:pt>
                <c:pt idx="149">
                  <c:v>6975</c:v>
                </c:pt>
                <c:pt idx="150">
                  <c:v>328</c:v>
                </c:pt>
                <c:pt idx="151">
                  <c:v>6174</c:v>
                </c:pt>
                <c:pt idx="152">
                  <c:v>517</c:v>
                </c:pt>
                <c:pt idx="153">
                  <c:v>2349</c:v>
                </c:pt>
                <c:pt idx="154">
                  <c:v>7816</c:v>
                </c:pt>
                <c:pt idx="155">
                  <c:v>8577</c:v>
                </c:pt>
                <c:pt idx="156">
                  <c:v>414</c:v>
                </c:pt>
                <c:pt idx="157">
                  <c:v>2270</c:v>
                </c:pt>
                <c:pt idx="158">
                  <c:v>1567</c:v>
                </c:pt>
                <c:pt idx="159">
                  <c:v>9595</c:v>
                </c:pt>
                <c:pt idx="160">
                  <c:v>2632</c:v>
                </c:pt>
                <c:pt idx="161">
                  <c:v>9684</c:v>
                </c:pt>
                <c:pt idx="162">
                  <c:v>3222</c:v>
                </c:pt>
                <c:pt idx="163">
                  <c:v>6748</c:v>
                </c:pt>
                <c:pt idx="164">
                  <c:v>446</c:v>
                </c:pt>
                <c:pt idx="165">
                  <c:v>1621</c:v>
                </c:pt>
                <c:pt idx="166">
                  <c:v>1936</c:v>
                </c:pt>
                <c:pt idx="167">
                  <c:v>5211</c:v>
                </c:pt>
                <c:pt idx="168">
                  <c:v>7066</c:v>
                </c:pt>
                <c:pt idx="169">
                  <c:v>808</c:v>
                </c:pt>
                <c:pt idx="170">
                  <c:v>4838</c:v>
                </c:pt>
                <c:pt idx="171">
                  <c:v>342</c:v>
                </c:pt>
                <c:pt idx="172">
                  <c:v>5947</c:v>
                </c:pt>
                <c:pt idx="173">
                  <c:v>477</c:v>
                </c:pt>
                <c:pt idx="174">
                  <c:v>5722</c:v>
                </c:pt>
                <c:pt idx="175">
                  <c:v>304</c:v>
                </c:pt>
                <c:pt idx="176">
                  <c:v>9031</c:v>
                </c:pt>
                <c:pt idx="177">
                  <c:v>318</c:v>
                </c:pt>
                <c:pt idx="178">
                  <c:v>7674</c:v>
                </c:pt>
                <c:pt idx="179">
                  <c:v>6433</c:v>
                </c:pt>
                <c:pt idx="180">
                  <c:v>1429</c:v>
                </c:pt>
                <c:pt idx="181">
                  <c:v>2032</c:v>
                </c:pt>
                <c:pt idx="182">
                  <c:v>6264</c:v>
                </c:pt>
                <c:pt idx="183">
                  <c:v>4997</c:v>
                </c:pt>
                <c:pt idx="184">
                  <c:v>793</c:v>
                </c:pt>
                <c:pt idx="185">
                  <c:v>1129</c:v>
                </c:pt>
                <c:pt idx="186">
                  <c:v>4723</c:v>
                </c:pt>
                <c:pt idx="187">
                  <c:v>2745</c:v>
                </c:pt>
                <c:pt idx="188">
                  <c:v>1902</c:v>
                </c:pt>
                <c:pt idx="189">
                  <c:v>1682</c:v>
                </c:pt>
                <c:pt idx="190">
                  <c:v>708</c:v>
                </c:pt>
                <c:pt idx="191">
                  <c:v>7030</c:v>
                </c:pt>
                <c:pt idx="192">
                  <c:v>563</c:v>
                </c:pt>
                <c:pt idx="193">
                  <c:v>2631</c:v>
                </c:pt>
                <c:pt idx="194">
                  <c:v>6698</c:v>
                </c:pt>
                <c:pt idx="195">
                  <c:v>4169</c:v>
                </c:pt>
                <c:pt idx="196">
                  <c:v>7913</c:v>
                </c:pt>
                <c:pt idx="197">
                  <c:v>369</c:v>
                </c:pt>
                <c:pt idx="198">
                  <c:v>5257</c:v>
                </c:pt>
                <c:pt idx="199">
                  <c:v>1278</c:v>
                </c:pt>
                <c:pt idx="200">
                  <c:v>5346</c:v>
                </c:pt>
                <c:pt idx="201">
                  <c:v>2711</c:v>
                </c:pt>
                <c:pt idx="202">
                  <c:v>2216</c:v>
                </c:pt>
                <c:pt idx="203">
                  <c:v>598</c:v>
                </c:pt>
                <c:pt idx="204">
                  <c:v>594</c:v>
                </c:pt>
                <c:pt idx="205">
                  <c:v>5916</c:v>
                </c:pt>
                <c:pt idx="206">
                  <c:v>2553</c:v>
                </c:pt>
                <c:pt idx="207">
                  <c:v>6493</c:v>
                </c:pt>
                <c:pt idx="208">
                  <c:v>6549</c:v>
                </c:pt>
                <c:pt idx="209">
                  <c:v>2491</c:v>
                </c:pt>
                <c:pt idx="210">
                  <c:v>6993</c:v>
                </c:pt>
                <c:pt idx="211">
                  <c:v>2797</c:v>
                </c:pt>
                <c:pt idx="212">
                  <c:v>530</c:v>
                </c:pt>
                <c:pt idx="213">
                  <c:v>2832</c:v>
                </c:pt>
                <c:pt idx="214">
                  <c:v>2998</c:v>
                </c:pt>
                <c:pt idx="215">
                  <c:v>2272</c:v>
                </c:pt>
                <c:pt idx="216">
                  <c:v>4372</c:v>
                </c:pt>
                <c:pt idx="217">
                  <c:v>4800</c:v>
                </c:pt>
                <c:pt idx="218">
                  <c:v>2274</c:v>
                </c:pt>
                <c:pt idx="219">
                  <c:v>4952</c:v>
                </c:pt>
                <c:pt idx="220">
                  <c:v>6095</c:v>
                </c:pt>
                <c:pt idx="221">
                  <c:v>1661</c:v>
                </c:pt>
                <c:pt idx="222">
                  <c:v>3359</c:v>
                </c:pt>
                <c:pt idx="223">
                  <c:v>1952</c:v>
                </c:pt>
                <c:pt idx="224">
                  <c:v>453</c:v>
                </c:pt>
                <c:pt idx="225">
                  <c:v>814</c:v>
                </c:pt>
                <c:pt idx="226">
                  <c:v>6373</c:v>
                </c:pt>
                <c:pt idx="227">
                  <c:v>541</c:v>
                </c:pt>
                <c:pt idx="228">
                  <c:v>3133</c:v>
                </c:pt>
                <c:pt idx="229">
                  <c:v>2925</c:v>
                </c:pt>
                <c:pt idx="230">
                  <c:v>478</c:v>
                </c:pt>
                <c:pt idx="231">
                  <c:v>452</c:v>
                </c:pt>
                <c:pt idx="232">
                  <c:v>569</c:v>
                </c:pt>
                <c:pt idx="233">
                  <c:v>1759</c:v>
                </c:pt>
                <c:pt idx="234">
                  <c:v>1991</c:v>
                </c:pt>
                <c:pt idx="235">
                  <c:v>8836</c:v>
                </c:pt>
                <c:pt idx="236">
                  <c:v>3242</c:v>
                </c:pt>
                <c:pt idx="237">
                  <c:v>3131</c:v>
                </c:pt>
                <c:pt idx="238">
                  <c:v>2122</c:v>
                </c:pt>
                <c:pt idx="239">
                  <c:v>320</c:v>
                </c:pt>
                <c:pt idx="240">
                  <c:v>271</c:v>
                </c:pt>
                <c:pt idx="241">
                  <c:v>405</c:v>
                </c:pt>
                <c:pt idx="242">
                  <c:v>5716</c:v>
                </c:pt>
                <c:pt idx="243">
                  <c:v>3816</c:v>
                </c:pt>
                <c:pt idx="244">
                  <c:v>528</c:v>
                </c:pt>
                <c:pt idx="245">
                  <c:v>1650</c:v>
                </c:pt>
                <c:pt idx="246">
                  <c:v>2822</c:v>
                </c:pt>
                <c:pt idx="247">
                  <c:v>3718</c:v>
                </c:pt>
                <c:pt idx="248">
                  <c:v>7040</c:v>
                </c:pt>
                <c:pt idx="249">
                  <c:v>8046</c:v>
                </c:pt>
                <c:pt idx="250">
                  <c:v>4774</c:v>
                </c:pt>
                <c:pt idx="251">
                  <c:v>371</c:v>
                </c:pt>
                <c:pt idx="252">
                  <c:v>5542</c:v>
                </c:pt>
                <c:pt idx="253">
                  <c:v>9276</c:v>
                </c:pt>
                <c:pt idx="254">
                  <c:v>2079</c:v>
                </c:pt>
                <c:pt idx="255">
                  <c:v>8156</c:v>
                </c:pt>
                <c:pt idx="256">
                  <c:v>3177</c:v>
                </c:pt>
                <c:pt idx="257">
                  <c:v>3777</c:v>
                </c:pt>
                <c:pt idx="258">
                  <c:v>2751</c:v>
                </c:pt>
                <c:pt idx="259">
                  <c:v>1000</c:v>
                </c:pt>
                <c:pt idx="260">
                  <c:v>3748</c:v>
                </c:pt>
                <c:pt idx="261">
                  <c:v>434</c:v>
                </c:pt>
                <c:pt idx="262">
                  <c:v>9718</c:v>
                </c:pt>
                <c:pt idx="263">
                  <c:v>2776</c:v>
                </c:pt>
                <c:pt idx="264">
                  <c:v>482</c:v>
                </c:pt>
                <c:pt idx="265">
                  <c:v>919</c:v>
                </c:pt>
                <c:pt idx="266">
                  <c:v>5972</c:v>
                </c:pt>
                <c:pt idx="267">
                  <c:v>5801</c:v>
                </c:pt>
                <c:pt idx="268">
                  <c:v>4958</c:v>
                </c:pt>
                <c:pt idx="269">
                  <c:v>678</c:v>
                </c:pt>
                <c:pt idx="270">
                  <c:v>586</c:v>
                </c:pt>
                <c:pt idx="271">
                  <c:v>420</c:v>
                </c:pt>
                <c:pt idx="272">
                  <c:v>688</c:v>
                </c:pt>
                <c:pt idx="273">
                  <c:v>1974</c:v>
                </c:pt>
                <c:pt idx="274">
                  <c:v>2983</c:v>
                </c:pt>
                <c:pt idx="275">
                  <c:v>2060</c:v>
                </c:pt>
                <c:pt idx="276">
                  <c:v>4398</c:v>
                </c:pt>
                <c:pt idx="277">
                  <c:v>4748</c:v>
                </c:pt>
                <c:pt idx="278">
                  <c:v>2730</c:v>
                </c:pt>
                <c:pt idx="279">
                  <c:v>4930</c:v>
                </c:pt>
                <c:pt idx="280">
                  <c:v>621</c:v>
                </c:pt>
                <c:pt idx="281">
                  <c:v>2442</c:v>
                </c:pt>
                <c:pt idx="282">
                  <c:v>349</c:v>
                </c:pt>
                <c:pt idx="283">
                  <c:v>7007</c:v>
                </c:pt>
                <c:pt idx="284">
                  <c:v>2143</c:v>
                </c:pt>
                <c:pt idx="285">
                  <c:v>3199</c:v>
                </c:pt>
                <c:pt idx="286">
                  <c:v>7443</c:v>
                </c:pt>
                <c:pt idx="287">
                  <c:v>3930</c:v>
                </c:pt>
                <c:pt idx="288">
                  <c:v>1171</c:v>
                </c:pt>
                <c:pt idx="289">
                  <c:v>580</c:v>
                </c:pt>
                <c:pt idx="290">
                  <c:v>2203</c:v>
                </c:pt>
                <c:pt idx="291">
                  <c:v>3853</c:v>
                </c:pt>
                <c:pt idx="292">
                  <c:v>2637</c:v>
                </c:pt>
                <c:pt idx="293">
                  <c:v>1725</c:v>
                </c:pt>
                <c:pt idx="294">
                  <c:v>3081</c:v>
                </c:pt>
                <c:pt idx="295">
                  <c:v>3444</c:v>
                </c:pt>
                <c:pt idx="296">
                  <c:v>536</c:v>
                </c:pt>
                <c:pt idx="297">
                  <c:v>3880</c:v>
                </c:pt>
                <c:pt idx="298">
                  <c:v>1699</c:v>
                </c:pt>
                <c:pt idx="299">
                  <c:v>3027</c:v>
                </c:pt>
                <c:pt idx="300">
                  <c:v>2142</c:v>
                </c:pt>
                <c:pt idx="301">
                  <c:v>2140</c:v>
                </c:pt>
                <c:pt idx="302">
                  <c:v>1619</c:v>
                </c:pt>
                <c:pt idx="303">
                  <c:v>437</c:v>
                </c:pt>
                <c:pt idx="304">
                  <c:v>3782</c:v>
                </c:pt>
                <c:pt idx="305">
                  <c:v>2023</c:v>
                </c:pt>
                <c:pt idx="306">
                  <c:v>7863</c:v>
                </c:pt>
                <c:pt idx="307">
                  <c:v>5134</c:v>
                </c:pt>
                <c:pt idx="308">
                  <c:v>411</c:v>
                </c:pt>
                <c:pt idx="309">
                  <c:v>3456</c:v>
                </c:pt>
                <c:pt idx="310">
                  <c:v>1731</c:v>
                </c:pt>
                <c:pt idx="311">
                  <c:v>3047</c:v>
                </c:pt>
                <c:pt idx="312">
                  <c:v>4753</c:v>
                </c:pt>
                <c:pt idx="313">
                  <c:v>3567</c:v>
                </c:pt>
                <c:pt idx="314">
                  <c:v>2539</c:v>
                </c:pt>
                <c:pt idx="315">
                  <c:v>5324</c:v>
                </c:pt>
                <c:pt idx="316">
                  <c:v>4441</c:v>
                </c:pt>
                <c:pt idx="317">
                  <c:v>6913</c:v>
                </c:pt>
                <c:pt idx="318">
                  <c:v>599</c:v>
                </c:pt>
                <c:pt idx="319">
                  <c:v>4826</c:v>
                </c:pt>
                <c:pt idx="320">
                  <c:v>461</c:v>
                </c:pt>
                <c:pt idx="321">
                  <c:v>7147</c:v>
                </c:pt>
                <c:pt idx="322">
                  <c:v>438</c:v>
                </c:pt>
                <c:pt idx="323">
                  <c:v>2196</c:v>
                </c:pt>
                <c:pt idx="324">
                  <c:v>1588</c:v>
                </c:pt>
                <c:pt idx="325">
                  <c:v>613</c:v>
                </c:pt>
                <c:pt idx="326">
                  <c:v>3417</c:v>
                </c:pt>
                <c:pt idx="327">
                  <c:v>327</c:v>
                </c:pt>
                <c:pt idx="328">
                  <c:v>3012</c:v>
                </c:pt>
                <c:pt idx="329">
                  <c:v>4290</c:v>
                </c:pt>
                <c:pt idx="330">
                  <c:v>4769</c:v>
                </c:pt>
                <c:pt idx="331">
                  <c:v>4075</c:v>
                </c:pt>
                <c:pt idx="332">
                  <c:v>5799</c:v>
                </c:pt>
                <c:pt idx="333">
                  <c:v>6480</c:v>
                </c:pt>
                <c:pt idx="334">
                  <c:v>3516</c:v>
                </c:pt>
                <c:pt idx="335">
                  <c:v>2113</c:v>
                </c:pt>
                <c:pt idx="336">
                  <c:v>261</c:v>
                </c:pt>
                <c:pt idx="337">
                  <c:v>7881</c:v>
                </c:pt>
                <c:pt idx="338">
                  <c:v>260</c:v>
                </c:pt>
                <c:pt idx="339">
                  <c:v>4760</c:v>
                </c:pt>
                <c:pt idx="340">
                  <c:v>4272</c:v>
                </c:pt>
                <c:pt idx="341">
                  <c:v>484</c:v>
                </c:pt>
                <c:pt idx="342">
                  <c:v>1226</c:v>
                </c:pt>
                <c:pt idx="343">
                  <c:v>461</c:v>
                </c:pt>
                <c:pt idx="344">
                  <c:v>5493</c:v>
                </c:pt>
                <c:pt idx="345">
                  <c:v>2601</c:v>
                </c:pt>
                <c:pt idx="346">
                  <c:v>2563</c:v>
                </c:pt>
                <c:pt idx="347">
                  <c:v>8508</c:v>
                </c:pt>
                <c:pt idx="348">
                  <c:v>6299</c:v>
                </c:pt>
                <c:pt idx="349">
                  <c:v>492</c:v>
                </c:pt>
                <c:pt idx="350">
                  <c:v>1649</c:v>
                </c:pt>
                <c:pt idx="351">
                  <c:v>1865</c:v>
                </c:pt>
                <c:pt idx="352">
                  <c:v>9206</c:v>
                </c:pt>
                <c:pt idx="353">
                  <c:v>3290</c:v>
                </c:pt>
                <c:pt idx="354">
                  <c:v>3097</c:v>
                </c:pt>
                <c:pt idx="355">
                  <c:v>6334</c:v>
                </c:pt>
                <c:pt idx="356">
                  <c:v>6403</c:v>
                </c:pt>
                <c:pt idx="357">
                  <c:v>7612</c:v>
                </c:pt>
                <c:pt idx="358">
                  <c:v>5690</c:v>
                </c:pt>
                <c:pt idx="359">
                  <c:v>1845</c:v>
                </c:pt>
                <c:pt idx="360">
                  <c:v>1650</c:v>
                </c:pt>
                <c:pt idx="361">
                  <c:v>4867</c:v>
                </c:pt>
                <c:pt idx="362">
                  <c:v>1538</c:v>
                </c:pt>
                <c:pt idx="363">
                  <c:v>514</c:v>
                </c:pt>
                <c:pt idx="364">
                  <c:v>546</c:v>
                </c:pt>
                <c:pt idx="365">
                  <c:v>299</c:v>
                </c:pt>
                <c:pt idx="366">
                  <c:v>2828</c:v>
                </c:pt>
                <c:pt idx="367">
                  <c:v>3971</c:v>
                </c:pt>
                <c:pt idx="368">
                  <c:v>489</c:v>
                </c:pt>
                <c:pt idx="369">
                  <c:v>355</c:v>
                </c:pt>
                <c:pt idx="370">
                  <c:v>3793</c:v>
                </c:pt>
                <c:pt idx="371">
                  <c:v>6316</c:v>
                </c:pt>
                <c:pt idx="372">
                  <c:v>2978</c:v>
                </c:pt>
                <c:pt idx="373">
                  <c:v>8689</c:v>
                </c:pt>
                <c:pt idx="374">
                  <c:v>3320</c:v>
                </c:pt>
                <c:pt idx="375">
                  <c:v>1870</c:v>
                </c:pt>
                <c:pt idx="376">
                  <c:v>7866</c:v>
                </c:pt>
                <c:pt idx="377">
                  <c:v>4743</c:v>
                </c:pt>
                <c:pt idx="378">
                  <c:v>456</c:v>
                </c:pt>
                <c:pt idx="379">
                  <c:v>346</c:v>
                </c:pt>
                <c:pt idx="380">
                  <c:v>2262</c:v>
                </c:pt>
                <c:pt idx="381">
                  <c:v>331</c:v>
                </c:pt>
                <c:pt idx="382">
                  <c:v>3101</c:v>
                </c:pt>
                <c:pt idx="383">
                  <c:v>3993</c:v>
                </c:pt>
                <c:pt idx="384">
                  <c:v>1426</c:v>
                </c:pt>
                <c:pt idx="385">
                  <c:v>1519</c:v>
                </c:pt>
                <c:pt idx="386">
                  <c:v>1945</c:v>
                </c:pt>
                <c:pt idx="387">
                  <c:v>1739</c:v>
                </c:pt>
                <c:pt idx="388">
                  <c:v>4162</c:v>
                </c:pt>
                <c:pt idx="389">
                  <c:v>4987</c:v>
                </c:pt>
                <c:pt idx="390">
                  <c:v>963</c:v>
                </c:pt>
                <c:pt idx="391">
                  <c:v>1338</c:v>
                </c:pt>
                <c:pt idx="392">
                  <c:v>3672</c:v>
                </c:pt>
                <c:pt idx="393">
                  <c:v>3131</c:v>
                </c:pt>
                <c:pt idx="394">
                  <c:v>395</c:v>
                </c:pt>
                <c:pt idx="395">
                  <c:v>2074</c:v>
                </c:pt>
                <c:pt idx="396">
                  <c:v>598</c:v>
                </c:pt>
                <c:pt idx="397">
                  <c:v>847</c:v>
                </c:pt>
                <c:pt idx="398">
                  <c:v>5985</c:v>
                </c:pt>
                <c:pt idx="399">
                  <c:v>1533</c:v>
                </c:pt>
                <c:pt idx="400">
                  <c:v>3975</c:v>
                </c:pt>
                <c:pt idx="401">
                  <c:v>3351</c:v>
                </c:pt>
                <c:pt idx="402">
                  <c:v>1976</c:v>
                </c:pt>
                <c:pt idx="403">
                  <c:v>3993</c:v>
                </c:pt>
                <c:pt idx="404">
                  <c:v>6718</c:v>
                </c:pt>
                <c:pt idx="405">
                  <c:v>1673</c:v>
                </c:pt>
                <c:pt idx="406">
                  <c:v>7450</c:v>
                </c:pt>
                <c:pt idx="407">
                  <c:v>4838</c:v>
                </c:pt>
                <c:pt idx="408">
                  <c:v>3374</c:v>
                </c:pt>
                <c:pt idx="409">
                  <c:v>2511</c:v>
                </c:pt>
                <c:pt idx="410">
                  <c:v>877</c:v>
                </c:pt>
                <c:pt idx="411">
                  <c:v>4514</c:v>
                </c:pt>
                <c:pt idx="412">
                  <c:v>4689</c:v>
                </c:pt>
                <c:pt idx="413">
                  <c:v>5884</c:v>
                </c:pt>
                <c:pt idx="414">
                  <c:v>288</c:v>
                </c:pt>
                <c:pt idx="415">
                  <c:v>263</c:v>
                </c:pt>
                <c:pt idx="416">
                  <c:v>905</c:v>
                </c:pt>
                <c:pt idx="417">
                  <c:v>1538</c:v>
                </c:pt>
                <c:pt idx="418">
                  <c:v>4500</c:v>
                </c:pt>
                <c:pt idx="419">
                  <c:v>8717</c:v>
                </c:pt>
                <c:pt idx="420">
                  <c:v>1708</c:v>
                </c:pt>
                <c:pt idx="421">
                  <c:v>9764</c:v>
                </c:pt>
                <c:pt idx="422">
                  <c:v>5364</c:v>
                </c:pt>
                <c:pt idx="423">
                  <c:v>252</c:v>
                </c:pt>
                <c:pt idx="424">
                  <c:v>4661</c:v>
                </c:pt>
                <c:pt idx="425">
                  <c:v>292</c:v>
                </c:pt>
                <c:pt idx="426">
                  <c:v>3879</c:v>
                </c:pt>
                <c:pt idx="427">
                  <c:v>2488</c:v>
                </c:pt>
                <c:pt idx="428">
                  <c:v>3825</c:v>
                </c:pt>
                <c:pt idx="429">
                  <c:v>294</c:v>
                </c:pt>
                <c:pt idx="430">
                  <c:v>8829</c:v>
                </c:pt>
                <c:pt idx="431">
                  <c:v>600</c:v>
                </c:pt>
                <c:pt idx="432">
                  <c:v>3761</c:v>
                </c:pt>
                <c:pt idx="433">
                  <c:v>4091</c:v>
                </c:pt>
                <c:pt idx="434">
                  <c:v>7512</c:v>
                </c:pt>
                <c:pt idx="435">
                  <c:v>342</c:v>
                </c:pt>
                <c:pt idx="436">
                  <c:v>455</c:v>
                </c:pt>
                <c:pt idx="437">
                  <c:v>329</c:v>
                </c:pt>
                <c:pt idx="438">
                  <c:v>2414</c:v>
                </c:pt>
                <c:pt idx="439">
                  <c:v>7466</c:v>
                </c:pt>
                <c:pt idx="440">
                  <c:v>284</c:v>
                </c:pt>
                <c:pt idx="441">
                  <c:v>7372</c:v>
                </c:pt>
                <c:pt idx="442">
                  <c:v>323</c:v>
                </c:pt>
                <c:pt idx="443">
                  <c:v>2078</c:v>
                </c:pt>
                <c:pt idx="444">
                  <c:v>2491</c:v>
                </c:pt>
                <c:pt idx="445">
                  <c:v>3735</c:v>
                </c:pt>
                <c:pt idx="446">
                  <c:v>1885</c:v>
                </c:pt>
                <c:pt idx="447">
                  <c:v>1881</c:v>
                </c:pt>
                <c:pt idx="448">
                  <c:v>1588</c:v>
                </c:pt>
                <c:pt idx="449">
                  <c:v>270</c:v>
                </c:pt>
                <c:pt idx="450">
                  <c:v>2558</c:v>
                </c:pt>
                <c:pt idx="451">
                  <c:v>567</c:v>
                </c:pt>
                <c:pt idx="452">
                  <c:v>6670</c:v>
                </c:pt>
                <c:pt idx="453">
                  <c:v>6983</c:v>
                </c:pt>
                <c:pt idx="454">
                  <c:v>388</c:v>
                </c:pt>
                <c:pt idx="455">
                  <c:v>3626</c:v>
                </c:pt>
                <c:pt idx="456">
                  <c:v>325</c:v>
                </c:pt>
                <c:pt idx="457">
                  <c:v>1916</c:v>
                </c:pt>
                <c:pt idx="458">
                  <c:v>7873</c:v>
                </c:pt>
                <c:pt idx="459">
                  <c:v>5724</c:v>
                </c:pt>
                <c:pt idx="460">
                  <c:v>507</c:v>
                </c:pt>
                <c:pt idx="461">
                  <c:v>5583</c:v>
                </c:pt>
                <c:pt idx="462">
                  <c:v>3645</c:v>
                </c:pt>
                <c:pt idx="463">
                  <c:v>854</c:v>
                </c:pt>
                <c:pt idx="464">
                  <c:v>442</c:v>
                </c:pt>
                <c:pt idx="465">
                  <c:v>2595</c:v>
                </c:pt>
                <c:pt idx="466">
                  <c:v>512</c:v>
                </c:pt>
                <c:pt idx="467">
                  <c:v>352</c:v>
                </c:pt>
                <c:pt idx="468">
                  <c:v>2000</c:v>
                </c:pt>
                <c:pt idx="469">
                  <c:v>599</c:v>
                </c:pt>
                <c:pt idx="470">
                  <c:v>3038</c:v>
                </c:pt>
                <c:pt idx="471">
                  <c:v>2011</c:v>
                </c:pt>
                <c:pt idx="472">
                  <c:v>1646</c:v>
                </c:pt>
                <c:pt idx="473">
                  <c:v>2818</c:v>
                </c:pt>
                <c:pt idx="474">
                  <c:v>6837</c:v>
                </c:pt>
                <c:pt idx="475">
                  <c:v>8311</c:v>
                </c:pt>
                <c:pt idx="476">
                  <c:v>507</c:v>
                </c:pt>
                <c:pt idx="477">
                  <c:v>1299</c:v>
                </c:pt>
                <c:pt idx="478">
                  <c:v>3667</c:v>
                </c:pt>
                <c:pt idx="479">
                  <c:v>469</c:v>
                </c:pt>
                <c:pt idx="480">
                  <c:v>1647</c:v>
                </c:pt>
                <c:pt idx="481">
                  <c:v>4926</c:v>
                </c:pt>
                <c:pt idx="482">
                  <c:v>391</c:v>
                </c:pt>
                <c:pt idx="483">
                  <c:v>1607</c:v>
                </c:pt>
                <c:pt idx="484">
                  <c:v>5539</c:v>
                </c:pt>
                <c:pt idx="485">
                  <c:v>2055</c:v>
                </c:pt>
                <c:pt idx="486">
                  <c:v>460</c:v>
                </c:pt>
                <c:pt idx="487">
                  <c:v>515</c:v>
                </c:pt>
                <c:pt idx="488">
                  <c:v>319</c:v>
                </c:pt>
                <c:pt idx="489">
                  <c:v>3157</c:v>
                </c:pt>
                <c:pt idx="490">
                  <c:v>2811</c:v>
                </c:pt>
                <c:pt idx="491">
                  <c:v>484</c:v>
                </c:pt>
                <c:pt idx="492">
                  <c:v>284</c:v>
                </c:pt>
                <c:pt idx="493">
                  <c:v>4612</c:v>
                </c:pt>
                <c:pt idx="494">
                  <c:v>7558</c:v>
                </c:pt>
                <c:pt idx="495">
                  <c:v>7477</c:v>
                </c:pt>
                <c:pt idx="496">
                  <c:v>1913</c:v>
                </c:pt>
                <c:pt idx="497">
                  <c:v>5557</c:v>
                </c:pt>
                <c:pt idx="498">
                  <c:v>8759</c:v>
                </c:pt>
                <c:pt idx="499">
                  <c:v>6107</c:v>
                </c:pt>
                <c:pt idx="500">
                  <c:v>2810</c:v>
                </c:pt>
                <c:pt idx="501">
                  <c:v>712</c:v>
                </c:pt>
                <c:pt idx="502">
                  <c:v>6267</c:v>
                </c:pt>
                <c:pt idx="503">
                  <c:v>5000</c:v>
                </c:pt>
                <c:pt idx="504">
                  <c:v>6555</c:v>
                </c:pt>
                <c:pt idx="505">
                  <c:v>1423</c:v>
                </c:pt>
                <c:pt idx="506">
                  <c:v>1869</c:v>
                </c:pt>
                <c:pt idx="507">
                  <c:v>1353</c:v>
                </c:pt>
                <c:pt idx="508">
                  <c:v>1370</c:v>
                </c:pt>
                <c:pt idx="509">
                  <c:v>2114</c:v>
                </c:pt>
                <c:pt idx="510">
                  <c:v>6869</c:v>
                </c:pt>
                <c:pt idx="511">
                  <c:v>559</c:v>
                </c:pt>
                <c:pt idx="512">
                  <c:v>1083</c:v>
                </c:pt>
                <c:pt idx="513">
                  <c:v>3922</c:v>
                </c:pt>
                <c:pt idx="514">
                  <c:v>340</c:v>
                </c:pt>
                <c:pt idx="515">
                  <c:v>2971</c:v>
                </c:pt>
                <c:pt idx="516">
                  <c:v>2332</c:v>
                </c:pt>
                <c:pt idx="517">
                  <c:v>5747</c:v>
                </c:pt>
                <c:pt idx="518">
                  <c:v>6069</c:v>
                </c:pt>
                <c:pt idx="519">
                  <c:v>4236</c:v>
                </c:pt>
                <c:pt idx="520">
                  <c:v>500</c:v>
                </c:pt>
                <c:pt idx="521">
                  <c:v>4783</c:v>
                </c:pt>
                <c:pt idx="522">
                  <c:v>3286</c:v>
                </c:pt>
                <c:pt idx="523">
                  <c:v>1599</c:v>
                </c:pt>
                <c:pt idx="524">
                  <c:v>349</c:v>
                </c:pt>
                <c:pt idx="525">
                  <c:v>440</c:v>
                </c:pt>
                <c:pt idx="526">
                  <c:v>517</c:v>
                </c:pt>
                <c:pt idx="527">
                  <c:v>3389</c:v>
                </c:pt>
                <c:pt idx="528">
                  <c:v>321</c:v>
                </c:pt>
                <c:pt idx="529">
                  <c:v>4704</c:v>
                </c:pt>
                <c:pt idx="530">
                  <c:v>4851</c:v>
                </c:pt>
                <c:pt idx="531">
                  <c:v>3808</c:v>
                </c:pt>
                <c:pt idx="532">
                  <c:v>961</c:v>
                </c:pt>
                <c:pt idx="533">
                  <c:v>5581</c:v>
                </c:pt>
                <c:pt idx="534">
                  <c:v>1202</c:v>
                </c:pt>
                <c:pt idx="535">
                  <c:v>2623</c:v>
                </c:pt>
                <c:pt idx="536">
                  <c:v>1687</c:v>
                </c:pt>
                <c:pt idx="537">
                  <c:v>4208</c:v>
                </c:pt>
                <c:pt idx="538">
                  <c:v>9849</c:v>
                </c:pt>
                <c:pt idx="539">
                  <c:v>4929</c:v>
                </c:pt>
                <c:pt idx="540">
                  <c:v>431</c:v>
                </c:pt>
                <c:pt idx="541">
                  <c:v>2393</c:v>
                </c:pt>
                <c:pt idx="542">
                  <c:v>421</c:v>
                </c:pt>
                <c:pt idx="543">
                  <c:v>597</c:v>
                </c:pt>
                <c:pt idx="544">
                  <c:v>770</c:v>
                </c:pt>
                <c:pt idx="545">
                  <c:v>1520</c:v>
                </c:pt>
                <c:pt idx="546">
                  <c:v>4857</c:v>
                </c:pt>
                <c:pt idx="547">
                  <c:v>2362</c:v>
                </c:pt>
                <c:pt idx="548">
                  <c:v>2304</c:v>
                </c:pt>
                <c:pt idx="549">
                  <c:v>6054</c:v>
                </c:pt>
                <c:pt idx="550">
                  <c:v>897</c:v>
                </c:pt>
                <c:pt idx="551">
                  <c:v>2840</c:v>
                </c:pt>
                <c:pt idx="552">
                  <c:v>3026</c:v>
                </c:pt>
                <c:pt idx="553">
                  <c:v>9997</c:v>
                </c:pt>
                <c:pt idx="554">
                  <c:v>556</c:v>
                </c:pt>
                <c:pt idx="555">
                  <c:v>2918</c:v>
                </c:pt>
                <c:pt idx="556">
                  <c:v>265</c:v>
                </c:pt>
                <c:pt idx="557">
                  <c:v>2737</c:v>
                </c:pt>
                <c:pt idx="558">
                  <c:v>396</c:v>
                </c:pt>
                <c:pt idx="559">
                  <c:v>2934</c:v>
                </c:pt>
                <c:pt idx="560">
                  <c:v>3435</c:v>
                </c:pt>
                <c:pt idx="561">
                  <c:v>428</c:v>
                </c:pt>
                <c:pt idx="562">
                  <c:v>4150</c:v>
                </c:pt>
                <c:pt idx="563">
                  <c:v>4725</c:v>
                </c:pt>
                <c:pt idx="564">
                  <c:v>7694</c:v>
                </c:pt>
                <c:pt idx="565">
                  <c:v>9984</c:v>
                </c:pt>
                <c:pt idx="566">
                  <c:v>9373</c:v>
                </c:pt>
                <c:pt idx="567">
                  <c:v>1511</c:v>
                </c:pt>
                <c:pt idx="568">
                  <c:v>1749</c:v>
                </c:pt>
                <c:pt idx="569">
                  <c:v>6520</c:v>
                </c:pt>
                <c:pt idx="570">
                  <c:v>5529</c:v>
                </c:pt>
                <c:pt idx="571">
                  <c:v>3555</c:v>
                </c:pt>
                <c:pt idx="572">
                  <c:v>405</c:v>
                </c:pt>
                <c:pt idx="573">
                  <c:v>3708</c:v>
                </c:pt>
                <c:pt idx="574">
                  <c:v>553</c:v>
                </c:pt>
                <c:pt idx="575">
                  <c:v>3232</c:v>
                </c:pt>
                <c:pt idx="576">
                  <c:v>4631</c:v>
                </c:pt>
                <c:pt idx="577">
                  <c:v>2465</c:v>
                </c:pt>
                <c:pt idx="578">
                  <c:v>7328</c:v>
                </c:pt>
                <c:pt idx="579">
                  <c:v>6705</c:v>
                </c:pt>
                <c:pt idx="580">
                  <c:v>4481</c:v>
                </c:pt>
                <c:pt idx="581">
                  <c:v>5117</c:v>
                </c:pt>
                <c:pt idx="582">
                  <c:v>1956</c:v>
                </c:pt>
                <c:pt idx="583">
                  <c:v>1685</c:v>
                </c:pt>
                <c:pt idx="584">
                  <c:v>4990</c:v>
                </c:pt>
                <c:pt idx="585">
                  <c:v>1828</c:v>
                </c:pt>
                <c:pt idx="586">
                  <c:v>5994</c:v>
                </c:pt>
                <c:pt idx="587">
                  <c:v>2846</c:v>
                </c:pt>
                <c:pt idx="588">
                  <c:v>1374</c:v>
                </c:pt>
                <c:pt idx="589">
                  <c:v>5763</c:v>
                </c:pt>
                <c:pt idx="590">
                  <c:v>8838</c:v>
                </c:pt>
                <c:pt idx="591">
                  <c:v>3384</c:v>
                </c:pt>
                <c:pt idx="592">
                  <c:v>3096</c:v>
                </c:pt>
                <c:pt idx="593">
                  <c:v>7292</c:v>
                </c:pt>
                <c:pt idx="594">
                  <c:v>2532</c:v>
                </c:pt>
                <c:pt idx="595">
                  <c:v>399</c:v>
                </c:pt>
                <c:pt idx="596">
                  <c:v>814</c:v>
                </c:pt>
                <c:pt idx="597">
                  <c:v>8510</c:v>
                </c:pt>
                <c:pt idx="598">
                  <c:v>264</c:v>
                </c:pt>
                <c:pt idx="599">
                  <c:v>4024</c:v>
                </c:pt>
                <c:pt idx="600">
                  <c:v>1565</c:v>
                </c:pt>
                <c:pt idx="601">
                  <c:v>303</c:v>
                </c:pt>
                <c:pt idx="602">
                  <c:v>2498</c:v>
                </c:pt>
                <c:pt idx="603">
                  <c:v>5925</c:v>
                </c:pt>
                <c:pt idx="604">
                  <c:v>552</c:v>
                </c:pt>
                <c:pt idx="605">
                  <c:v>470</c:v>
                </c:pt>
                <c:pt idx="606">
                  <c:v>4038</c:v>
                </c:pt>
                <c:pt idx="607">
                  <c:v>3144</c:v>
                </c:pt>
                <c:pt idx="608">
                  <c:v>7615</c:v>
                </c:pt>
                <c:pt idx="609">
                  <c:v>265</c:v>
                </c:pt>
                <c:pt idx="610">
                  <c:v>1785</c:v>
                </c:pt>
                <c:pt idx="611">
                  <c:v>4314</c:v>
                </c:pt>
                <c:pt idx="612">
                  <c:v>2730</c:v>
                </c:pt>
                <c:pt idx="613">
                  <c:v>345</c:v>
                </c:pt>
                <c:pt idx="614">
                  <c:v>3160</c:v>
                </c:pt>
                <c:pt idx="615">
                  <c:v>315</c:v>
                </c:pt>
                <c:pt idx="616">
                  <c:v>353</c:v>
                </c:pt>
                <c:pt idx="617">
                  <c:v>555</c:v>
                </c:pt>
                <c:pt idx="618">
                  <c:v>3507</c:v>
                </c:pt>
                <c:pt idx="619">
                  <c:v>2850</c:v>
                </c:pt>
                <c:pt idx="620">
                  <c:v>480</c:v>
                </c:pt>
                <c:pt idx="621">
                  <c:v>2283</c:v>
                </c:pt>
                <c:pt idx="622">
                  <c:v>6656</c:v>
                </c:pt>
                <c:pt idx="623">
                  <c:v>514</c:v>
                </c:pt>
                <c:pt idx="624">
                  <c:v>5986</c:v>
                </c:pt>
                <c:pt idx="625">
                  <c:v>5584</c:v>
                </c:pt>
                <c:pt idx="626">
                  <c:v>5644</c:v>
                </c:pt>
                <c:pt idx="627">
                  <c:v>3105</c:v>
                </c:pt>
                <c:pt idx="628">
                  <c:v>3192</c:v>
                </c:pt>
                <c:pt idx="629">
                  <c:v>2749</c:v>
                </c:pt>
                <c:pt idx="630">
                  <c:v>4580</c:v>
                </c:pt>
                <c:pt idx="631">
                  <c:v>1797</c:v>
                </c:pt>
                <c:pt idx="632">
                  <c:v>4578</c:v>
                </c:pt>
                <c:pt idx="633">
                  <c:v>4597</c:v>
                </c:pt>
                <c:pt idx="634">
                  <c:v>4502</c:v>
                </c:pt>
                <c:pt idx="635">
                  <c:v>3868</c:v>
                </c:pt>
                <c:pt idx="636">
                  <c:v>5272</c:v>
                </c:pt>
                <c:pt idx="637">
                  <c:v>471</c:v>
                </c:pt>
                <c:pt idx="638">
                  <c:v>563</c:v>
                </c:pt>
                <c:pt idx="639">
                  <c:v>3041</c:v>
                </c:pt>
                <c:pt idx="640">
                  <c:v>4262</c:v>
                </c:pt>
                <c:pt idx="641">
                  <c:v>7956</c:v>
                </c:pt>
                <c:pt idx="642">
                  <c:v>325</c:v>
                </c:pt>
                <c:pt idx="643">
                  <c:v>6908</c:v>
                </c:pt>
                <c:pt idx="644">
                  <c:v>3241</c:v>
                </c:pt>
                <c:pt idx="645">
                  <c:v>1468</c:v>
                </c:pt>
                <c:pt idx="646">
                  <c:v>3516</c:v>
                </c:pt>
                <c:pt idx="647">
                  <c:v>2970</c:v>
                </c:pt>
                <c:pt idx="648">
                  <c:v>570</c:v>
                </c:pt>
                <c:pt idx="649">
                  <c:v>2345</c:v>
                </c:pt>
                <c:pt idx="650">
                  <c:v>445</c:v>
                </c:pt>
                <c:pt idx="651">
                  <c:v>2351</c:v>
                </c:pt>
                <c:pt idx="652">
                  <c:v>488</c:v>
                </c:pt>
                <c:pt idx="653">
                  <c:v>1573</c:v>
                </c:pt>
                <c:pt idx="654">
                  <c:v>7510</c:v>
                </c:pt>
                <c:pt idx="655">
                  <c:v>7678</c:v>
                </c:pt>
                <c:pt idx="656">
                  <c:v>8381</c:v>
                </c:pt>
                <c:pt idx="657">
                  <c:v>5326</c:v>
                </c:pt>
                <c:pt idx="658">
                  <c:v>2353</c:v>
                </c:pt>
                <c:pt idx="659">
                  <c:v>294</c:v>
                </c:pt>
                <c:pt idx="660">
                  <c:v>6861</c:v>
                </c:pt>
                <c:pt idx="661">
                  <c:v>2629</c:v>
                </c:pt>
                <c:pt idx="662">
                  <c:v>6957</c:v>
                </c:pt>
                <c:pt idx="663">
                  <c:v>4992</c:v>
                </c:pt>
                <c:pt idx="664">
                  <c:v>7746</c:v>
                </c:pt>
                <c:pt idx="665">
                  <c:v>1106</c:v>
                </c:pt>
                <c:pt idx="666">
                  <c:v>1188</c:v>
                </c:pt>
                <c:pt idx="667">
                  <c:v>393</c:v>
                </c:pt>
                <c:pt idx="668">
                  <c:v>3682</c:v>
                </c:pt>
                <c:pt idx="669">
                  <c:v>7022</c:v>
                </c:pt>
                <c:pt idx="670">
                  <c:v>6760</c:v>
                </c:pt>
                <c:pt idx="671">
                  <c:v>571</c:v>
                </c:pt>
                <c:pt idx="672">
                  <c:v>354</c:v>
                </c:pt>
                <c:pt idx="673">
                  <c:v>4622</c:v>
                </c:pt>
                <c:pt idx="674">
                  <c:v>1378</c:v>
                </c:pt>
                <c:pt idx="675">
                  <c:v>2819</c:v>
                </c:pt>
                <c:pt idx="676">
                  <c:v>4999</c:v>
                </c:pt>
                <c:pt idx="677">
                  <c:v>7907</c:v>
                </c:pt>
                <c:pt idx="678">
                  <c:v>5570</c:v>
                </c:pt>
                <c:pt idx="679">
                  <c:v>675</c:v>
                </c:pt>
                <c:pt idx="680">
                  <c:v>2396</c:v>
                </c:pt>
                <c:pt idx="681">
                  <c:v>9544</c:v>
                </c:pt>
                <c:pt idx="682">
                  <c:v>445</c:v>
                </c:pt>
                <c:pt idx="683">
                  <c:v>5596</c:v>
                </c:pt>
                <c:pt idx="684">
                  <c:v>2850</c:v>
                </c:pt>
                <c:pt idx="685">
                  <c:v>6041</c:v>
                </c:pt>
                <c:pt idx="686">
                  <c:v>575</c:v>
                </c:pt>
                <c:pt idx="687">
                  <c:v>1069</c:v>
                </c:pt>
                <c:pt idx="688">
                  <c:v>7260</c:v>
                </c:pt>
                <c:pt idx="689">
                  <c:v>328</c:v>
                </c:pt>
                <c:pt idx="690">
                  <c:v>3017</c:v>
                </c:pt>
                <c:pt idx="691">
                  <c:v>6426</c:v>
                </c:pt>
                <c:pt idx="692">
                  <c:v>559</c:v>
                </c:pt>
                <c:pt idx="693">
                  <c:v>3787</c:v>
                </c:pt>
                <c:pt idx="694">
                  <c:v>326</c:v>
                </c:pt>
                <c:pt idx="695">
                  <c:v>8975</c:v>
                </c:pt>
                <c:pt idx="696">
                  <c:v>587</c:v>
                </c:pt>
                <c:pt idx="697">
                  <c:v>4413</c:v>
                </c:pt>
                <c:pt idx="698">
                  <c:v>7482</c:v>
                </c:pt>
                <c:pt idx="699">
                  <c:v>1339</c:v>
                </c:pt>
                <c:pt idx="700">
                  <c:v>2434</c:v>
                </c:pt>
                <c:pt idx="701">
                  <c:v>2192</c:v>
                </c:pt>
                <c:pt idx="702">
                  <c:v>2233</c:v>
                </c:pt>
                <c:pt idx="703">
                  <c:v>9589</c:v>
                </c:pt>
                <c:pt idx="704">
                  <c:v>1328</c:v>
                </c:pt>
                <c:pt idx="705">
                  <c:v>2835</c:v>
                </c:pt>
                <c:pt idx="706">
                  <c:v>2892</c:v>
                </c:pt>
                <c:pt idx="707">
                  <c:v>2803</c:v>
                </c:pt>
                <c:pt idx="708">
                  <c:v>3221</c:v>
                </c:pt>
                <c:pt idx="709">
                  <c:v>8740</c:v>
                </c:pt>
                <c:pt idx="710">
                  <c:v>348</c:v>
                </c:pt>
                <c:pt idx="711">
                  <c:v>3982</c:v>
                </c:pt>
                <c:pt idx="712">
                  <c:v>323</c:v>
                </c:pt>
                <c:pt idx="713">
                  <c:v>1432</c:v>
                </c:pt>
                <c:pt idx="714">
                  <c:v>2741</c:v>
                </c:pt>
                <c:pt idx="715">
                  <c:v>5087</c:v>
                </c:pt>
                <c:pt idx="716">
                  <c:v>4647</c:v>
                </c:pt>
                <c:pt idx="717">
                  <c:v>4006</c:v>
                </c:pt>
                <c:pt idx="718">
                  <c:v>523</c:v>
                </c:pt>
                <c:pt idx="719">
                  <c:v>783</c:v>
                </c:pt>
                <c:pt idx="720">
                  <c:v>2961</c:v>
                </c:pt>
                <c:pt idx="721">
                  <c:v>5003</c:v>
                </c:pt>
                <c:pt idx="722">
                  <c:v>4180</c:v>
                </c:pt>
                <c:pt idx="723">
                  <c:v>1341</c:v>
                </c:pt>
                <c:pt idx="724">
                  <c:v>3748</c:v>
                </c:pt>
                <c:pt idx="725">
                  <c:v>511</c:v>
                </c:pt>
                <c:pt idx="726">
                  <c:v>8288</c:v>
                </c:pt>
                <c:pt idx="727">
                  <c:v>6560</c:v>
                </c:pt>
                <c:pt idx="728">
                  <c:v>4634</c:v>
                </c:pt>
                <c:pt idx="729">
                  <c:v>1496</c:v>
                </c:pt>
                <c:pt idx="730">
                  <c:v>2037</c:v>
                </c:pt>
                <c:pt idx="731">
                  <c:v>2292</c:v>
                </c:pt>
                <c:pt idx="732">
                  <c:v>3184</c:v>
                </c:pt>
                <c:pt idx="733">
                  <c:v>1593</c:v>
                </c:pt>
                <c:pt idx="734">
                  <c:v>2629</c:v>
                </c:pt>
                <c:pt idx="735">
                  <c:v>532</c:v>
                </c:pt>
                <c:pt idx="736">
                  <c:v>385</c:v>
                </c:pt>
                <c:pt idx="737">
                  <c:v>6910</c:v>
                </c:pt>
                <c:pt idx="738">
                  <c:v>1649</c:v>
                </c:pt>
                <c:pt idx="739">
                  <c:v>4664</c:v>
                </c:pt>
                <c:pt idx="740">
                  <c:v>2388</c:v>
                </c:pt>
                <c:pt idx="741">
                  <c:v>4118</c:v>
                </c:pt>
                <c:pt idx="742">
                  <c:v>2255</c:v>
                </c:pt>
                <c:pt idx="743">
                  <c:v>1587</c:v>
                </c:pt>
                <c:pt idx="744">
                  <c:v>2272</c:v>
                </c:pt>
                <c:pt idx="745">
                  <c:v>983</c:v>
                </c:pt>
                <c:pt idx="746">
                  <c:v>3558</c:v>
                </c:pt>
                <c:pt idx="747">
                  <c:v>6557</c:v>
                </c:pt>
                <c:pt idx="748">
                  <c:v>1828</c:v>
                </c:pt>
                <c:pt idx="749">
                  <c:v>3100</c:v>
                </c:pt>
                <c:pt idx="750">
                  <c:v>518</c:v>
                </c:pt>
                <c:pt idx="751">
                  <c:v>721</c:v>
                </c:pt>
                <c:pt idx="752">
                  <c:v>2757</c:v>
                </c:pt>
                <c:pt idx="753">
                  <c:v>523</c:v>
                </c:pt>
                <c:pt idx="754">
                  <c:v>5786</c:v>
                </c:pt>
                <c:pt idx="755">
                  <c:v>2257</c:v>
                </c:pt>
                <c:pt idx="756">
                  <c:v>1560</c:v>
                </c:pt>
                <c:pt idx="757">
                  <c:v>9328</c:v>
                </c:pt>
                <c:pt idx="758">
                  <c:v>3980</c:v>
                </c:pt>
                <c:pt idx="759">
                  <c:v>350</c:v>
                </c:pt>
                <c:pt idx="760">
                  <c:v>4606</c:v>
                </c:pt>
                <c:pt idx="761">
                  <c:v>1087</c:v>
                </c:pt>
                <c:pt idx="762">
                  <c:v>7690</c:v>
                </c:pt>
                <c:pt idx="763">
                  <c:v>3669</c:v>
                </c:pt>
                <c:pt idx="764">
                  <c:v>4072</c:v>
                </c:pt>
                <c:pt idx="765">
                  <c:v>2702</c:v>
                </c:pt>
                <c:pt idx="766">
                  <c:v>2942</c:v>
                </c:pt>
                <c:pt idx="767">
                  <c:v>7315</c:v>
                </c:pt>
                <c:pt idx="768">
                  <c:v>422</c:v>
                </c:pt>
                <c:pt idx="769">
                  <c:v>4513</c:v>
                </c:pt>
                <c:pt idx="770">
                  <c:v>7299</c:v>
                </c:pt>
                <c:pt idx="771">
                  <c:v>2553</c:v>
                </c:pt>
                <c:pt idx="772">
                  <c:v>331</c:v>
                </c:pt>
                <c:pt idx="773">
                  <c:v>8142</c:v>
                </c:pt>
                <c:pt idx="774">
                  <c:v>2518</c:v>
                </c:pt>
                <c:pt idx="775">
                  <c:v>6531</c:v>
                </c:pt>
                <c:pt idx="776">
                  <c:v>2738</c:v>
                </c:pt>
                <c:pt idx="777">
                  <c:v>2066</c:v>
                </c:pt>
                <c:pt idx="778">
                  <c:v>7660</c:v>
                </c:pt>
                <c:pt idx="779">
                  <c:v>2745</c:v>
                </c:pt>
                <c:pt idx="780">
                  <c:v>4177</c:v>
                </c:pt>
                <c:pt idx="781">
                  <c:v>2285</c:v>
                </c:pt>
                <c:pt idx="782">
                  <c:v>9117</c:v>
                </c:pt>
                <c:pt idx="783">
                  <c:v>1565</c:v>
                </c:pt>
                <c:pt idx="784">
                  <c:v>1279</c:v>
                </c:pt>
                <c:pt idx="785">
                  <c:v>1039</c:v>
                </c:pt>
                <c:pt idx="786">
                  <c:v>366</c:v>
                </c:pt>
                <c:pt idx="787">
                  <c:v>3161</c:v>
                </c:pt>
                <c:pt idx="788">
                  <c:v>2673</c:v>
                </c:pt>
                <c:pt idx="789">
                  <c:v>6855</c:v>
                </c:pt>
                <c:pt idx="790">
                  <c:v>2935</c:v>
                </c:pt>
                <c:pt idx="791">
                  <c:v>5600</c:v>
                </c:pt>
                <c:pt idx="792">
                  <c:v>3204</c:v>
                </c:pt>
                <c:pt idx="793">
                  <c:v>1697</c:v>
                </c:pt>
                <c:pt idx="794">
                  <c:v>7559</c:v>
                </c:pt>
                <c:pt idx="795">
                  <c:v>2900</c:v>
                </c:pt>
                <c:pt idx="796">
                  <c:v>1889</c:v>
                </c:pt>
                <c:pt idx="797">
                  <c:v>7203</c:v>
                </c:pt>
                <c:pt idx="798">
                  <c:v>1626</c:v>
                </c:pt>
                <c:pt idx="799">
                  <c:v>2439</c:v>
                </c:pt>
                <c:pt idx="800">
                  <c:v>547</c:v>
                </c:pt>
                <c:pt idx="801">
                  <c:v>5769</c:v>
                </c:pt>
                <c:pt idx="802">
                  <c:v>495</c:v>
                </c:pt>
                <c:pt idx="803">
                  <c:v>5892</c:v>
                </c:pt>
                <c:pt idx="804">
                  <c:v>3797</c:v>
                </c:pt>
                <c:pt idx="805">
                  <c:v>2041</c:v>
                </c:pt>
                <c:pt idx="806">
                  <c:v>6607</c:v>
                </c:pt>
                <c:pt idx="807">
                  <c:v>1838</c:v>
                </c:pt>
                <c:pt idx="808">
                  <c:v>498</c:v>
                </c:pt>
                <c:pt idx="809">
                  <c:v>4732</c:v>
                </c:pt>
                <c:pt idx="810">
                  <c:v>2141</c:v>
                </c:pt>
                <c:pt idx="811">
                  <c:v>332</c:v>
                </c:pt>
                <c:pt idx="812">
                  <c:v>778</c:v>
                </c:pt>
                <c:pt idx="813">
                  <c:v>3327</c:v>
                </c:pt>
                <c:pt idx="814">
                  <c:v>522</c:v>
                </c:pt>
                <c:pt idx="815">
                  <c:v>380</c:v>
                </c:pt>
                <c:pt idx="816">
                  <c:v>7443</c:v>
                </c:pt>
                <c:pt idx="817">
                  <c:v>4427</c:v>
                </c:pt>
                <c:pt idx="818">
                  <c:v>3606</c:v>
                </c:pt>
                <c:pt idx="819">
                  <c:v>3877</c:v>
                </c:pt>
                <c:pt idx="820">
                  <c:v>5926</c:v>
                </c:pt>
                <c:pt idx="821">
                  <c:v>6653</c:v>
                </c:pt>
                <c:pt idx="822">
                  <c:v>658</c:v>
                </c:pt>
                <c:pt idx="823">
                  <c:v>6530</c:v>
                </c:pt>
                <c:pt idx="824">
                  <c:v>2138</c:v>
                </c:pt>
                <c:pt idx="825">
                  <c:v>2009</c:v>
                </c:pt>
                <c:pt idx="826">
                  <c:v>5521</c:v>
                </c:pt>
                <c:pt idx="827">
                  <c:v>4788</c:v>
                </c:pt>
                <c:pt idx="828">
                  <c:v>3047</c:v>
                </c:pt>
                <c:pt idx="829">
                  <c:v>2611</c:v>
                </c:pt>
                <c:pt idx="830">
                  <c:v>2591</c:v>
                </c:pt>
                <c:pt idx="831">
                  <c:v>7768</c:v>
                </c:pt>
                <c:pt idx="832">
                  <c:v>4497</c:v>
                </c:pt>
                <c:pt idx="833">
                  <c:v>305</c:v>
                </c:pt>
                <c:pt idx="834">
                  <c:v>2465</c:v>
                </c:pt>
                <c:pt idx="835">
                  <c:v>4821</c:v>
                </c:pt>
                <c:pt idx="836">
                  <c:v>3495</c:v>
                </c:pt>
                <c:pt idx="837">
                  <c:v>3162</c:v>
                </c:pt>
                <c:pt idx="838">
                  <c:v>5730</c:v>
                </c:pt>
                <c:pt idx="839">
                  <c:v>1125</c:v>
                </c:pt>
                <c:pt idx="840">
                  <c:v>1708</c:v>
                </c:pt>
                <c:pt idx="841">
                  <c:v>8521</c:v>
                </c:pt>
                <c:pt idx="842">
                  <c:v>1278</c:v>
                </c:pt>
                <c:pt idx="843">
                  <c:v>2100</c:v>
                </c:pt>
                <c:pt idx="844">
                  <c:v>384</c:v>
                </c:pt>
                <c:pt idx="845">
                  <c:v>1532</c:v>
                </c:pt>
                <c:pt idx="846">
                  <c:v>3792</c:v>
                </c:pt>
                <c:pt idx="847">
                  <c:v>762</c:v>
                </c:pt>
                <c:pt idx="848">
                  <c:v>9037</c:v>
                </c:pt>
                <c:pt idx="849">
                  <c:v>487</c:v>
                </c:pt>
                <c:pt idx="850">
                  <c:v>3816</c:v>
                </c:pt>
                <c:pt idx="851">
                  <c:v>3364</c:v>
                </c:pt>
                <c:pt idx="852">
                  <c:v>4131</c:v>
                </c:pt>
                <c:pt idx="853">
                  <c:v>7989</c:v>
                </c:pt>
                <c:pt idx="854">
                  <c:v>7697</c:v>
                </c:pt>
                <c:pt idx="855">
                  <c:v>549</c:v>
                </c:pt>
                <c:pt idx="856">
                  <c:v>9727</c:v>
                </c:pt>
                <c:pt idx="857">
                  <c:v>328</c:v>
                </c:pt>
                <c:pt idx="858">
                  <c:v>4151</c:v>
                </c:pt>
                <c:pt idx="859">
                  <c:v>2830</c:v>
                </c:pt>
                <c:pt idx="860">
                  <c:v>4230</c:v>
                </c:pt>
                <c:pt idx="861">
                  <c:v>3412</c:v>
                </c:pt>
                <c:pt idx="862">
                  <c:v>4296</c:v>
                </c:pt>
                <c:pt idx="863">
                  <c:v>4721</c:v>
                </c:pt>
                <c:pt idx="864">
                  <c:v>1484</c:v>
                </c:pt>
                <c:pt idx="865">
                  <c:v>2587</c:v>
                </c:pt>
                <c:pt idx="866">
                  <c:v>274</c:v>
                </c:pt>
                <c:pt idx="867">
                  <c:v>2977</c:v>
                </c:pt>
                <c:pt idx="868">
                  <c:v>2982</c:v>
                </c:pt>
                <c:pt idx="869">
                  <c:v>7905</c:v>
                </c:pt>
                <c:pt idx="870">
                  <c:v>363</c:v>
                </c:pt>
                <c:pt idx="871">
                  <c:v>3637</c:v>
                </c:pt>
                <c:pt idx="872">
                  <c:v>384</c:v>
                </c:pt>
                <c:pt idx="873">
                  <c:v>3794</c:v>
                </c:pt>
                <c:pt idx="874">
                  <c:v>391</c:v>
                </c:pt>
                <c:pt idx="875">
                  <c:v>586</c:v>
                </c:pt>
                <c:pt idx="876">
                  <c:v>2851</c:v>
                </c:pt>
                <c:pt idx="877">
                  <c:v>299</c:v>
                </c:pt>
                <c:pt idx="878">
                  <c:v>501</c:v>
                </c:pt>
                <c:pt idx="879">
                  <c:v>8720</c:v>
                </c:pt>
                <c:pt idx="880">
                  <c:v>1049</c:v>
                </c:pt>
                <c:pt idx="881">
                  <c:v>452</c:v>
                </c:pt>
                <c:pt idx="882">
                  <c:v>4363</c:v>
                </c:pt>
                <c:pt idx="883">
                  <c:v>2405</c:v>
                </c:pt>
                <c:pt idx="884">
                  <c:v>9885</c:v>
                </c:pt>
                <c:pt idx="885">
                  <c:v>5003</c:v>
                </c:pt>
                <c:pt idx="886">
                  <c:v>361</c:v>
                </c:pt>
                <c:pt idx="887">
                  <c:v>439</c:v>
                </c:pt>
                <c:pt idx="888">
                  <c:v>958</c:v>
                </c:pt>
                <c:pt idx="889">
                  <c:v>3763</c:v>
                </c:pt>
                <c:pt idx="890">
                  <c:v>399</c:v>
                </c:pt>
                <c:pt idx="891">
                  <c:v>6661</c:v>
                </c:pt>
                <c:pt idx="892">
                  <c:v>6580</c:v>
                </c:pt>
                <c:pt idx="893">
                  <c:v>1282</c:v>
                </c:pt>
                <c:pt idx="894">
                  <c:v>7996</c:v>
                </c:pt>
                <c:pt idx="895">
                  <c:v>2382</c:v>
                </c:pt>
                <c:pt idx="896">
                  <c:v>6789</c:v>
                </c:pt>
                <c:pt idx="897">
                  <c:v>1136</c:v>
                </c:pt>
                <c:pt idx="898">
                  <c:v>1163</c:v>
                </c:pt>
                <c:pt idx="899">
                  <c:v>2977</c:v>
                </c:pt>
                <c:pt idx="900">
                  <c:v>6722</c:v>
                </c:pt>
                <c:pt idx="901">
                  <c:v>2737</c:v>
                </c:pt>
                <c:pt idx="902">
                  <c:v>8750</c:v>
                </c:pt>
                <c:pt idx="903">
                  <c:v>980</c:v>
                </c:pt>
                <c:pt idx="904">
                  <c:v>7290</c:v>
                </c:pt>
                <c:pt idx="905">
                  <c:v>7378</c:v>
                </c:pt>
                <c:pt idx="906">
                  <c:v>2787</c:v>
                </c:pt>
                <c:pt idx="907">
                  <c:v>576</c:v>
                </c:pt>
                <c:pt idx="908">
                  <c:v>586</c:v>
                </c:pt>
                <c:pt idx="909">
                  <c:v>7866</c:v>
                </c:pt>
                <c:pt idx="910">
                  <c:v>6417</c:v>
                </c:pt>
                <c:pt idx="911">
                  <c:v>3511</c:v>
                </c:pt>
                <c:pt idx="912">
                  <c:v>2471</c:v>
                </c:pt>
                <c:pt idx="913">
                  <c:v>9956</c:v>
                </c:pt>
                <c:pt idx="914">
                  <c:v>3822</c:v>
                </c:pt>
                <c:pt idx="915">
                  <c:v>7534</c:v>
                </c:pt>
                <c:pt idx="916">
                  <c:v>4249</c:v>
                </c:pt>
                <c:pt idx="917">
                  <c:v>9404</c:v>
                </c:pt>
                <c:pt idx="918">
                  <c:v>8160</c:v>
                </c:pt>
                <c:pt idx="919">
                  <c:v>321</c:v>
                </c:pt>
                <c:pt idx="920">
                  <c:v>7514</c:v>
                </c:pt>
                <c:pt idx="921">
                  <c:v>1864</c:v>
                </c:pt>
                <c:pt idx="922">
                  <c:v>862</c:v>
                </c:pt>
                <c:pt idx="923">
                  <c:v>2957</c:v>
                </c:pt>
                <c:pt idx="924">
                  <c:v>405</c:v>
                </c:pt>
                <c:pt idx="925">
                  <c:v>5230</c:v>
                </c:pt>
                <c:pt idx="926">
                  <c:v>3769</c:v>
                </c:pt>
                <c:pt idx="927">
                  <c:v>1887</c:v>
                </c:pt>
                <c:pt idx="928">
                  <c:v>6763</c:v>
                </c:pt>
                <c:pt idx="929">
                  <c:v>6886</c:v>
                </c:pt>
                <c:pt idx="930">
                  <c:v>4682</c:v>
                </c:pt>
                <c:pt idx="931">
                  <c:v>319</c:v>
                </c:pt>
                <c:pt idx="932">
                  <c:v>2613</c:v>
                </c:pt>
                <c:pt idx="933">
                  <c:v>5855</c:v>
                </c:pt>
                <c:pt idx="934">
                  <c:v>2575</c:v>
                </c:pt>
                <c:pt idx="935">
                  <c:v>6995</c:v>
                </c:pt>
                <c:pt idx="936">
                  <c:v>2972</c:v>
                </c:pt>
                <c:pt idx="937">
                  <c:v>1996</c:v>
                </c:pt>
                <c:pt idx="938">
                  <c:v>355</c:v>
                </c:pt>
                <c:pt idx="939">
                  <c:v>3344</c:v>
                </c:pt>
                <c:pt idx="940">
                  <c:v>5743</c:v>
                </c:pt>
                <c:pt idx="941">
                  <c:v>4742</c:v>
                </c:pt>
                <c:pt idx="942">
                  <c:v>4270</c:v>
                </c:pt>
                <c:pt idx="943">
                  <c:v>388</c:v>
                </c:pt>
                <c:pt idx="944">
                  <c:v>7127</c:v>
                </c:pt>
                <c:pt idx="945">
                  <c:v>3923</c:v>
                </c:pt>
                <c:pt idx="946">
                  <c:v>2059</c:v>
                </c:pt>
                <c:pt idx="947">
                  <c:v>1904</c:v>
                </c:pt>
                <c:pt idx="948">
                  <c:v>4749</c:v>
                </c:pt>
                <c:pt idx="949">
                  <c:v>256</c:v>
                </c:pt>
                <c:pt idx="950">
                  <c:v>5564</c:v>
                </c:pt>
                <c:pt idx="951">
                  <c:v>6428</c:v>
                </c:pt>
                <c:pt idx="952">
                  <c:v>253</c:v>
                </c:pt>
                <c:pt idx="953">
                  <c:v>6814</c:v>
                </c:pt>
                <c:pt idx="954">
                  <c:v>558</c:v>
                </c:pt>
                <c:pt idx="955">
                  <c:v>4500</c:v>
                </c:pt>
                <c:pt idx="956">
                  <c:v>3266</c:v>
                </c:pt>
                <c:pt idx="957">
                  <c:v>2465</c:v>
                </c:pt>
                <c:pt idx="958">
                  <c:v>649</c:v>
                </c:pt>
                <c:pt idx="959">
                  <c:v>2774</c:v>
                </c:pt>
                <c:pt idx="960">
                  <c:v>2332</c:v>
                </c:pt>
                <c:pt idx="961">
                  <c:v>8290</c:v>
                </c:pt>
                <c:pt idx="962">
                  <c:v>3156</c:v>
                </c:pt>
                <c:pt idx="963">
                  <c:v>2574</c:v>
                </c:pt>
                <c:pt idx="964">
                  <c:v>4142</c:v>
                </c:pt>
                <c:pt idx="965">
                  <c:v>262</c:v>
                </c:pt>
                <c:pt idx="966">
                  <c:v>3680</c:v>
                </c:pt>
                <c:pt idx="967">
                  <c:v>1763</c:v>
                </c:pt>
                <c:pt idx="968">
                  <c:v>5758</c:v>
                </c:pt>
                <c:pt idx="969">
                  <c:v>9916</c:v>
                </c:pt>
                <c:pt idx="970">
                  <c:v>2613</c:v>
                </c:pt>
                <c:pt idx="971">
                  <c:v>4781</c:v>
                </c:pt>
                <c:pt idx="972">
                  <c:v>7931</c:v>
                </c:pt>
                <c:pt idx="973">
                  <c:v>2240</c:v>
                </c:pt>
                <c:pt idx="974">
                  <c:v>2835</c:v>
                </c:pt>
                <c:pt idx="975">
                  <c:v>329</c:v>
                </c:pt>
                <c:pt idx="976">
                  <c:v>6572</c:v>
                </c:pt>
                <c:pt idx="977">
                  <c:v>9210</c:v>
                </c:pt>
                <c:pt idx="978">
                  <c:v>460</c:v>
                </c:pt>
                <c:pt idx="979">
                  <c:v>260</c:v>
                </c:pt>
                <c:pt idx="980">
                  <c:v>254</c:v>
                </c:pt>
                <c:pt idx="981">
                  <c:v>2193</c:v>
                </c:pt>
                <c:pt idx="982">
                  <c:v>3893</c:v>
                </c:pt>
                <c:pt idx="983">
                  <c:v>2814</c:v>
                </c:pt>
                <c:pt idx="984">
                  <c:v>6783</c:v>
                </c:pt>
                <c:pt idx="985">
                  <c:v>2448</c:v>
                </c:pt>
                <c:pt idx="986">
                  <c:v>593</c:v>
                </c:pt>
                <c:pt idx="987">
                  <c:v>2057</c:v>
                </c:pt>
                <c:pt idx="988">
                  <c:v>560</c:v>
                </c:pt>
                <c:pt idx="989">
                  <c:v>1740</c:v>
                </c:pt>
                <c:pt idx="990">
                  <c:v>2803</c:v>
                </c:pt>
                <c:pt idx="991">
                  <c:v>468</c:v>
                </c:pt>
                <c:pt idx="992">
                  <c:v>1249</c:v>
                </c:pt>
                <c:pt idx="993">
                  <c:v>2658</c:v>
                </c:pt>
                <c:pt idx="994">
                  <c:v>5282</c:v>
                </c:pt>
                <c:pt idx="995">
                  <c:v>6040</c:v>
                </c:pt>
                <c:pt idx="996">
                  <c:v>7007</c:v>
                </c:pt>
                <c:pt idx="997">
                  <c:v>1921</c:v>
                </c:pt>
                <c:pt idx="998">
                  <c:v>4170</c:v>
                </c:pt>
                <c:pt idx="999">
                  <c:v>4412</c:v>
                </c:pt>
              </c:numCache>
            </c:numRef>
          </c:xVal>
          <c:yVal>
            <c:numRef>
              <c:f>'Property Dataset  '!$F$2:$F$1001</c:f>
              <c:numCache>
                <c:formatCode>"₹"\ #,##0.00</c:formatCode>
                <c:ptCount val="1000"/>
                <c:pt idx="0">
                  <c:v>10000000</c:v>
                </c:pt>
                <c:pt idx="1">
                  <c:v>50000000</c:v>
                </c:pt>
                <c:pt idx="2">
                  <c:v>10000000</c:v>
                </c:pt>
                <c:pt idx="3">
                  <c:v>15000000</c:v>
                </c:pt>
                <c:pt idx="4">
                  <c:v>30000000</c:v>
                </c:pt>
                <c:pt idx="5">
                  <c:v>12000000</c:v>
                </c:pt>
                <c:pt idx="6">
                  <c:v>30000000</c:v>
                </c:pt>
                <c:pt idx="7">
                  <c:v>12000000</c:v>
                </c:pt>
                <c:pt idx="8">
                  <c:v>10000000</c:v>
                </c:pt>
                <c:pt idx="9">
                  <c:v>10000000</c:v>
                </c:pt>
                <c:pt idx="10">
                  <c:v>10000000</c:v>
                </c:pt>
                <c:pt idx="11">
                  <c:v>40000000</c:v>
                </c:pt>
                <c:pt idx="12">
                  <c:v>12000000</c:v>
                </c:pt>
                <c:pt idx="13">
                  <c:v>50000000</c:v>
                </c:pt>
                <c:pt idx="14">
                  <c:v>40000000</c:v>
                </c:pt>
                <c:pt idx="15">
                  <c:v>12000000</c:v>
                </c:pt>
                <c:pt idx="16">
                  <c:v>50000000</c:v>
                </c:pt>
                <c:pt idx="17">
                  <c:v>40000000</c:v>
                </c:pt>
                <c:pt idx="18">
                  <c:v>10000000</c:v>
                </c:pt>
                <c:pt idx="19">
                  <c:v>10000000</c:v>
                </c:pt>
                <c:pt idx="20">
                  <c:v>40000000</c:v>
                </c:pt>
                <c:pt idx="21">
                  <c:v>30000000</c:v>
                </c:pt>
                <c:pt idx="22">
                  <c:v>10000000</c:v>
                </c:pt>
                <c:pt idx="23">
                  <c:v>15000000</c:v>
                </c:pt>
                <c:pt idx="24">
                  <c:v>26959771</c:v>
                </c:pt>
                <c:pt idx="25">
                  <c:v>40000000</c:v>
                </c:pt>
                <c:pt idx="26">
                  <c:v>30000000</c:v>
                </c:pt>
                <c:pt idx="27">
                  <c:v>10000000</c:v>
                </c:pt>
                <c:pt idx="28">
                  <c:v>10000000</c:v>
                </c:pt>
                <c:pt idx="29">
                  <c:v>40000000</c:v>
                </c:pt>
                <c:pt idx="30">
                  <c:v>40000000</c:v>
                </c:pt>
                <c:pt idx="31">
                  <c:v>10000000</c:v>
                </c:pt>
                <c:pt idx="32">
                  <c:v>50000000</c:v>
                </c:pt>
                <c:pt idx="33">
                  <c:v>50000000</c:v>
                </c:pt>
                <c:pt idx="34">
                  <c:v>50000000</c:v>
                </c:pt>
                <c:pt idx="35">
                  <c:v>40000000</c:v>
                </c:pt>
                <c:pt idx="36">
                  <c:v>10000000</c:v>
                </c:pt>
                <c:pt idx="37">
                  <c:v>12000000</c:v>
                </c:pt>
                <c:pt idx="38">
                  <c:v>26019572</c:v>
                </c:pt>
                <c:pt idx="39">
                  <c:v>15000000</c:v>
                </c:pt>
                <c:pt idx="40">
                  <c:v>40000000</c:v>
                </c:pt>
                <c:pt idx="41">
                  <c:v>30000000</c:v>
                </c:pt>
                <c:pt idx="42">
                  <c:v>12000000</c:v>
                </c:pt>
                <c:pt idx="43">
                  <c:v>30000000</c:v>
                </c:pt>
                <c:pt idx="44">
                  <c:v>10000000</c:v>
                </c:pt>
                <c:pt idx="45">
                  <c:v>30000000</c:v>
                </c:pt>
                <c:pt idx="46">
                  <c:v>15000000</c:v>
                </c:pt>
                <c:pt idx="47">
                  <c:v>50000000</c:v>
                </c:pt>
                <c:pt idx="48">
                  <c:v>10000000</c:v>
                </c:pt>
                <c:pt idx="49">
                  <c:v>40000000</c:v>
                </c:pt>
                <c:pt idx="50">
                  <c:v>30000000</c:v>
                </c:pt>
                <c:pt idx="51">
                  <c:v>15000000</c:v>
                </c:pt>
                <c:pt idx="52">
                  <c:v>40000000</c:v>
                </c:pt>
                <c:pt idx="53">
                  <c:v>15000000</c:v>
                </c:pt>
                <c:pt idx="54">
                  <c:v>15000000</c:v>
                </c:pt>
                <c:pt idx="55">
                  <c:v>12000000</c:v>
                </c:pt>
                <c:pt idx="56">
                  <c:v>15000000</c:v>
                </c:pt>
                <c:pt idx="57">
                  <c:v>50000000</c:v>
                </c:pt>
                <c:pt idx="58">
                  <c:v>15000000</c:v>
                </c:pt>
                <c:pt idx="59">
                  <c:v>15000000</c:v>
                </c:pt>
                <c:pt idx="60">
                  <c:v>30000000</c:v>
                </c:pt>
                <c:pt idx="61">
                  <c:v>26688946</c:v>
                </c:pt>
                <c:pt idx="62">
                  <c:v>50000000</c:v>
                </c:pt>
                <c:pt idx="63">
                  <c:v>10000000</c:v>
                </c:pt>
                <c:pt idx="64">
                  <c:v>40000000</c:v>
                </c:pt>
                <c:pt idx="65">
                  <c:v>30000000</c:v>
                </c:pt>
                <c:pt idx="66">
                  <c:v>15000000</c:v>
                </c:pt>
                <c:pt idx="67">
                  <c:v>33263634</c:v>
                </c:pt>
                <c:pt idx="68">
                  <c:v>50000000</c:v>
                </c:pt>
                <c:pt idx="69">
                  <c:v>15000000</c:v>
                </c:pt>
                <c:pt idx="70">
                  <c:v>12000000</c:v>
                </c:pt>
                <c:pt idx="71">
                  <c:v>12000000</c:v>
                </c:pt>
                <c:pt idx="72">
                  <c:v>12000000</c:v>
                </c:pt>
                <c:pt idx="73">
                  <c:v>50000000</c:v>
                </c:pt>
                <c:pt idx="74">
                  <c:v>40000000</c:v>
                </c:pt>
                <c:pt idx="75">
                  <c:v>40000000</c:v>
                </c:pt>
                <c:pt idx="76">
                  <c:v>40000000</c:v>
                </c:pt>
                <c:pt idx="77">
                  <c:v>15000000</c:v>
                </c:pt>
                <c:pt idx="78">
                  <c:v>30000000</c:v>
                </c:pt>
                <c:pt idx="79">
                  <c:v>50000000</c:v>
                </c:pt>
                <c:pt idx="80">
                  <c:v>15000000</c:v>
                </c:pt>
                <c:pt idx="81">
                  <c:v>40000000</c:v>
                </c:pt>
                <c:pt idx="82">
                  <c:v>50000000</c:v>
                </c:pt>
                <c:pt idx="83">
                  <c:v>15000000</c:v>
                </c:pt>
                <c:pt idx="84">
                  <c:v>12000000</c:v>
                </c:pt>
                <c:pt idx="85">
                  <c:v>30000000</c:v>
                </c:pt>
                <c:pt idx="86">
                  <c:v>10000000</c:v>
                </c:pt>
                <c:pt idx="87">
                  <c:v>15000000</c:v>
                </c:pt>
                <c:pt idx="88">
                  <c:v>30000000</c:v>
                </c:pt>
                <c:pt idx="89">
                  <c:v>50000000</c:v>
                </c:pt>
                <c:pt idx="90">
                  <c:v>15000000</c:v>
                </c:pt>
                <c:pt idx="91">
                  <c:v>10000000</c:v>
                </c:pt>
                <c:pt idx="92">
                  <c:v>10000000</c:v>
                </c:pt>
                <c:pt idx="93">
                  <c:v>15000000</c:v>
                </c:pt>
                <c:pt idx="94">
                  <c:v>12000000</c:v>
                </c:pt>
                <c:pt idx="95">
                  <c:v>15000000</c:v>
                </c:pt>
                <c:pt idx="96">
                  <c:v>12000000</c:v>
                </c:pt>
                <c:pt idx="97">
                  <c:v>12000000</c:v>
                </c:pt>
                <c:pt idx="98">
                  <c:v>12000000</c:v>
                </c:pt>
                <c:pt idx="99">
                  <c:v>30000000</c:v>
                </c:pt>
                <c:pt idx="100">
                  <c:v>50000000</c:v>
                </c:pt>
                <c:pt idx="101">
                  <c:v>10000000</c:v>
                </c:pt>
                <c:pt idx="102">
                  <c:v>15000000</c:v>
                </c:pt>
                <c:pt idx="103">
                  <c:v>30000000</c:v>
                </c:pt>
                <c:pt idx="104">
                  <c:v>12000000</c:v>
                </c:pt>
                <c:pt idx="105">
                  <c:v>50000000</c:v>
                </c:pt>
                <c:pt idx="106">
                  <c:v>15000000</c:v>
                </c:pt>
                <c:pt idx="107">
                  <c:v>50000000</c:v>
                </c:pt>
                <c:pt idx="108">
                  <c:v>10000000</c:v>
                </c:pt>
                <c:pt idx="109">
                  <c:v>30000000</c:v>
                </c:pt>
                <c:pt idx="110">
                  <c:v>50000000</c:v>
                </c:pt>
                <c:pt idx="111">
                  <c:v>30000000</c:v>
                </c:pt>
                <c:pt idx="112">
                  <c:v>50000000</c:v>
                </c:pt>
                <c:pt idx="113">
                  <c:v>40000000</c:v>
                </c:pt>
                <c:pt idx="114">
                  <c:v>12000000</c:v>
                </c:pt>
                <c:pt idx="115">
                  <c:v>50000000</c:v>
                </c:pt>
                <c:pt idx="116">
                  <c:v>30000000</c:v>
                </c:pt>
                <c:pt idx="117">
                  <c:v>15000000</c:v>
                </c:pt>
                <c:pt idx="118">
                  <c:v>15000000</c:v>
                </c:pt>
                <c:pt idx="119">
                  <c:v>30000000</c:v>
                </c:pt>
                <c:pt idx="120">
                  <c:v>15000000</c:v>
                </c:pt>
                <c:pt idx="121">
                  <c:v>12000000</c:v>
                </c:pt>
                <c:pt idx="122">
                  <c:v>12000000</c:v>
                </c:pt>
                <c:pt idx="123">
                  <c:v>10000000</c:v>
                </c:pt>
                <c:pt idx="124">
                  <c:v>15000000</c:v>
                </c:pt>
                <c:pt idx="125">
                  <c:v>43113726</c:v>
                </c:pt>
                <c:pt idx="126">
                  <c:v>10000000</c:v>
                </c:pt>
                <c:pt idx="127">
                  <c:v>30000000</c:v>
                </c:pt>
                <c:pt idx="128">
                  <c:v>30000000</c:v>
                </c:pt>
                <c:pt idx="129">
                  <c:v>10000000</c:v>
                </c:pt>
                <c:pt idx="130">
                  <c:v>50000000</c:v>
                </c:pt>
                <c:pt idx="131">
                  <c:v>12000000</c:v>
                </c:pt>
                <c:pt idx="132">
                  <c:v>30000000</c:v>
                </c:pt>
                <c:pt idx="133">
                  <c:v>15000000</c:v>
                </c:pt>
                <c:pt idx="134">
                  <c:v>30000000</c:v>
                </c:pt>
                <c:pt idx="135">
                  <c:v>12000000</c:v>
                </c:pt>
                <c:pt idx="136">
                  <c:v>12000000</c:v>
                </c:pt>
                <c:pt idx="137">
                  <c:v>12000000</c:v>
                </c:pt>
                <c:pt idx="138">
                  <c:v>50000000</c:v>
                </c:pt>
                <c:pt idx="139">
                  <c:v>10000000</c:v>
                </c:pt>
                <c:pt idx="140">
                  <c:v>50000000</c:v>
                </c:pt>
                <c:pt idx="141">
                  <c:v>50000000</c:v>
                </c:pt>
                <c:pt idx="142">
                  <c:v>15000000</c:v>
                </c:pt>
                <c:pt idx="143">
                  <c:v>30000000</c:v>
                </c:pt>
                <c:pt idx="144">
                  <c:v>30000000</c:v>
                </c:pt>
                <c:pt idx="145">
                  <c:v>30000000</c:v>
                </c:pt>
                <c:pt idx="146">
                  <c:v>30000000</c:v>
                </c:pt>
                <c:pt idx="147">
                  <c:v>30000000</c:v>
                </c:pt>
                <c:pt idx="148">
                  <c:v>30567155</c:v>
                </c:pt>
                <c:pt idx="149">
                  <c:v>15000000</c:v>
                </c:pt>
                <c:pt idx="150">
                  <c:v>12000000</c:v>
                </c:pt>
                <c:pt idx="151">
                  <c:v>50000000</c:v>
                </c:pt>
                <c:pt idx="152">
                  <c:v>12000000</c:v>
                </c:pt>
                <c:pt idx="153">
                  <c:v>30000000</c:v>
                </c:pt>
                <c:pt idx="154">
                  <c:v>30000000</c:v>
                </c:pt>
                <c:pt idx="155">
                  <c:v>30000000</c:v>
                </c:pt>
                <c:pt idx="156">
                  <c:v>40000000</c:v>
                </c:pt>
                <c:pt idx="157">
                  <c:v>30000000</c:v>
                </c:pt>
                <c:pt idx="158">
                  <c:v>30000000</c:v>
                </c:pt>
                <c:pt idx="159">
                  <c:v>30000000</c:v>
                </c:pt>
                <c:pt idx="160">
                  <c:v>15000000</c:v>
                </c:pt>
                <c:pt idx="161">
                  <c:v>12000000</c:v>
                </c:pt>
                <c:pt idx="162">
                  <c:v>40000000</c:v>
                </c:pt>
                <c:pt idx="163">
                  <c:v>40000000</c:v>
                </c:pt>
                <c:pt idx="164">
                  <c:v>15000000</c:v>
                </c:pt>
                <c:pt idx="165">
                  <c:v>30000000</c:v>
                </c:pt>
                <c:pt idx="166">
                  <c:v>40000000</c:v>
                </c:pt>
                <c:pt idx="167">
                  <c:v>10000000</c:v>
                </c:pt>
                <c:pt idx="168">
                  <c:v>30000000</c:v>
                </c:pt>
                <c:pt idx="169">
                  <c:v>40000000</c:v>
                </c:pt>
                <c:pt idx="170">
                  <c:v>10000000</c:v>
                </c:pt>
                <c:pt idx="171">
                  <c:v>12000000</c:v>
                </c:pt>
                <c:pt idx="172">
                  <c:v>15000000</c:v>
                </c:pt>
                <c:pt idx="173">
                  <c:v>30000000</c:v>
                </c:pt>
                <c:pt idx="174">
                  <c:v>40000000</c:v>
                </c:pt>
                <c:pt idx="175">
                  <c:v>10000000</c:v>
                </c:pt>
                <c:pt idx="176">
                  <c:v>15000000</c:v>
                </c:pt>
                <c:pt idx="177">
                  <c:v>33863478</c:v>
                </c:pt>
                <c:pt idx="178">
                  <c:v>12000000</c:v>
                </c:pt>
                <c:pt idx="179">
                  <c:v>10000000</c:v>
                </c:pt>
                <c:pt idx="180">
                  <c:v>12000000</c:v>
                </c:pt>
                <c:pt idx="181">
                  <c:v>40000000</c:v>
                </c:pt>
                <c:pt idx="182">
                  <c:v>12000000</c:v>
                </c:pt>
                <c:pt idx="183">
                  <c:v>10000000</c:v>
                </c:pt>
                <c:pt idx="184">
                  <c:v>40000000</c:v>
                </c:pt>
                <c:pt idx="185">
                  <c:v>50000000</c:v>
                </c:pt>
                <c:pt idx="186">
                  <c:v>12000000</c:v>
                </c:pt>
                <c:pt idx="187">
                  <c:v>50000000</c:v>
                </c:pt>
                <c:pt idx="188">
                  <c:v>10000000</c:v>
                </c:pt>
                <c:pt idx="189">
                  <c:v>15000000</c:v>
                </c:pt>
                <c:pt idx="190">
                  <c:v>10000000</c:v>
                </c:pt>
                <c:pt idx="191">
                  <c:v>12000000</c:v>
                </c:pt>
                <c:pt idx="192">
                  <c:v>15000000</c:v>
                </c:pt>
                <c:pt idx="193">
                  <c:v>15000000</c:v>
                </c:pt>
                <c:pt idx="194">
                  <c:v>30000000</c:v>
                </c:pt>
                <c:pt idx="195">
                  <c:v>30000000</c:v>
                </c:pt>
                <c:pt idx="196">
                  <c:v>30000000</c:v>
                </c:pt>
                <c:pt idx="197">
                  <c:v>30000000</c:v>
                </c:pt>
                <c:pt idx="198">
                  <c:v>12000000</c:v>
                </c:pt>
                <c:pt idx="199">
                  <c:v>10000000</c:v>
                </c:pt>
                <c:pt idx="200">
                  <c:v>12000000</c:v>
                </c:pt>
                <c:pt idx="201">
                  <c:v>10000000</c:v>
                </c:pt>
                <c:pt idx="202">
                  <c:v>12000000</c:v>
                </c:pt>
                <c:pt idx="203">
                  <c:v>30000000</c:v>
                </c:pt>
                <c:pt idx="204">
                  <c:v>40000000</c:v>
                </c:pt>
                <c:pt idx="205">
                  <c:v>30000000</c:v>
                </c:pt>
                <c:pt idx="206">
                  <c:v>12000000</c:v>
                </c:pt>
                <c:pt idx="207">
                  <c:v>12000000</c:v>
                </c:pt>
                <c:pt idx="208">
                  <c:v>10000000</c:v>
                </c:pt>
                <c:pt idx="209">
                  <c:v>15000000</c:v>
                </c:pt>
                <c:pt idx="210">
                  <c:v>40000000</c:v>
                </c:pt>
                <c:pt idx="211">
                  <c:v>40000000</c:v>
                </c:pt>
                <c:pt idx="212">
                  <c:v>50000000</c:v>
                </c:pt>
                <c:pt idx="213">
                  <c:v>50000000</c:v>
                </c:pt>
                <c:pt idx="214">
                  <c:v>50000000</c:v>
                </c:pt>
                <c:pt idx="215">
                  <c:v>50000000</c:v>
                </c:pt>
                <c:pt idx="216">
                  <c:v>50000000</c:v>
                </c:pt>
                <c:pt idx="217">
                  <c:v>50000000</c:v>
                </c:pt>
                <c:pt idx="218">
                  <c:v>15000000</c:v>
                </c:pt>
                <c:pt idx="219">
                  <c:v>10000000</c:v>
                </c:pt>
                <c:pt idx="220">
                  <c:v>50000000</c:v>
                </c:pt>
                <c:pt idx="221">
                  <c:v>10000000</c:v>
                </c:pt>
                <c:pt idx="222">
                  <c:v>40000000</c:v>
                </c:pt>
                <c:pt idx="223">
                  <c:v>15000000</c:v>
                </c:pt>
                <c:pt idx="224">
                  <c:v>30000000</c:v>
                </c:pt>
                <c:pt idx="225">
                  <c:v>30000000</c:v>
                </c:pt>
                <c:pt idx="226">
                  <c:v>12000000</c:v>
                </c:pt>
                <c:pt idx="227">
                  <c:v>15000000</c:v>
                </c:pt>
                <c:pt idx="228">
                  <c:v>15000000</c:v>
                </c:pt>
                <c:pt idx="229">
                  <c:v>50000000</c:v>
                </c:pt>
                <c:pt idx="230">
                  <c:v>10000000</c:v>
                </c:pt>
                <c:pt idx="231">
                  <c:v>12000000</c:v>
                </c:pt>
                <c:pt idx="232">
                  <c:v>40000000</c:v>
                </c:pt>
                <c:pt idx="233">
                  <c:v>15000000</c:v>
                </c:pt>
                <c:pt idx="234">
                  <c:v>10000000</c:v>
                </c:pt>
                <c:pt idx="235">
                  <c:v>12000000</c:v>
                </c:pt>
                <c:pt idx="236">
                  <c:v>12000000</c:v>
                </c:pt>
                <c:pt idx="237">
                  <c:v>12000000</c:v>
                </c:pt>
                <c:pt idx="238">
                  <c:v>10000000</c:v>
                </c:pt>
                <c:pt idx="239">
                  <c:v>15000000</c:v>
                </c:pt>
                <c:pt idx="240">
                  <c:v>28198675</c:v>
                </c:pt>
                <c:pt idx="241">
                  <c:v>40000000</c:v>
                </c:pt>
                <c:pt idx="242">
                  <c:v>15000000</c:v>
                </c:pt>
                <c:pt idx="243">
                  <c:v>50000000</c:v>
                </c:pt>
                <c:pt idx="244">
                  <c:v>15000000</c:v>
                </c:pt>
                <c:pt idx="245">
                  <c:v>50000000</c:v>
                </c:pt>
                <c:pt idx="246">
                  <c:v>50000000</c:v>
                </c:pt>
                <c:pt idx="247">
                  <c:v>12000000</c:v>
                </c:pt>
                <c:pt idx="248">
                  <c:v>10000000</c:v>
                </c:pt>
                <c:pt idx="249">
                  <c:v>40000000</c:v>
                </c:pt>
                <c:pt idx="250">
                  <c:v>30000000</c:v>
                </c:pt>
                <c:pt idx="251">
                  <c:v>15000000</c:v>
                </c:pt>
                <c:pt idx="252">
                  <c:v>15000000</c:v>
                </c:pt>
                <c:pt idx="253">
                  <c:v>50000000</c:v>
                </c:pt>
                <c:pt idx="254">
                  <c:v>12000000</c:v>
                </c:pt>
                <c:pt idx="255">
                  <c:v>10000000</c:v>
                </c:pt>
                <c:pt idx="256">
                  <c:v>15000000</c:v>
                </c:pt>
                <c:pt idx="257">
                  <c:v>10000000</c:v>
                </c:pt>
                <c:pt idx="258">
                  <c:v>10000000</c:v>
                </c:pt>
                <c:pt idx="259">
                  <c:v>30000000</c:v>
                </c:pt>
                <c:pt idx="260">
                  <c:v>40000000</c:v>
                </c:pt>
                <c:pt idx="261">
                  <c:v>30000000</c:v>
                </c:pt>
                <c:pt idx="262">
                  <c:v>12000000</c:v>
                </c:pt>
                <c:pt idx="263">
                  <c:v>10000000</c:v>
                </c:pt>
                <c:pt idx="264">
                  <c:v>12000000</c:v>
                </c:pt>
                <c:pt idx="265">
                  <c:v>40000000</c:v>
                </c:pt>
                <c:pt idx="266">
                  <c:v>40000000</c:v>
                </c:pt>
                <c:pt idx="267">
                  <c:v>50000000</c:v>
                </c:pt>
                <c:pt idx="268">
                  <c:v>12000000</c:v>
                </c:pt>
                <c:pt idx="269">
                  <c:v>12000000</c:v>
                </c:pt>
                <c:pt idx="270">
                  <c:v>12000000</c:v>
                </c:pt>
                <c:pt idx="271">
                  <c:v>50000000</c:v>
                </c:pt>
                <c:pt idx="272">
                  <c:v>50000000</c:v>
                </c:pt>
                <c:pt idx="273">
                  <c:v>12000000</c:v>
                </c:pt>
                <c:pt idx="274">
                  <c:v>10000000</c:v>
                </c:pt>
                <c:pt idx="275">
                  <c:v>40000000</c:v>
                </c:pt>
                <c:pt idx="276">
                  <c:v>50000000</c:v>
                </c:pt>
                <c:pt idx="277">
                  <c:v>50000000</c:v>
                </c:pt>
                <c:pt idx="278">
                  <c:v>50000000</c:v>
                </c:pt>
                <c:pt idx="279">
                  <c:v>15000000</c:v>
                </c:pt>
                <c:pt idx="280">
                  <c:v>30000000</c:v>
                </c:pt>
                <c:pt idx="281">
                  <c:v>10000000</c:v>
                </c:pt>
                <c:pt idx="282">
                  <c:v>40000000</c:v>
                </c:pt>
                <c:pt idx="283">
                  <c:v>50000000</c:v>
                </c:pt>
                <c:pt idx="284">
                  <c:v>10000000</c:v>
                </c:pt>
                <c:pt idx="285">
                  <c:v>12000000</c:v>
                </c:pt>
                <c:pt idx="286">
                  <c:v>40000000</c:v>
                </c:pt>
                <c:pt idx="287">
                  <c:v>40000000</c:v>
                </c:pt>
                <c:pt idx="288">
                  <c:v>10000000</c:v>
                </c:pt>
                <c:pt idx="289">
                  <c:v>40000000</c:v>
                </c:pt>
                <c:pt idx="290">
                  <c:v>12000000</c:v>
                </c:pt>
                <c:pt idx="291">
                  <c:v>50000000</c:v>
                </c:pt>
                <c:pt idx="292">
                  <c:v>40000000</c:v>
                </c:pt>
                <c:pt idx="293">
                  <c:v>40000000</c:v>
                </c:pt>
                <c:pt idx="294">
                  <c:v>10000000</c:v>
                </c:pt>
                <c:pt idx="295">
                  <c:v>30000000</c:v>
                </c:pt>
                <c:pt idx="296">
                  <c:v>12000000</c:v>
                </c:pt>
                <c:pt idx="297">
                  <c:v>50000000</c:v>
                </c:pt>
                <c:pt idx="298">
                  <c:v>40000000</c:v>
                </c:pt>
                <c:pt idx="299">
                  <c:v>30000000</c:v>
                </c:pt>
                <c:pt idx="300">
                  <c:v>50000000</c:v>
                </c:pt>
                <c:pt idx="301">
                  <c:v>30000000</c:v>
                </c:pt>
                <c:pt idx="302">
                  <c:v>30000000</c:v>
                </c:pt>
                <c:pt idx="303">
                  <c:v>29861449</c:v>
                </c:pt>
                <c:pt idx="304">
                  <c:v>40000000</c:v>
                </c:pt>
                <c:pt idx="305">
                  <c:v>10000000</c:v>
                </c:pt>
                <c:pt idx="306">
                  <c:v>40000000</c:v>
                </c:pt>
                <c:pt idx="307">
                  <c:v>10000000</c:v>
                </c:pt>
                <c:pt idx="308">
                  <c:v>50000000</c:v>
                </c:pt>
                <c:pt idx="309">
                  <c:v>12000000</c:v>
                </c:pt>
                <c:pt idx="310">
                  <c:v>40000000</c:v>
                </c:pt>
                <c:pt idx="311">
                  <c:v>12000000</c:v>
                </c:pt>
                <c:pt idx="312">
                  <c:v>10000000</c:v>
                </c:pt>
                <c:pt idx="313">
                  <c:v>40000000</c:v>
                </c:pt>
                <c:pt idx="314">
                  <c:v>12000000</c:v>
                </c:pt>
                <c:pt idx="315">
                  <c:v>10000000</c:v>
                </c:pt>
                <c:pt idx="316">
                  <c:v>40000000</c:v>
                </c:pt>
                <c:pt idx="317">
                  <c:v>15000000</c:v>
                </c:pt>
                <c:pt idx="318">
                  <c:v>12000000</c:v>
                </c:pt>
                <c:pt idx="319">
                  <c:v>40000000</c:v>
                </c:pt>
                <c:pt idx="320">
                  <c:v>50000000</c:v>
                </c:pt>
                <c:pt idx="321">
                  <c:v>50000000</c:v>
                </c:pt>
                <c:pt idx="322">
                  <c:v>30000000</c:v>
                </c:pt>
                <c:pt idx="323">
                  <c:v>30000000</c:v>
                </c:pt>
                <c:pt idx="324">
                  <c:v>15000000</c:v>
                </c:pt>
                <c:pt idx="325">
                  <c:v>50000000</c:v>
                </c:pt>
                <c:pt idx="326">
                  <c:v>12000000</c:v>
                </c:pt>
                <c:pt idx="327">
                  <c:v>25905850</c:v>
                </c:pt>
                <c:pt idx="328">
                  <c:v>15000000</c:v>
                </c:pt>
                <c:pt idx="329">
                  <c:v>40000000</c:v>
                </c:pt>
                <c:pt idx="330">
                  <c:v>10000000</c:v>
                </c:pt>
                <c:pt idx="331">
                  <c:v>10000000</c:v>
                </c:pt>
                <c:pt idx="332">
                  <c:v>50000000</c:v>
                </c:pt>
                <c:pt idx="333">
                  <c:v>12000000</c:v>
                </c:pt>
                <c:pt idx="334">
                  <c:v>40000000</c:v>
                </c:pt>
                <c:pt idx="335">
                  <c:v>50000000</c:v>
                </c:pt>
                <c:pt idx="336">
                  <c:v>20085307</c:v>
                </c:pt>
                <c:pt idx="337">
                  <c:v>15000000</c:v>
                </c:pt>
                <c:pt idx="338">
                  <c:v>15000000</c:v>
                </c:pt>
                <c:pt idx="339">
                  <c:v>10000000</c:v>
                </c:pt>
                <c:pt idx="340">
                  <c:v>40000000</c:v>
                </c:pt>
                <c:pt idx="341">
                  <c:v>10000000</c:v>
                </c:pt>
                <c:pt idx="342">
                  <c:v>40000000</c:v>
                </c:pt>
                <c:pt idx="343">
                  <c:v>30000000</c:v>
                </c:pt>
                <c:pt idx="344">
                  <c:v>15000000</c:v>
                </c:pt>
                <c:pt idx="345">
                  <c:v>40000000</c:v>
                </c:pt>
                <c:pt idx="346">
                  <c:v>10000000</c:v>
                </c:pt>
                <c:pt idx="347">
                  <c:v>40000000</c:v>
                </c:pt>
                <c:pt idx="348">
                  <c:v>50000000</c:v>
                </c:pt>
                <c:pt idx="349">
                  <c:v>10000000</c:v>
                </c:pt>
                <c:pt idx="350">
                  <c:v>12000000</c:v>
                </c:pt>
                <c:pt idx="351">
                  <c:v>30000000</c:v>
                </c:pt>
                <c:pt idx="352">
                  <c:v>12000000</c:v>
                </c:pt>
                <c:pt idx="353">
                  <c:v>15000000</c:v>
                </c:pt>
                <c:pt idx="354">
                  <c:v>10000000</c:v>
                </c:pt>
                <c:pt idx="355">
                  <c:v>40000000</c:v>
                </c:pt>
                <c:pt idx="356">
                  <c:v>12000000</c:v>
                </c:pt>
                <c:pt idx="357">
                  <c:v>30000000</c:v>
                </c:pt>
                <c:pt idx="358">
                  <c:v>30000000</c:v>
                </c:pt>
                <c:pt idx="359">
                  <c:v>10000000</c:v>
                </c:pt>
                <c:pt idx="360">
                  <c:v>30000000</c:v>
                </c:pt>
                <c:pt idx="361">
                  <c:v>30000000</c:v>
                </c:pt>
                <c:pt idx="362">
                  <c:v>10000000</c:v>
                </c:pt>
                <c:pt idx="363">
                  <c:v>40000000</c:v>
                </c:pt>
                <c:pt idx="364">
                  <c:v>50000000</c:v>
                </c:pt>
                <c:pt idx="365">
                  <c:v>33705310</c:v>
                </c:pt>
                <c:pt idx="366">
                  <c:v>12000000</c:v>
                </c:pt>
                <c:pt idx="367">
                  <c:v>30000000</c:v>
                </c:pt>
                <c:pt idx="368">
                  <c:v>30000000</c:v>
                </c:pt>
                <c:pt idx="369">
                  <c:v>10000000</c:v>
                </c:pt>
                <c:pt idx="370">
                  <c:v>30000000</c:v>
                </c:pt>
                <c:pt idx="371">
                  <c:v>40000000</c:v>
                </c:pt>
                <c:pt idx="372">
                  <c:v>40000000</c:v>
                </c:pt>
                <c:pt idx="373">
                  <c:v>10000000</c:v>
                </c:pt>
                <c:pt idx="374">
                  <c:v>30000000</c:v>
                </c:pt>
                <c:pt idx="375">
                  <c:v>30000000</c:v>
                </c:pt>
                <c:pt idx="376">
                  <c:v>10000000</c:v>
                </c:pt>
                <c:pt idx="377">
                  <c:v>10000000</c:v>
                </c:pt>
                <c:pt idx="378">
                  <c:v>30000000</c:v>
                </c:pt>
                <c:pt idx="379">
                  <c:v>50000000</c:v>
                </c:pt>
                <c:pt idx="380">
                  <c:v>10000000</c:v>
                </c:pt>
                <c:pt idx="381">
                  <c:v>37455633</c:v>
                </c:pt>
                <c:pt idx="382">
                  <c:v>10000000</c:v>
                </c:pt>
                <c:pt idx="383">
                  <c:v>15000000</c:v>
                </c:pt>
                <c:pt idx="384">
                  <c:v>15000000</c:v>
                </c:pt>
                <c:pt idx="385">
                  <c:v>30000000</c:v>
                </c:pt>
                <c:pt idx="386">
                  <c:v>12000000</c:v>
                </c:pt>
                <c:pt idx="387">
                  <c:v>15000000</c:v>
                </c:pt>
                <c:pt idx="388">
                  <c:v>30000000</c:v>
                </c:pt>
                <c:pt idx="389">
                  <c:v>10000000</c:v>
                </c:pt>
                <c:pt idx="390">
                  <c:v>12000000</c:v>
                </c:pt>
                <c:pt idx="391">
                  <c:v>10000000</c:v>
                </c:pt>
                <c:pt idx="392">
                  <c:v>50000000</c:v>
                </c:pt>
                <c:pt idx="393">
                  <c:v>15000000</c:v>
                </c:pt>
                <c:pt idx="394">
                  <c:v>15000000</c:v>
                </c:pt>
                <c:pt idx="395">
                  <c:v>10000000</c:v>
                </c:pt>
                <c:pt idx="396">
                  <c:v>40000000</c:v>
                </c:pt>
                <c:pt idx="397">
                  <c:v>10000000</c:v>
                </c:pt>
                <c:pt idx="398">
                  <c:v>10000000</c:v>
                </c:pt>
                <c:pt idx="399">
                  <c:v>50000000</c:v>
                </c:pt>
                <c:pt idx="400">
                  <c:v>15000000</c:v>
                </c:pt>
                <c:pt idx="401">
                  <c:v>10000000</c:v>
                </c:pt>
                <c:pt idx="402">
                  <c:v>15000000</c:v>
                </c:pt>
                <c:pt idx="403">
                  <c:v>10000000</c:v>
                </c:pt>
                <c:pt idx="404">
                  <c:v>10000000</c:v>
                </c:pt>
                <c:pt idx="405">
                  <c:v>15000000</c:v>
                </c:pt>
                <c:pt idx="406">
                  <c:v>12000000</c:v>
                </c:pt>
                <c:pt idx="407">
                  <c:v>10000000</c:v>
                </c:pt>
                <c:pt idx="408">
                  <c:v>12000000</c:v>
                </c:pt>
                <c:pt idx="409">
                  <c:v>30000000</c:v>
                </c:pt>
                <c:pt idx="410">
                  <c:v>40000000</c:v>
                </c:pt>
                <c:pt idx="411">
                  <c:v>50000000</c:v>
                </c:pt>
                <c:pt idx="412">
                  <c:v>50000000</c:v>
                </c:pt>
                <c:pt idx="413">
                  <c:v>10000000</c:v>
                </c:pt>
                <c:pt idx="414">
                  <c:v>10000000</c:v>
                </c:pt>
                <c:pt idx="415">
                  <c:v>25142695</c:v>
                </c:pt>
                <c:pt idx="416">
                  <c:v>30000000</c:v>
                </c:pt>
                <c:pt idx="417">
                  <c:v>12000000</c:v>
                </c:pt>
                <c:pt idx="418">
                  <c:v>12000000</c:v>
                </c:pt>
                <c:pt idx="419">
                  <c:v>12000000</c:v>
                </c:pt>
                <c:pt idx="420">
                  <c:v>30000000</c:v>
                </c:pt>
                <c:pt idx="421">
                  <c:v>30000000</c:v>
                </c:pt>
                <c:pt idx="422">
                  <c:v>12000000</c:v>
                </c:pt>
                <c:pt idx="423">
                  <c:v>29032345</c:v>
                </c:pt>
                <c:pt idx="424">
                  <c:v>10000000</c:v>
                </c:pt>
                <c:pt idx="425">
                  <c:v>35334620</c:v>
                </c:pt>
                <c:pt idx="426">
                  <c:v>12000000</c:v>
                </c:pt>
                <c:pt idx="427">
                  <c:v>15000000</c:v>
                </c:pt>
                <c:pt idx="428">
                  <c:v>15000000</c:v>
                </c:pt>
                <c:pt idx="429">
                  <c:v>27172447</c:v>
                </c:pt>
                <c:pt idx="430">
                  <c:v>30000000</c:v>
                </c:pt>
                <c:pt idx="431">
                  <c:v>10000000</c:v>
                </c:pt>
                <c:pt idx="432">
                  <c:v>40000000</c:v>
                </c:pt>
                <c:pt idx="433">
                  <c:v>50000000</c:v>
                </c:pt>
                <c:pt idx="434">
                  <c:v>10000000</c:v>
                </c:pt>
                <c:pt idx="435">
                  <c:v>25291572</c:v>
                </c:pt>
                <c:pt idx="436">
                  <c:v>15000000</c:v>
                </c:pt>
                <c:pt idx="437">
                  <c:v>30272733</c:v>
                </c:pt>
                <c:pt idx="438">
                  <c:v>10000000</c:v>
                </c:pt>
                <c:pt idx="439">
                  <c:v>10000000</c:v>
                </c:pt>
                <c:pt idx="440">
                  <c:v>15000000</c:v>
                </c:pt>
                <c:pt idx="441">
                  <c:v>12000000</c:v>
                </c:pt>
                <c:pt idx="442">
                  <c:v>26558706</c:v>
                </c:pt>
                <c:pt idx="443">
                  <c:v>50000000</c:v>
                </c:pt>
                <c:pt idx="444">
                  <c:v>40000000</c:v>
                </c:pt>
                <c:pt idx="445">
                  <c:v>12000000</c:v>
                </c:pt>
                <c:pt idx="446">
                  <c:v>50000000</c:v>
                </c:pt>
                <c:pt idx="447">
                  <c:v>50000000</c:v>
                </c:pt>
                <c:pt idx="448">
                  <c:v>15000000</c:v>
                </c:pt>
                <c:pt idx="449">
                  <c:v>28507727</c:v>
                </c:pt>
                <c:pt idx="450">
                  <c:v>30000000</c:v>
                </c:pt>
                <c:pt idx="451">
                  <c:v>40000000</c:v>
                </c:pt>
                <c:pt idx="452">
                  <c:v>40000000</c:v>
                </c:pt>
                <c:pt idx="453">
                  <c:v>40000000</c:v>
                </c:pt>
                <c:pt idx="454">
                  <c:v>30000000</c:v>
                </c:pt>
                <c:pt idx="455">
                  <c:v>40000000</c:v>
                </c:pt>
                <c:pt idx="456">
                  <c:v>50000000</c:v>
                </c:pt>
                <c:pt idx="457">
                  <c:v>10000000</c:v>
                </c:pt>
                <c:pt idx="458">
                  <c:v>40000000</c:v>
                </c:pt>
                <c:pt idx="459">
                  <c:v>15000000</c:v>
                </c:pt>
                <c:pt idx="460">
                  <c:v>15000000</c:v>
                </c:pt>
                <c:pt idx="461">
                  <c:v>40000000</c:v>
                </c:pt>
                <c:pt idx="462">
                  <c:v>12000000</c:v>
                </c:pt>
                <c:pt idx="463">
                  <c:v>10000000</c:v>
                </c:pt>
                <c:pt idx="464">
                  <c:v>30000000</c:v>
                </c:pt>
                <c:pt idx="465">
                  <c:v>30000000</c:v>
                </c:pt>
                <c:pt idx="466">
                  <c:v>10000000</c:v>
                </c:pt>
                <c:pt idx="467">
                  <c:v>12000000</c:v>
                </c:pt>
                <c:pt idx="468">
                  <c:v>40000000</c:v>
                </c:pt>
                <c:pt idx="469">
                  <c:v>12000000</c:v>
                </c:pt>
                <c:pt idx="470">
                  <c:v>40000000</c:v>
                </c:pt>
                <c:pt idx="471">
                  <c:v>15000000</c:v>
                </c:pt>
                <c:pt idx="472">
                  <c:v>50000000</c:v>
                </c:pt>
                <c:pt idx="473">
                  <c:v>10000000</c:v>
                </c:pt>
                <c:pt idx="474">
                  <c:v>50000000</c:v>
                </c:pt>
                <c:pt idx="475">
                  <c:v>10000000</c:v>
                </c:pt>
                <c:pt idx="476">
                  <c:v>30000000</c:v>
                </c:pt>
                <c:pt idx="477">
                  <c:v>10000000</c:v>
                </c:pt>
                <c:pt idx="478">
                  <c:v>15000000</c:v>
                </c:pt>
                <c:pt idx="479">
                  <c:v>50000000</c:v>
                </c:pt>
                <c:pt idx="480">
                  <c:v>30000000</c:v>
                </c:pt>
                <c:pt idx="481">
                  <c:v>15000000</c:v>
                </c:pt>
                <c:pt idx="482">
                  <c:v>15000000</c:v>
                </c:pt>
                <c:pt idx="483">
                  <c:v>15000000</c:v>
                </c:pt>
                <c:pt idx="484">
                  <c:v>30000000</c:v>
                </c:pt>
                <c:pt idx="485">
                  <c:v>10000000</c:v>
                </c:pt>
                <c:pt idx="486">
                  <c:v>15000000</c:v>
                </c:pt>
                <c:pt idx="487">
                  <c:v>10000000</c:v>
                </c:pt>
                <c:pt idx="488">
                  <c:v>12000000</c:v>
                </c:pt>
                <c:pt idx="489">
                  <c:v>50000000</c:v>
                </c:pt>
                <c:pt idx="490">
                  <c:v>40000000</c:v>
                </c:pt>
                <c:pt idx="491">
                  <c:v>40000000</c:v>
                </c:pt>
                <c:pt idx="492">
                  <c:v>10000000</c:v>
                </c:pt>
                <c:pt idx="493">
                  <c:v>10000000</c:v>
                </c:pt>
                <c:pt idx="494">
                  <c:v>15000000</c:v>
                </c:pt>
                <c:pt idx="495">
                  <c:v>40000000</c:v>
                </c:pt>
                <c:pt idx="496">
                  <c:v>30000000</c:v>
                </c:pt>
                <c:pt idx="497">
                  <c:v>12000000</c:v>
                </c:pt>
                <c:pt idx="498">
                  <c:v>50000000</c:v>
                </c:pt>
                <c:pt idx="499">
                  <c:v>30000000</c:v>
                </c:pt>
                <c:pt idx="500">
                  <c:v>30000000</c:v>
                </c:pt>
                <c:pt idx="501">
                  <c:v>10000000</c:v>
                </c:pt>
                <c:pt idx="502">
                  <c:v>50000000</c:v>
                </c:pt>
                <c:pt idx="503">
                  <c:v>50000000</c:v>
                </c:pt>
                <c:pt idx="504">
                  <c:v>50000000</c:v>
                </c:pt>
                <c:pt idx="505">
                  <c:v>10000000</c:v>
                </c:pt>
                <c:pt idx="506">
                  <c:v>50000000</c:v>
                </c:pt>
                <c:pt idx="507">
                  <c:v>30000000</c:v>
                </c:pt>
                <c:pt idx="508">
                  <c:v>50000000</c:v>
                </c:pt>
                <c:pt idx="509">
                  <c:v>40000000</c:v>
                </c:pt>
                <c:pt idx="510">
                  <c:v>12000000</c:v>
                </c:pt>
                <c:pt idx="511">
                  <c:v>40000000</c:v>
                </c:pt>
                <c:pt idx="512">
                  <c:v>30000000</c:v>
                </c:pt>
                <c:pt idx="513">
                  <c:v>50000000</c:v>
                </c:pt>
                <c:pt idx="514">
                  <c:v>15000000</c:v>
                </c:pt>
                <c:pt idx="515">
                  <c:v>40000000</c:v>
                </c:pt>
                <c:pt idx="516">
                  <c:v>15000000</c:v>
                </c:pt>
                <c:pt idx="517">
                  <c:v>40000000</c:v>
                </c:pt>
                <c:pt idx="518">
                  <c:v>30000000</c:v>
                </c:pt>
                <c:pt idx="519">
                  <c:v>40000000</c:v>
                </c:pt>
                <c:pt idx="520">
                  <c:v>10000000</c:v>
                </c:pt>
                <c:pt idx="521">
                  <c:v>40000000</c:v>
                </c:pt>
                <c:pt idx="522">
                  <c:v>40000000</c:v>
                </c:pt>
                <c:pt idx="523">
                  <c:v>30000000</c:v>
                </c:pt>
                <c:pt idx="524">
                  <c:v>10000000</c:v>
                </c:pt>
                <c:pt idx="525">
                  <c:v>50000000</c:v>
                </c:pt>
                <c:pt idx="526">
                  <c:v>15000000</c:v>
                </c:pt>
                <c:pt idx="527">
                  <c:v>10000000</c:v>
                </c:pt>
                <c:pt idx="528">
                  <c:v>10000000</c:v>
                </c:pt>
                <c:pt idx="529">
                  <c:v>15000000</c:v>
                </c:pt>
                <c:pt idx="530">
                  <c:v>50000000</c:v>
                </c:pt>
                <c:pt idx="531">
                  <c:v>40000000</c:v>
                </c:pt>
                <c:pt idx="532">
                  <c:v>40000000</c:v>
                </c:pt>
                <c:pt idx="533">
                  <c:v>10000000</c:v>
                </c:pt>
                <c:pt idx="534">
                  <c:v>30000000</c:v>
                </c:pt>
                <c:pt idx="535">
                  <c:v>10000000</c:v>
                </c:pt>
                <c:pt idx="536">
                  <c:v>15000000</c:v>
                </c:pt>
                <c:pt idx="537">
                  <c:v>50000000</c:v>
                </c:pt>
                <c:pt idx="538">
                  <c:v>40000000</c:v>
                </c:pt>
                <c:pt idx="539">
                  <c:v>10000000</c:v>
                </c:pt>
                <c:pt idx="540">
                  <c:v>40000000</c:v>
                </c:pt>
                <c:pt idx="541">
                  <c:v>12000000</c:v>
                </c:pt>
                <c:pt idx="542">
                  <c:v>30000000</c:v>
                </c:pt>
                <c:pt idx="543">
                  <c:v>12000000</c:v>
                </c:pt>
                <c:pt idx="544">
                  <c:v>10000000</c:v>
                </c:pt>
                <c:pt idx="545">
                  <c:v>10000000</c:v>
                </c:pt>
                <c:pt idx="546">
                  <c:v>15000000</c:v>
                </c:pt>
                <c:pt idx="547">
                  <c:v>30000000</c:v>
                </c:pt>
                <c:pt idx="548">
                  <c:v>10000000</c:v>
                </c:pt>
                <c:pt idx="549">
                  <c:v>12000000</c:v>
                </c:pt>
                <c:pt idx="550">
                  <c:v>15000000</c:v>
                </c:pt>
                <c:pt idx="551">
                  <c:v>40000000</c:v>
                </c:pt>
                <c:pt idx="552">
                  <c:v>50000000</c:v>
                </c:pt>
                <c:pt idx="553">
                  <c:v>12000000</c:v>
                </c:pt>
                <c:pt idx="554">
                  <c:v>40000000</c:v>
                </c:pt>
                <c:pt idx="555">
                  <c:v>40000000</c:v>
                </c:pt>
                <c:pt idx="556">
                  <c:v>15000000</c:v>
                </c:pt>
                <c:pt idx="557">
                  <c:v>30000000</c:v>
                </c:pt>
                <c:pt idx="558">
                  <c:v>15000000</c:v>
                </c:pt>
                <c:pt idx="559">
                  <c:v>30000000</c:v>
                </c:pt>
                <c:pt idx="560">
                  <c:v>40000000</c:v>
                </c:pt>
                <c:pt idx="561">
                  <c:v>30000000</c:v>
                </c:pt>
                <c:pt idx="562">
                  <c:v>50000000</c:v>
                </c:pt>
                <c:pt idx="563">
                  <c:v>10000000</c:v>
                </c:pt>
                <c:pt idx="564">
                  <c:v>10000000</c:v>
                </c:pt>
                <c:pt idx="565">
                  <c:v>10000000</c:v>
                </c:pt>
                <c:pt idx="566">
                  <c:v>30000000</c:v>
                </c:pt>
                <c:pt idx="567">
                  <c:v>40000000</c:v>
                </c:pt>
                <c:pt idx="568">
                  <c:v>30000000</c:v>
                </c:pt>
                <c:pt idx="569">
                  <c:v>12000000</c:v>
                </c:pt>
                <c:pt idx="570">
                  <c:v>10000000</c:v>
                </c:pt>
                <c:pt idx="571">
                  <c:v>30000000</c:v>
                </c:pt>
                <c:pt idx="572">
                  <c:v>30000000</c:v>
                </c:pt>
                <c:pt idx="573">
                  <c:v>50000000</c:v>
                </c:pt>
                <c:pt idx="574">
                  <c:v>40000000</c:v>
                </c:pt>
                <c:pt idx="575">
                  <c:v>10000000</c:v>
                </c:pt>
                <c:pt idx="576">
                  <c:v>10000000</c:v>
                </c:pt>
                <c:pt idx="577">
                  <c:v>12000000</c:v>
                </c:pt>
                <c:pt idx="578">
                  <c:v>15000000</c:v>
                </c:pt>
                <c:pt idx="579">
                  <c:v>12000000</c:v>
                </c:pt>
                <c:pt idx="580">
                  <c:v>10000000</c:v>
                </c:pt>
                <c:pt idx="581">
                  <c:v>15000000</c:v>
                </c:pt>
                <c:pt idx="582">
                  <c:v>15000000</c:v>
                </c:pt>
                <c:pt idx="583">
                  <c:v>40000000</c:v>
                </c:pt>
                <c:pt idx="584">
                  <c:v>12000000</c:v>
                </c:pt>
                <c:pt idx="585">
                  <c:v>30000000</c:v>
                </c:pt>
                <c:pt idx="586">
                  <c:v>30000000</c:v>
                </c:pt>
                <c:pt idx="587">
                  <c:v>10000000</c:v>
                </c:pt>
                <c:pt idx="588">
                  <c:v>50000000</c:v>
                </c:pt>
                <c:pt idx="589">
                  <c:v>10000000</c:v>
                </c:pt>
                <c:pt idx="590">
                  <c:v>50000000</c:v>
                </c:pt>
                <c:pt idx="591">
                  <c:v>12000000</c:v>
                </c:pt>
                <c:pt idx="592">
                  <c:v>50000000</c:v>
                </c:pt>
                <c:pt idx="593">
                  <c:v>30000000</c:v>
                </c:pt>
                <c:pt idx="594">
                  <c:v>50000000</c:v>
                </c:pt>
                <c:pt idx="595">
                  <c:v>12000000</c:v>
                </c:pt>
                <c:pt idx="596">
                  <c:v>40000000</c:v>
                </c:pt>
                <c:pt idx="597">
                  <c:v>30000000</c:v>
                </c:pt>
                <c:pt idx="598">
                  <c:v>48545647</c:v>
                </c:pt>
                <c:pt idx="599">
                  <c:v>50000000</c:v>
                </c:pt>
                <c:pt idx="600">
                  <c:v>30000000</c:v>
                </c:pt>
                <c:pt idx="601">
                  <c:v>15000000</c:v>
                </c:pt>
                <c:pt idx="602">
                  <c:v>30000000</c:v>
                </c:pt>
                <c:pt idx="603">
                  <c:v>30000000</c:v>
                </c:pt>
                <c:pt idx="604">
                  <c:v>12000000</c:v>
                </c:pt>
                <c:pt idx="605">
                  <c:v>10000000</c:v>
                </c:pt>
                <c:pt idx="606">
                  <c:v>10000000</c:v>
                </c:pt>
                <c:pt idx="607">
                  <c:v>50000000</c:v>
                </c:pt>
                <c:pt idx="608">
                  <c:v>40000000</c:v>
                </c:pt>
                <c:pt idx="609">
                  <c:v>12000000</c:v>
                </c:pt>
                <c:pt idx="610">
                  <c:v>10000000</c:v>
                </c:pt>
                <c:pt idx="611">
                  <c:v>12000000</c:v>
                </c:pt>
                <c:pt idx="612">
                  <c:v>12000000</c:v>
                </c:pt>
                <c:pt idx="613">
                  <c:v>26749649</c:v>
                </c:pt>
                <c:pt idx="614">
                  <c:v>15000000</c:v>
                </c:pt>
                <c:pt idx="615">
                  <c:v>42034728</c:v>
                </c:pt>
                <c:pt idx="616">
                  <c:v>48216090</c:v>
                </c:pt>
                <c:pt idx="617">
                  <c:v>10000000</c:v>
                </c:pt>
                <c:pt idx="618">
                  <c:v>12000000</c:v>
                </c:pt>
                <c:pt idx="619">
                  <c:v>40000000</c:v>
                </c:pt>
                <c:pt idx="620">
                  <c:v>10000000</c:v>
                </c:pt>
                <c:pt idx="621">
                  <c:v>40000000</c:v>
                </c:pt>
                <c:pt idx="622">
                  <c:v>30000000</c:v>
                </c:pt>
                <c:pt idx="623">
                  <c:v>12000000</c:v>
                </c:pt>
                <c:pt idx="624">
                  <c:v>30000000</c:v>
                </c:pt>
                <c:pt idx="625">
                  <c:v>50000000</c:v>
                </c:pt>
                <c:pt idx="626">
                  <c:v>50000000</c:v>
                </c:pt>
                <c:pt idx="627">
                  <c:v>40000000</c:v>
                </c:pt>
                <c:pt idx="628">
                  <c:v>12000000</c:v>
                </c:pt>
                <c:pt idx="629">
                  <c:v>30000000</c:v>
                </c:pt>
                <c:pt idx="630">
                  <c:v>10000000</c:v>
                </c:pt>
                <c:pt idx="631">
                  <c:v>50000000</c:v>
                </c:pt>
                <c:pt idx="632">
                  <c:v>40000000</c:v>
                </c:pt>
                <c:pt idx="633">
                  <c:v>30000000</c:v>
                </c:pt>
                <c:pt idx="634">
                  <c:v>50000000</c:v>
                </c:pt>
                <c:pt idx="635">
                  <c:v>12000000</c:v>
                </c:pt>
                <c:pt idx="636">
                  <c:v>15000000</c:v>
                </c:pt>
                <c:pt idx="637">
                  <c:v>12000000</c:v>
                </c:pt>
                <c:pt idx="638">
                  <c:v>10000000</c:v>
                </c:pt>
                <c:pt idx="639">
                  <c:v>12000000</c:v>
                </c:pt>
                <c:pt idx="640">
                  <c:v>15000000</c:v>
                </c:pt>
                <c:pt idx="641">
                  <c:v>10000000</c:v>
                </c:pt>
                <c:pt idx="642">
                  <c:v>50000000</c:v>
                </c:pt>
                <c:pt idx="643">
                  <c:v>50000000</c:v>
                </c:pt>
                <c:pt idx="644">
                  <c:v>50000000</c:v>
                </c:pt>
                <c:pt idx="645">
                  <c:v>15000000</c:v>
                </c:pt>
                <c:pt idx="646">
                  <c:v>50000000</c:v>
                </c:pt>
                <c:pt idx="647">
                  <c:v>30000000</c:v>
                </c:pt>
                <c:pt idx="648">
                  <c:v>30000000</c:v>
                </c:pt>
                <c:pt idx="649">
                  <c:v>30000000</c:v>
                </c:pt>
                <c:pt idx="650">
                  <c:v>50000000</c:v>
                </c:pt>
                <c:pt idx="651">
                  <c:v>50000000</c:v>
                </c:pt>
                <c:pt idx="652">
                  <c:v>50000000</c:v>
                </c:pt>
                <c:pt idx="653">
                  <c:v>30000000</c:v>
                </c:pt>
                <c:pt idx="654">
                  <c:v>40000000</c:v>
                </c:pt>
                <c:pt idx="655">
                  <c:v>12000000</c:v>
                </c:pt>
                <c:pt idx="656">
                  <c:v>12000000</c:v>
                </c:pt>
                <c:pt idx="657">
                  <c:v>10000000</c:v>
                </c:pt>
                <c:pt idx="658">
                  <c:v>40000000</c:v>
                </c:pt>
                <c:pt idx="659">
                  <c:v>15000000</c:v>
                </c:pt>
                <c:pt idx="660">
                  <c:v>50000000</c:v>
                </c:pt>
                <c:pt idx="661">
                  <c:v>15000000</c:v>
                </c:pt>
                <c:pt idx="662">
                  <c:v>30000000</c:v>
                </c:pt>
                <c:pt idx="663">
                  <c:v>15000000</c:v>
                </c:pt>
                <c:pt idx="664">
                  <c:v>30000000</c:v>
                </c:pt>
                <c:pt idx="665">
                  <c:v>15000000</c:v>
                </c:pt>
                <c:pt idx="666">
                  <c:v>40000000</c:v>
                </c:pt>
                <c:pt idx="667">
                  <c:v>40000000</c:v>
                </c:pt>
                <c:pt idx="668">
                  <c:v>10000000</c:v>
                </c:pt>
                <c:pt idx="669">
                  <c:v>12000000</c:v>
                </c:pt>
                <c:pt idx="670">
                  <c:v>10000000</c:v>
                </c:pt>
                <c:pt idx="671">
                  <c:v>40000000</c:v>
                </c:pt>
                <c:pt idx="672">
                  <c:v>10000000</c:v>
                </c:pt>
                <c:pt idx="673">
                  <c:v>12000000</c:v>
                </c:pt>
                <c:pt idx="674">
                  <c:v>40000000</c:v>
                </c:pt>
                <c:pt idx="675">
                  <c:v>15000000</c:v>
                </c:pt>
                <c:pt idx="676">
                  <c:v>50000000</c:v>
                </c:pt>
                <c:pt idx="677">
                  <c:v>30000000</c:v>
                </c:pt>
                <c:pt idx="678">
                  <c:v>30000000</c:v>
                </c:pt>
                <c:pt idx="679">
                  <c:v>12000000</c:v>
                </c:pt>
                <c:pt idx="680">
                  <c:v>15000000</c:v>
                </c:pt>
                <c:pt idx="681">
                  <c:v>40000000</c:v>
                </c:pt>
                <c:pt idx="682">
                  <c:v>50000000</c:v>
                </c:pt>
                <c:pt idx="683">
                  <c:v>30000000</c:v>
                </c:pt>
                <c:pt idx="684">
                  <c:v>10000000</c:v>
                </c:pt>
                <c:pt idx="685">
                  <c:v>12000000</c:v>
                </c:pt>
                <c:pt idx="686">
                  <c:v>15000000</c:v>
                </c:pt>
                <c:pt idx="687">
                  <c:v>30000000</c:v>
                </c:pt>
                <c:pt idx="688">
                  <c:v>10000000</c:v>
                </c:pt>
                <c:pt idx="689">
                  <c:v>30000000</c:v>
                </c:pt>
                <c:pt idx="690">
                  <c:v>15000000</c:v>
                </c:pt>
                <c:pt idx="691">
                  <c:v>10000000</c:v>
                </c:pt>
                <c:pt idx="692">
                  <c:v>40000000</c:v>
                </c:pt>
                <c:pt idx="693">
                  <c:v>30000000</c:v>
                </c:pt>
                <c:pt idx="694">
                  <c:v>30000000</c:v>
                </c:pt>
                <c:pt idx="695">
                  <c:v>15000000</c:v>
                </c:pt>
                <c:pt idx="696">
                  <c:v>30000000</c:v>
                </c:pt>
                <c:pt idx="697">
                  <c:v>50000000</c:v>
                </c:pt>
                <c:pt idx="698">
                  <c:v>15000000</c:v>
                </c:pt>
                <c:pt idx="699">
                  <c:v>40000000</c:v>
                </c:pt>
                <c:pt idx="700">
                  <c:v>12000000</c:v>
                </c:pt>
                <c:pt idx="701">
                  <c:v>10000000</c:v>
                </c:pt>
                <c:pt idx="702">
                  <c:v>30000000</c:v>
                </c:pt>
                <c:pt idx="703">
                  <c:v>10000000</c:v>
                </c:pt>
                <c:pt idx="704">
                  <c:v>12000000</c:v>
                </c:pt>
                <c:pt idx="705">
                  <c:v>50000000</c:v>
                </c:pt>
                <c:pt idx="706">
                  <c:v>15000000</c:v>
                </c:pt>
                <c:pt idx="707">
                  <c:v>50000000</c:v>
                </c:pt>
                <c:pt idx="708">
                  <c:v>15000000</c:v>
                </c:pt>
                <c:pt idx="709">
                  <c:v>30000000</c:v>
                </c:pt>
                <c:pt idx="710">
                  <c:v>30000000</c:v>
                </c:pt>
                <c:pt idx="711">
                  <c:v>12000000</c:v>
                </c:pt>
                <c:pt idx="712">
                  <c:v>30397515</c:v>
                </c:pt>
                <c:pt idx="713">
                  <c:v>40000000</c:v>
                </c:pt>
                <c:pt idx="714">
                  <c:v>12000000</c:v>
                </c:pt>
                <c:pt idx="715">
                  <c:v>10000000</c:v>
                </c:pt>
                <c:pt idx="716">
                  <c:v>30000000</c:v>
                </c:pt>
                <c:pt idx="717">
                  <c:v>15000000</c:v>
                </c:pt>
                <c:pt idx="718">
                  <c:v>30000000</c:v>
                </c:pt>
                <c:pt idx="719">
                  <c:v>30000000</c:v>
                </c:pt>
                <c:pt idx="720">
                  <c:v>15000000</c:v>
                </c:pt>
                <c:pt idx="721">
                  <c:v>50000000</c:v>
                </c:pt>
                <c:pt idx="722">
                  <c:v>15000000</c:v>
                </c:pt>
                <c:pt idx="723">
                  <c:v>10000000</c:v>
                </c:pt>
                <c:pt idx="724">
                  <c:v>40000000</c:v>
                </c:pt>
                <c:pt idx="725">
                  <c:v>50000000</c:v>
                </c:pt>
                <c:pt idx="726">
                  <c:v>10000000</c:v>
                </c:pt>
                <c:pt idx="727">
                  <c:v>15000000</c:v>
                </c:pt>
                <c:pt idx="728">
                  <c:v>40000000</c:v>
                </c:pt>
                <c:pt idx="729">
                  <c:v>30000000</c:v>
                </c:pt>
                <c:pt idx="730">
                  <c:v>12000000</c:v>
                </c:pt>
                <c:pt idx="731">
                  <c:v>40000000</c:v>
                </c:pt>
                <c:pt idx="732">
                  <c:v>15000000</c:v>
                </c:pt>
                <c:pt idx="733">
                  <c:v>50000000</c:v>
                </c:pt>
                <c:pt idx="734">
                  <c:v>12000000</c:v>
                </c:pt>
                <c:pt idx="735">
                  <c:v>15000000</c:v>
                </c:pt>
                <c:pt idx="736">
                  <c:v>15000000</c:v>
                </c:pt>
                <c:pt idx="737">
                  <c:v>30000000</c:v>
                </c:pt>
                <c:pt idx="738">
                  <c:v>50000000</c:v>
                </c:pt>
                <c:pt idx="739">
                  <c:v>30000000</c:v>
                </c:pt>
                <c:pt idx="740">
                  <c:v>15000000</c:v>
                </c:pt>
                <c:pt idx="741">
                  <c:v>10000000</c:v>
                </c:pt>
                <c:pt idx="742">
                  <c:v>12000000</c:v>
                </c:pt>
                <c:pt idx="743">
                  <c:v>12000000</c:v>
                </c:pt>
                <c:pt idx="744">
                  <c:v>15000000</c:v>
                </c:pt>
                <c:pt idx="745">
                  <c:v>40000000</c:v>
                </c:pt>
                <c:pt idx="746">
                  <c:v>50000000</c:v>
                </c:pt>
                <c:pt idx="747">
                  <c:v>50000000</c:v>
                </c:pt>
                <c:pt idx="748">
                  <c:v>12000000</c:v>
                </c:pt>
                <c:pt idx="749">
                  <c:v>15000000</c:v>
                </c:pt>
                <c:pt idx="750">
                  <c:v>40000000</c:v>
                </c:pt>
                <c:pt idx="751">
                  <c:v>30000000</c:v>
                </c:pt>
                <c:pt idx="752">
                  <c:v>10000000</c:v>
                </c:pt>
                <c:pt idx="753">
                  <c:v>50000000</c:v>
                </c:pt>
                <c:pt idx="754">
                  <c:v>30000000</c:v>
                </c:pt>
                <c:pt idx="755">
                  <c:v>15000000</c:v>
                </c:pt>
                <c:pt idx="756">
                  <c:v>50000000</c:v>
                </c:pt>
                <c:pt idx="757">
                  <c:v>12000000</c:v>
                </c:pt>
                <c:pt idx="758">
                  <c:v>10000000</c:v>
                </c:pt>
                <c:pt idx="759">
                  <c:v>15000000</c:v>
                </c:pt>
                <c:pt idx="760">
                  <c:v>40000000</c:v>
                </c:pt>
                <c:pt idx="761">
                  <c:v>50000000</c:v>
                </c:pt>
                <c:pt idx="762">
                  <c:v>30000000</c:v>
                </c:pt>
                <c:pt idx="763">
                  <c:v>10000000</c:v>
                </c:pt>
                <c:pt idx="764">
                  <c:v>50000000</c:v>
                </c:pt>
                <c:pt idx="765">
                  <c:v>40000000</c:v>
                </c:pt>
                <c:pt idx="766">
                  <c:v>40000000</c:v>
                </c:pt>
                <c:pt idx="767">
                  <c:v>30000000</c:v>
                </c:pt>
                <c:pt idx="768">
                  <c:v>30000000</c:v>
                </c:pt>
                <c:pt idx="769">
                  <c:v>50000000</c:v>
                </c:pt>
                <c:pt idx="770">
                  <c:v>40000000</c:v>
                </c:pt>
                <c:pt idx="771">
                  <c:v>40000000</c:v>
                </c:pt>
                <c:pt idx="772">
                  <c:v>15000000</c:v>
                </c:pt>
                <c:pt idx="773">
                  <c:v>10000000</c:v>
                </c:pt>
                <c:pt idx="774">
                  <c:v>10000000</c:v>
                </c:pt>
                <c:pt idx="775">
                  <c:v>10000000</c:v>
                </c:pt>
                <c:pt idx="776">
                  <c:v>40000000</c:v>
                </c:pt>
                <c:pt idx="777">
                  <c:v>30000000</c:v>
                </c:pt>
                <c:pt idx="778">
                  <c:v>12000000</c:v>
                </c:pt>
                <c:pt idx="779">
                  <c:v>30000000</c:v>
                </c:pt>
                <c:pt idx="780">
                  <c:v>30000000</c:v>
                </c:pt>
                <c:pt idx="781">
                  <c:v>30000000</c:v>
                </c:pt>
                <c:pt idx="782">
                  <c:v>30000000</c:v>
                </c:pt>
                <c:pt idx="783">
                  <c:v>30000000</c:v>
                </c:pt>
                <c:pt idx="784">
                  <c:v>50000000</c:v>
                </c:pt>
                <c:pt idx="785">
                  <c:v>50000000</c:v>
                </c:pt>
                <c:pt idx="786">
                  <c:v>12000000</c:v>
                </c:pt>
                <c:pt idx="787">
                  <c:v>50000000</c:v>
                </c:pt>
                <c:pt idx="788">
                  <c:v>50000000</c:v>
                </c:pt>
                <c:pt idx="789">
                  <c:v>15000000</c:v>
                </c:pt>
                <c:pt idx="790">
                  <c:v>30000000</c:v>
                </c:pt>
                <c:pt idx="791">
                  <c:v>12000000</c:v>
                </c:pt>
                <c:pt idx="792">
                  <c:v>40000000</c:v>
                </c:pt>
                <c:pt idx="793">
                  <c:v>30000000</c:v>
                </c:pt>
                <c:pt idx="794">
                  <c:v>15000000</c:v>
                </c:pt>
                <c:pt idx="795">
                  <c:v>12000000</c:v>
                </c:pt>
                <c:pt idx="796">
                  <c:v>10000000</c:v>
                </c:pt>
                <c:pt idx="797">
                  <c:v>15000000</c:v>
                </c:pt>
                <c:pt idx="798">
                  <c:v>15000000</c:v>
                </c:pt>
                <c:pt idx="799">
                  <c:v>50000000</c:v>
                </c:pt>
                <c:pt idx="800">
                  <c:v>40000000</c:v>
                </c:pt>
                <c:pt idx="801">
                  <c:v>50000000</c:v>
                </c:pt>
                <c:pt idx="802">
                  <c:v>30000000</c:v>
                </c:pt>
                <c:pt idx="803">
                  <c:v>50000000</c:v>
                </c:pt>
                <c:pt idx="804">
                  <c:v>40000000</c:v>
                </c:pt>
                <c:pt idx="805">
                  <c:v>12000000</c:v>
                </c:pt>
                <c:pt idx="806">
                  <c:v>10000000</c:v>
                </c:pt>
                <c:pt idx="807">
                  <c:v>10000000</c:v>
                </c:pt>
                <c:pt idx="808">
                  <c:v>12000000</c:v>
                </c:pt>
                <c:pt idx="809">
                  <c:v>15000000</c:v>
                </c:pt>
                <c:pt idx="810">
                  <c:v>12000000</c:v>
                </c:pt>
                <c:pt idx="811">
                  <c:v>50000000</c:v>
                </c:pt>
                <c:pt idx="812">
                  <c:v>30000000</c:v>
                </c:pt>
                <c:pt idx="813">
                  <c:v>15000000</c:v>
                </c:pt>
                <c:pt idx="814">
                  <c:v>10000000</c:v>
                </c:pt>
                <c:pt idx="815">
                  <c:v>50000000</c:v>
                </c:pt>
                <c:pt idx="816">
                  <c:v>15000000</c:v>
                </c:pt>
                <c:pt idx="817">
                  <c:v>50000000</c:v>
                </c:pt>
                <c:pt idx="818">
                  <c:v>15000000</c:v>
                </c:pt>
                <c:pt idx="819">
                  <c:v>15000000</c:v>
                </c:pt>
                <c:pt idx="820">
                  <c:v>15000000</c:v>
                </c:pt>
                <c:pt idx="821">
                  <c:v>12000000</c:v>
                </c:pt>
                <c:pt idx="822">
                  <c:v>30000000</c:v>
                </c:pt>
                <c:pt idx="823">
                  <c:v>50000000</c:v>
                </c:pt>
                <c:pt idx="824">
                  <c:v>50000000</c:v>
                </c:pt>
                <c:pt idx="825">
                  <c:v>50000000</c:v>
                </c:pt>
                <c:pt idx="826">
                  <c:v>40000000</c:v>
                </c:pt>
                <c:pt idx="827">
                  <c:v>40000000</c:v>
                </c:pt>
                <c:pt idx="828">
                  <c:v>40000000</c:v>
                </c:pt>
                <c:pt idx="829">
                  <c:v>15000000</c:v>
                </c:pt>
                <c:pt idx="830">
                  <c:v>10000000</c:v>
                </c:pt>
                <c:pt idx="831">
                  <c:v>10000000</c:v>
                </c:pt>
                <c:pt idx="832">
                  <c:v>15000000</c:v>
                </c:pt>
                <c:pt idx="833">
                  <c:v>12000000</c:v>
                </c:pt>
                <c:pt idx="834">
                  <c:v>40000000</c:v>
                </c:pt>
                <c:pt idx="835">
                  <c:v>15000000</c:v>
                </c:pt>
                <c:pt idx="836">
                  <c:v>30000000</c:v>
                </c:pt>
                <c:pt idx="837">
                  <c:v>30000000</c:v>
                </c:pt>
                <c:pt idx="838">
                  <c:v>12000000</c:v>
                </c:pt>
                <c:pt idx="839">
                  <c:v>10000000</c:v>
                </c:pt>
                <c:pt idx="840">
                  <c:v>10000000</c:v>
                </c:pt>
                <c:pt idx="841">
                  <c:v>10000000</c:v>
                </c:pt>
                <c:pt idx="842">
                  <c:v>40000000</c:v>
                </c:pt>
                <c:pt idx="843">
                  <c:v>10000000</c:v>
                </c:pt>
                <c:pt idx="844">
                  <c:v>10000000</c:v>
                </c:pt>
                <c:pt idx="845">
                  <c:v>30000000</c:v>
                </c:pt>
                <c:pt idx="846">
                  <c:v>10000000</c:v>
                </c:pt>
                <c:pt idx="847">
                  <c:v>50000000</c:v>
                </c:pt>
                <c:pt idx="848">
                  <c:v>50000000</c:v>
                </c:pt>
                <c:pt idx="849">
                  <c:v>50000000</c:v>
                </c:pt>
                <c:pt idx="850">
                  <c:v>10000000</c:v>
                </c:pt>
                <c:pt idx="851">
                  <c:v>15000000</c:v>
                </c:pt>
                <c:pt idx="852">
                  <c:v>10000000</c:v>
                </c:pt>
                <c:pt idx="853">
                  <c:v>15000000</c:v>
                </c:pt>
                <c:pt idx="854">
                  <c:v>15000000</c:v>
                </c:pt>
                <c:pt idx="855">
                  <c:v>15000000</c:v>
                </c:pt>
                <c:pt idx="856">
                  <c:v>40000000</c:v>
                </c:pt>
                <c:pt idx="857">
                  <c:v>15000000</c:v>
                </c:pt>
                <c:pt idx="858">
                  <c:v>40000000</c:v>
                </c:pt>
                <c:pt idx="859">
                  <c:v>40000000</c:v>
                </c:pt>
                <c:pt idx="860">
                  <c:v>15000000</c:v>
                </c:pt>
                <c:pt idx="861">
                  <c:v>10000000</c:v>
                </c:pt>
                <c:pt idx="862">
                  <c:v>50000000</c:v>
                </c:pt>
                <c:pt idx="863">
                  <c:v>12000000</c:v>
                </c:pt>
                <c:pt idx="864">
                  <c:v>50000000</c:v>
                </c:pt>
                <c:pt idx="865">
                  <c:v>10000000</c:v>
                </c:pt>
                <c:pt idx="866">
                  <c:v>28482738</c:v>
                </c:pt>
                <c:pt idx="867">
                  <c:v>40000000</c:v>
                </c:pt>
                <c:pt idx="868">
                  <c:v>15000000</c:v>
                </c:pt>
                <c:pt idx="869">
                  <c:v>12000000</c:v>
                </c:pt>
                <c:pt idx="870">
                  <c:v>40000000</c:v>
                </c:pt>
                <c:pt idx="871">
                  <c:v>50000000</c:v>
                </c:pt>
                <c:pt idx="872">
                  <c:v>10000000</c:v>
                </c:pt>
                <c:pt idx="873">
                  <c:v>40000000</c:v>
                </c:pt>
                <c:pt idx="874">
                  <c:v>36040168</c:v>
                </c:pt>
                <c:pt idx="875">
                  <c:v>30000000</c:v>
                </c:pt>
                <c:pt idx="876">
                  <c:v>12000000</c:v>
                </c:pt>
                <c:pt idx="877">
                  <c:v>50000000</c:v>
                </c:pt>
                <c:pt idx="878">
                  <c:v>50000000</c:v>
                </c:pt>
                <c:pt idx="879">
                  <c:v>10000000</c:v>
                </c:pt>
                <c:pt idx="880">
                  <c:v>50000000</c:v>
                </c:pt>
                <c:pt idx="881">
                  <c:v>15000000</c:v>
                </c:pt>
                <c:pt idx="882">
                  <c:v>30000000</c:v>
                </c:pt>
                <c:pt idx="883">
                  <c:v>30000000</c:v>
                </c:pt>
                <c:pt idx="884">
                  <c:v>12000000</c:v>
                </c:pt>
                <c:pt idx="885">
                  <c:v>12000000</c:v>
                </c:pt>
                <c:pt idx="886">
                  <c:v>30000000</c:v>
                </c:pt>
                <c:pt idx="887">
                  <c:v>10000000</c:v>
                </c:pt>
                <c:pt idx="888">
                  <c:v>10000000</c:v>
                </c:pt>
                <c:pt idx="889">
                  <c:v>50000000</c:v>
                </c:pt>
                <c:pt idx="890">
                  <c:v>30000000</c:v>
                </c:pt>
                <c:pt idx="891">
                  <c:v>10000000</c:v>
                </c:pt>
                <c:pt idx="892">
                  <c:v>50000000</c:v>
                </c:pt>
                <c:pt idx="893">
                  <c:v>15000000</c:v>
                </c:pt>
                <c:pt idx="894">
                  <c:v>30000000</c:v>
                </c:pt>
                <c:pt idx="895">
                  <c:v>40000000</c:v>
                </c:pt>
                <c:pt idx="896">
                  <c:v>40000000</c:v>
                </c:pt>
                <c:pt idx="897">
                  <c:v>40000000</c:v>
                </c:pt>
                <c:pt idx="898">
                  <c:v>15000000</c:v>
                </c:pt>
                <c:pt idx="899">
                  <c:v>15000000</c:v>
                </c:pt>
                <c:pt idx="900">
                  <c:v>30000000</c:v>
                </c:pt>
                <c:pt idx="901">
                  <c:v>30000000</c:v>
                </c:pt>
                <c:pt idx="902">
                  <c:v>15000000</c:v>
                </c:pt>
                <c:pt idx="903">
                  <c:v>40000000</c:v>
                </c:pt>
                <c:pt idx="904">
                  <c:v>30000000</c:v>
                </c:pt>
                <c:pt idx="905">
                  <c:v>50000000</c:v>
                </c:pt>
                <c:pt idx="906">
                  <c:v>40000000</c:v>
                </c:pt>
                <c:pt idx="907">
                  <c:v>12000000</c:v>
                </c:pt>
                <c:pt idx="908">
                  <c:v>50000000</c:v>
                </c:pt>
                <c:pt idx="909">
                  <c:v>15000000</c:v>
                </c:pt>
                <c:pt idx="910">
                  <c:v>40000000</c:v>
                </c:pt>
                <c:pt idx="911">
                  <c:v>10000000</c:v>
                </c:pt>
                <c:pt idx="912">
                  <c:v>15000000</c:v>
                </c:pt>
                <c:pt idx="913">
                  <c:v>50000000</c:v>
                </c:pt>
                <c:pt idx="914">
                  <c:v>10000000</c:v>
                </c:pt>
                <c:pt idx="915">
                  <c:v>10000000</c:v>
                </c:pt>
                <c:pt idx="916">
                  <c:v>30000000</c:v>
                </c:pt>
                <c:pt idx="917">
                  <c:v>12000000</c:v>
                </c:pt>
                <c:pt idx="918">
                  <c:v>40000000</c:v>
                </c:pt>
                <c:pt idx="919">
                  <c:v>50000000</c:v>
                </c:pt>
                <c:pt idx="920">
                  <c:v>15000000</c:v>
                </c:pt>
                <c:pt idx="921">
                  <c:v>10000000</c:v>
                </c:pt>
                <c:pt idx="922">
                  <c:v>10000000</c:v>
                </c:pt>
                <c:pt idx="923">
                  <c:v>15000000</c:v>
                </c:pt>
                <c:pt idx="924">
                  <c:v>38463843</c:v>
                </c:pt>
                <c:pt idx="925">
                  <c:v>50000000</c:v>
                </c:pt>
                <c:pt idx="926">
                  <c:v>10000000</c:v>
                </c:pt>
                <c:pt idx="927">
                  <c:v>12000000</c:v>
                </c:pt>
                <c:pt idx="928">
                  <c:v>12000000</c:v>
                </c:pt>
                <c:pt idx="929">
                  <c:v>15000000</c:v>
                </c:pt>
                <c:pt idx="930">
                  <c:v>15000000</c:v>
                </c:pt>
                <c:pt idx="931">
                  <c:v>30000000</c:v>
                </c:pt>
                <c:pt idx="932">
                  <c:v>30000000</c:v>
                </c:pt>
                <c:pt idx="933">
                  <c:v>15000000</c:v>
                </c:pt>
                <c:pt idx="934">
                  <c:v>12000000</c:v>
                </c:pt>
                <c:pt idx="935">
                  <c:v>50000000</c:v>
                </c:pt>
                <c:pt idx="936">
                  <c:v>30000000</c:v>
                </c:pt>
                <c:pt idx="937">
                  <c:v>10000000</c:v>
                </c:pt>
                <c:pt idx="938">
                  <c:v>10000000</c:v>
                </c:pt>
                <c:pt idx="939">
                  <c:v>50000000</c:v>
                </c:pt>
                <c:pt idx="940">
                  <c:v>15000000</c:v>
                </c:pt>
                <c:pt idx="941">
                  <c:v>40000000</c:v>
                </c:pt>
                <c:pt idx="942">
                  <c:v>40000000</c:v>
                </c:pt>
                <c:pt idx="943">
                  <c:v>12000000</c:v>
                </c:pt>
                <c:pt idx="944">
                  <c:v>40000000</c:v>
                </c:pt>
                <c:pt idx="945">
                  <c:v>12000000</c:v>
                </c:pt>
                <c:pt idx="946">
                  <c:v>15000000</c:v>
                </c:pt>
                <c:pt idx="947">
                  <c:v>10000000</c:v>
                </c:pt>
                <c:pt idx="948">
                  <c:v>50000000</c:v>
                </c:pt>
                <c:pt idx="949">
                  <c:v>23750654</c:v>
                </c:pt>
                <c:pt idx="950">
                  <c:v>15000000</c:v>
                </c:pt>
                <c:pt idx="951">
                  <c:v>50000000</c:v>
                </c:pt>
                <c:pt idx="952">
                  <c:v>12000000</c:v>
                </c:pt>
                <c:pt idx="953">
                  <c:v>40000000</c:v>
                </c:pt>
                <c:pt idx="954">
                  <c:v>50000000</c:v>
                </c:pt>
                <c:pt idx="955">
                  <c:v>12000000</c:v>
                </c:pt>
                <c:pt idx="956">
                  <c:v>12000000</c:v>
                </c:pt>
                <c:pt idx="957">
                  <c:v>40000000</c:v>
                </c:pt>
                <c:pt idx="958">
                  <c:v>30000000</c:v>
                </c:pt>
                <c:pt idx="959">
                  <c:v>15000000</c:v>
                </c:pt>
                <c:pt idx="960">
                  <c:v>40000000</c:v>
                </c:pt>
                <c:pt idx="961">
                  <c:v>10000000</c:v>
                </c:pt>
                <c:pt idx="962">
                  <c:v>40000000</c:v>
                </c:pt>
                <c:pt idx="963">
                  <c:v>15000000</c:v>
                </c:pt>
                <c:pt idx="964">
                  <c:v>12000000</c:v>
                </c:pt>
                <c:pt idx="965">
                  <c:v>24809565</c:v>
                </c:pt>
                <c:pt idx="966">
                  <c:v>50000000</c:v>
                </c:pt>
                <c:pt idx="967">
                  <c:v>50000000</c:v>
                </c:pt>
                <c:pt idx="968">
                  <c:v>10000000</c:v>
                </c:pt>
                <c:pt idx="969">
                  <c:v>12000000</c:v>
                </c:pt>
                <c:pt idx="970">
                  <c:v>30000000</c:v>
                </c:pt>
                <c:pt idx="971">
                  <c:v>50000000</c:v>
                </c:pt>
                <c:pt idx="972">
                  <c:v>12000000</c:v>
                </c:pt>
                <c:pt idx="973">
                  <c:v>10000000</c:v>
                </c:pt>
                <c:pt idx="974">
                  <c:v>10000000</c:v>
                </c:pt>
                <c:pt idx="975">
                  <c:v>10000000</c:v>
                </c:pt>
                <c:pt idx="976">
                  <c:v>50000000</c:v>
                </c:pt>
                <c:pt idx="977">
                  <c:v>30000000</c:v>
                </c:pt>
                <c:pt idx="978">
                  <c:v>15000000</c:v>
                </c:pt>
                <c:pt idx="979">
                  <c:v>15000000</c:v>
                </c:pt>
                <c:pt idx="980">
                  <c:v>40137192</c:v>
                </c:pt>
                <c:pt idx="981">
                  <c:v>12000000</c:v>
                </c:pt>
                <c:pt idx="982">
                  <c:v>15000000</c:v>
                </c:pt>
                <c:pt idx="983">
                  <c:v>30000000</c:v>
                </c:pt>
                <c:pt idx="984">
                  <c:v>10000000</c:v>
                </c:pt>
                <c:pt idx="985">
                  <c:v>15000000</c:v>
                </c:pt>
                <c:pt idx="986">
                  <c:v>12000000</c:v>
                </c:pt>
                <c:pt idx="987">
                  <c:v>15000000</c:v>
                </c:pt>
                <c:pt idx="988">
                  <c:v>10000000</c:v>
                </c:pt>
                <c:pt idx="989">
                  <c:v>12000000</c:v>
                </c:pt>
                <c:pt idx="990">
                  <c:v>30000000</c:v>
                </c:pt>
                <c:pt idx="991">
                  <c:v>15000000</c:v>
                </c:pt>
                <c:pt idx="992">
                  <c:v>15000000</c:v>
                </c:pt>
                <c:pt idx="993">
                  <c:v>15000000</c:v>
                </c:pt>
                <c:pt idx="994">
                  <c:v>15000000</c:v>
                </c:pt>
                <c:pt idx="995">
                  <c:v>30000000</c:v>
                </c:pt>
                <c:pt idx="996">
                  <c:v>40000000</c:v>
                </c:pt>
                <c:pt idx="997">
                  <c:v>30000000</c:v>
                </c:pt>
                <c:pt idx="998">
                  <c:v>50000000</c:v>
                </c:pt>
                <c:pt idx="999">
                  <c:v>30000000</c:v>
                </c:pt>
              </c:numCache>
            </c:numRef>
          </c:yVal>
          <c:smooth val="0"/>
          <c:extLst>
            <c:ext xmlns:c16="http://schemas.microsoft.com/office/drawing/2014/chart" uri="{C3380CC4-5D6E-409C-BE32-E72D297353CC}">
              <c16:uniqueId val="{00000000-A3D0-40C9-9502-146E915DF6E4}"/>
            </c:ext>
          </c:extLst>
        </c:ser>
        <c:dLbls>
          <c:showLegendKey val="0"/>
          <c:showVal val="0"/>
          <c:showCatName val="0"/>
          <c:showSerName val="0"/>
          <c:showPercent val="0"/>
          <c:showBubbleSize val="0"/>
        </c:dLbls>
        <c:axId val="1413132495"/>
        <c:axId val="742600495"/>
      </c:scatterChart>
      <c:valAx>
        <c:axId val="141313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600495"/>
        <c:crosses val="autoZero"/>
        <c:crossBetween val="midCat"/>
      </c:valAx>
      <c:valAx>
        <c:axId val="74260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132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chemeClr val="dk1"/>
                </a:solidFill>
                <a:latin typeface="+mn-lt"/>
                <a:ea typeface="+mn-ea"/>
                <a:cs typeface="+mn-cs"/>
              </a:rPr>
              <a:t>Average Property</a:t>
            </a:r>
            <a:r>
              <a:rPr lang="en-US" b="1" baseline="0">
                <a:solidFill>
                  <a:schemeClr val="dk1"/>
                </a:solidFill>
                <a:latin typeface="+mn-lt"/>
                <a:ea typeface="+mn-ea"/>
                <a:cs typeface="+mn-cs"/>
              </a:rPr>
              <a:t> Price by City</a:t>
            </a:r>
            <a:endParaRPr lang="en-US" b="1"/>
          </a:p>
        </c:rich>
      </c:tx>
      <c:layout>
        <c:manualLayout>
          <c:xMode val="edge"/>
          <c:yMode val="edge"/>
          <c:x val="0.31567366579177603"/>
          <c:y val="4.5275590551181105E-2"/>
        </c:manualLayout>
      </c:layout>
      <c:overlay val="0"/>
      <c:spPr>
        <a:solidFill>
          <a:schemeClr val="lt1"/>
        </a:solidFill>
        <a:ln w="19050" cap="flat" cmpd="sng" algn="ctr">
          <a:no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5749029805388065"/>
          <c:y val="0.18203155367196219"/>
          <c:w val="0.82345029786287738"/>
          <c:h val="0.7748404971181857"/>
        </c:manualLayout>
      </c:layout>
      <c:barChart>
        <c:barDir val="bar"/>
        <c:grouping val="clustered"/>
        <c:varyColors val="0"/>
        <c:ser>
          <c:idx val="0"/>
          <c:order val="0"/>
          <c:tx>
            <c:strRef>
              <c:f>'Property Dataset  '!$AB$2</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Dataset  '!$AA$3:$AA$9</c:f>
              <c:strCache>
                <c:ptCount val="6"/>
                <c:pt idx="0">
                  <c:v>Chennai</c:v>
                </c:pt>
                <c:pt idx="1">
                  <c:v>Hyderabad</c:v>
                </c:pt>
                <c:pt idx="2">
                  <c:v>Pune</c:v>
                </c:pt>
                <c:pt idx="3">
                  <c:v>Bangalore</c:v>
                </c:pt>
                <c:pt idx="4">
                  <c:v>Delhi</c:v>
                </c:pt>
                <c:pt idx="5">
                  <c:v>Mumbai</c:v>
                </c:pt>
              </c:strCache>
            </c:strRef>
          </c:cat>
          <c:val>
            <c:numRef>
              <c:f>'Property Dataset  '!$AB$3:$AB$9</c:f>
              <c:numCache>
                <c:formatCode>"₹"\ #,##0.00</c:formatCode>
                <c:ptCount val="6"/>
                <c:pt idx="0">
                  <c:v>10000000</c:v>
                </c:pt>
                <c:pt idx="1">
                  <c:v>12000000</c:v>
                </c:pt>
                <c:pt idx="2">
                  <c:v>15000000</c:v>
                </c:pt>
                <c:pt idx="3">
                  <c:v>29798753.08839779</c:v>
                </c:pt>
                <c:pt idx="4">
                  <c:v>39006068.963855423</c:v>
                </c:pt>
                <c:pt idx="5">
                  <c:v>49827452.981481485</c:v>
                </c:pt>
              </c:numCache>
            </c:numRef>
          </c:val>
          <c:extLst>
            <c:ext xmlns:c16="http://schemas.microsoft.com/office/drawing/2014/chart" uri="{C3380CC4-5D6E-409C-BE32-E72D297353CC}">
              <c16:uniqueId val="{00000000-4753-4836-947F-599B1F178032}"/>
            </c:ext>
          </c:extLst>
        </c:ser>
        <c:dLbls>
          <c:dLblPos val="outEnd"/>
          <c:showLegendKey val="0"/>
          <c:showVal val="1"/>
          <c:showCatName val="0"/>
          <c:showSerName val="0"/>
          <c:showPercent val="0"/>
          <c:showBubbleSize val="0"/>
        </c:dLbls>
        <c:gapWidth val="182"/>
        <c:overlap val="12"/>
        <c:axId val="552551488"/>
        <c:axId val="679347600"/>
      </c:barChart>
      <c:catAx>
        <c:axId val="55255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79347600"/>
        <c:crosses val="autoZero"/>
        <c:auto val="1"/>
        <c:lblAlgn val="ctr"/>
        <c:lblOffset val="100"/>
        <c:noMultiLvlLbl val="0"/>
      </c:catAx>
      <c:valAx>
        <c:axId val="679347600"/>
        <c:scaling>
          <c:orientation val="minMax"/>
        </c:scaling>
        <c:delete val="1"/>
        <c:axPos val="b"/>
        <c:numFmt formatCode="&quot;₹&quot;\ #,##0.00" sourceLinked="1"/>
        <c:majorTickMark val="none"/>
        <c:minorTickMark val="none"/>
        <c:tickLblPos val="nextTo"/>
        <c:crossAx val="55255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!PivotTable1</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Property</a:t>
            </a:r>
            <a:r>
              <a:rPr lang="en-US" b="1" baseline="0"/>
              <a:t> Type Distribution</a:t>
            </a:r>
            <a:endParaRPr lang="en-US" b="1"/>
          </a:p>
        </c:rich>
      </c:tx>
      <c:layout>
        <c:manualLayout>
          <c:xMode val="edge"/>
          <c:yMode val="edge"/>
          <c:x val="0.37415849555158737"/>
          <c:y val="5.28500942941677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918238561155309"/>
              <c:y val="-9.04306254165175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622641048971781"/>
              <c:y val="-3.01435418055058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5748444642241954"/>
              <c:y val="7.49289213701616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207546646558843"/>
              <c:y val="5.6937801188177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805031097705894E-2"/>
              <c:y val="-0.107177037530687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180231637488967"/>
          <c:y val="0.19470855572876297"/>
          <c:w val="0.35649299878302126"/>
          <c:h val="0.77268578430041002"/>
        </c:manualLayout>
      </c:layout>
      <c:doughnutChart>
        <c:varyColors val="1"/>
        <c:ser>
          <c:idx val="0"/>
          <c:order val="0"/>
          <c:tx>
            <c:strRef>
              <c:f>'Property Dataset  '!$AB$11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E3-4423-8C82-52D99290F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E3-4423-8C82-52D99290F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E3-4423-8C82-52D99290F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E3-4423-8C82-52D99290F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E3-4423-8C82-52D99290F94C}"/>
              </c:ext>
            </c:extLst>
          </c:dPt>
          <c:dLbls>
            <c:dLbl>
              <c:idx val="0"/>
              <c:layout>
                <c:manualLayout>
                  <c:x val="0.10918238561155309"/>
                  <c:y val="-9.0430625416517585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1-C1E3-4423-8C82-52D99290F94C}"/>
                </c:ext>
              </c:extLst>
            </c:dLbl>
            <c:dLbl>
              <c:idx val="1"/>
              <c:layout>
                <c:manualLayout>
                  <c:x val="0.11622641048971781"/>
                  <c:y val="-3.0143541805505852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C1E3-4423-8C82-52D99290F94C}"/>
                </c:ext>
              </c:extLst>
            </c:dLbl>
            <c:dLbl>
              <c:idx val="2"/>
              <c:layout>
                <c:manualLayout>
                  <c:x val="0.15748444642241954"/>
                  <c:y val="7.4928921370161605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C1E3-4423-8C82-52D99290F94C}"/>
                </c:ext>
              </c:extLst>
            </c:dLbl>
            <c:dLbl>
              <c:idx val="3"/>
              <c:layout>
                <c:manualLayout>
                  <c:x val="-0.13207546646558843"/>
                  <c:y val="5.693780118817772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7-C1E3-4423-8C82-52D99290F94C}"/>
                </c:ext>
              </c:extLst>
            </c:dLbl>
            <c:dLbl>
              <c:idx val="4"/>
              <c:layout>
                <c:manualLayout>
                  <c:x val="-8.805031097705894E-2"/>
                  <c:y val="-0.10717703753068747"/>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9-C1E3-4423-8C82-52D99290F94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'Property Dataset  '!$AA$12:$AA$17</c:f>
              <c:strCache>
                <c:ptCount val="5"/>
                <c:pt idx="0">
                  <c:v>Apartment</c:v>
                </c:pt>
                <c:pt idx="1">
                  <c:v>Independent House</c:v>
                </c:pt>
                <c:pt idx="2">
                  <c:v>Penthouse</c:v>
                </c:pt>
                <c:pt idx="3">
                  <c:v>Studio</c:v>
                </c:pt>
                <c:pt idx="4">
                  <c:v>Villa</c:v>
                </c:pt>
              </c:strCache>
            </c:strRef>
          </c:cat>
          <c:val>
            <c:numRef>
              <c:f>'Property Dataset  '!$AB$12:$AB$17</c:f>
              <c:numCache>
                <c:formatCode>General</c:formatCode>
                <c:ptCount val="5"/>
                <c:pt idx="0">
                  <c:v>216</c:v>
                </c:pt>
                <c:pt idx="1">
                  <c:v>200</c:v>
                </c:pt>
                <c:pt idx="2">
                  <c:v>206</c:v>
                </c:pt>
                <c:pt idx="3">
                  <c:v>183</c:v>
                </c:pt>
                <c:pt idx="4">
                  <c:v>195</c:v>
                </c:pt>
              </c:numCache>
            </c:numRef>
          </c:val>
          <c:extLst>
            <c:ext xmlns:c16="http://schemas.microsoft.com/office/drawing/2014/chart" uri="{C3380CC4-5D6E-409C-BE32-E72D297353CC}">
              <c16:uniqueId val="{0000000A-C1E3-4423-8C82-52D99290F94C}"/>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!PivotTable2</c:name>
    <c:fmtId val="21"/>
  </c:pivotSource>
  <c:chart>
    <c:title>
      <c:tx>
        <c:rich>
          <a:bodyPr rot="0" spcFirstLastPara="1" vertOverflow="ellipsis" vert="horz" wrap="square" anchor="ctr" anchorCtr="1"/>
          <a:lstStyle/>
          <a:p>
            <a:pPr>
              <a:defRPr sz="1400" b="1"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US" b="1">
                <a:ln>
                  <a:solidFill>
                    <a:sysClr val="windowText" lastClr="000000"/>
                  </a:solidFill>
                </a:ln>
              </a:rPr>
              <a:t>Average</a:t>
            </a:r>
            <a:r>
              <a:rPr lang="en-US" b="1" baseline="0">
                <a:ln>
                  <a:solidFill>
                    <a:sysClr val="windowText" lastClr="000000"/>
                  </a:solidFill>
                </a:ln>
              </a:rPr>
              <a:t> ROI by City</a:t>
            </a:r>
            <a:endParaRPr lang="en-US" b="1">
              <a:ln>
                <a:solidFill>
                  <a:sysClr val="windowText" lastClr="000000"/>
                </a:solidFill>
              </a:ln>
            </a:endParaRPr>
          </a:p>
        </c:rich>
      </c:tx>
      <c:layout>
        <c:manualLayout>
          <c:xMode val="edge"/>
          <c:yMode val="edge"/>
          <c:x val="0.37476352967859666"/>
          <c:y val="6.1897896979201707E-2"/>
        </c:manualLayout>
      </c:layout>
      <c:overlay val="0"/>
      <c:spPr>
        <a:noFill/>
        <a:ln>
          <a:noFill/>
        </a:ln>
        <a:effectLst/>
      </c:spPr>
      <c:txPr>
        <a:bodyPr rot="0" spcFirstLastPara="1" vertOverflow="ellipsis" vert="horz" wrap="square" anchor="ctr" anchorCtr="1"/>
        <a:lstStyle/>
        <a:p>
          <a:pPr>
            <a:defRPr sz="1400" b="1"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3152470201479"/>
          <c:y val="0.2020042528076782"/>
          <c:w val="0.87147964439789649"/>
          <c:h val="0.55346219307384259"/>
        </c:manualLayout>
      </c:layout>
      <c:barChart>
        <c:barDir val="col"/>
        <c:grouping val="clustered"/>
        <c:varyColors val="0"/>
        <c:ser>
          <c:idx val="0"/>
          <c:order val="0"/>
          <c:tx>
            <c:strRef>
              <c:f>'Property Dataset  '!$AB$19</c:f>
              <c:strCache>
                <c:ptCount val="1"/>
                <c:pt idx="0">
                  <c:v>Total</c:v>
                </c:pt>
              </c:strCache>
            </c:strRef>
          </c:tx>
          <c:spPr>
            <a:solidFill>
              <a:schemeClr val="accent1"/>
            </a:solidFill>
            <a:ln>
              <a:noFill/>
            </a:ln>
            <a:effectLst/>
          </c:spPr>
          <c:invertIfNegative val="0"/>
          <c:cat>
            <c:strRef>
              <c:f>'Property Dataset  '!$AA$20:$AA$26</c:f>
              <c:strCache>
                <c:ptCount val="6"/>
                <c:pt idx="0">
                  <c:v>Pune</c:v>
                </c:pt>
                <c:pt idx="1">
                  <c:v>Bangalore</c:v>
                </c:pt>
                <c:pt idx="2">
                  <c:v>Chennai</c:v>
                </c:pt>
                <c:pt idx="3">
                  <c:v>Delhi</c:v>
                </c:pt>
                <c:pt idx="4">
                  <c:v>Hyderabad</c:v>
                </c:pt>
                <c:pt idx="5">
                  <c:v>Mumbai</c:v>
                </c:pt>
              </c:strCache>
            </c:strRef>
          </c:cat>
          <c:val>
            <c:numRef>
              <c:f>'Property Dataset  '!$AB$20:$AB$26</c:f>
              <c:numCache>
                <c:formatCode>0.00%</c:formatCode>
                <c:ptCount val="6"/>
                <c:pt idx="0">
                  <c:v>0.44591090909090897</c:v>
                </c:pt>
                <c:pt idx="1">
                  <c:v>0.44604088397790043</c:v>
                </c:pt>
                <c:pt idx="2">
                  <c:v>0.44956871508379909</c:v>
                </c:pt>
                <c:pt idx="3">
                  <c:v>0.45061204819277112</c:v>
                </c:pt>
                <c:pt idx="4">
                  <c:v>0.45160544217687071</c:v>
                </c:pt>
                <c:pt idx="5">
                  <c:v>0.45293333333333335</c:v>
                </c:pt>
              </c:numCache>
            </c:numRef>
          </c:val>
          <c:extLst>
            <c:ext xmlns:c16="http://schemas.microsoft.com/office/drawing/2014/chart" uri="{C3380CC4-5D6E-409C-BE32-E72D297353CC}">
              <c16:uniqueId val="{00000000-508F-4119-B7AF-3027254B9823}"/>
            </c:ext>
          </c:extLst>
        </c:ser>
        <c:dLbls>
          <c:showLegendKey val="0"/>
          <c:showVal val="0"/>
          <c:showCatName val="0"/>
          <c:showSerName val="0"/>
          <c:showPercent val="0"/>
          <c:showBubbleSize val="0"/>
        </c:dLbls>
        <c:gapWidth val="219"/>
        <c:overlap val="-27"/>
        <c:axId val="699847711"/>
        <c:axId val="742403695"/>
      </c:barChart>
      <c:catAx>
        <c:axId val="699847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City</a:t>
                </a:r>
              </a:p>
            </c:rich>
          </c:tx>
          <c:layout>
            <c:manualLayout>
              <c:xMode val="edge"/>
              <c:yMode val="edge"/>
              <c:x val="0.44751256169565073"/>
              <c:y val="0.8807559055118111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03695"/>
        <c:crosses val="autoZero"/>
        <c:auto val="1"/>
        <c:lblAlgn val="ctr"/>
        <c:lblOffset val="100"/>
        <c:noMultiLvlLbl val="0"/>
      </c:catAx>
      <c:valAx>
        <c:axId val="7424036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ROI</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47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Property Availability Distribution </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'Property Dataset  '!$AB$28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4-4639-A568-407EC3F021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4-4639-A568-407EC3F021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4-4639-A568-407EC3F021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'Property Dataset  '!$AA$29:$AA$32</c:f>
              <c:strCache>
                <c:ptCount val="3"/>
                <c:pt idx="0">
                  <c:v>Available</c:v>
                </c:pt>
                <c:pt idx="1">
                  <c:v>Rented</c:v>
                </c:pt>
                <c:pt idx="2">
                  <c:v>Sold</c:v>
                </c:pt>
              </c:strCache>
            </c:strRef>
          </c:cat>
          <c:val>
            <c:numRef>
              <c:f>'Property Dataset  '!$AB$29:$AB$32</c:f>
              <c:numCache>
                <c:formatCode>General</c:formatCode>
                <c:ptCount val="3"/>
                <c:pt idx="0">
                  <c:v>584</c:v>
                </c:pt>
                <c:pt idx="1">
                  <c:v>161</c:v>
                </c:pt>
                <c:pt idx="2">
                  <c:v>255</c:v>
                </c:pt>
              </c:numCache>
            </c:numRef>
          </c:val>
          <c:extLst>
            <c:ext xmlns:c16="http://schemas.microsoft.com/office/drawing/2014/chart" uri="{C3380CC4-5D6E-409C-BE32-E72D297353CC}">
              <c16:uniqueId val="{00000006-AB44-4639-A568-407EC3F0217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Days on Market by City and District</a:t>
            </a:r>
            <a:endParaRPr lang="en-US" b="1"/>
          </a:p>
        </c:rich>
      </c:tx>
      <c:layout>
        <c:manualLayout>
          <c:xMode val="edge"/>
          <c:yMode val="edge"/>
          <c:x val="0.24719528647013708"/>
          <c:y val="2.93213454200861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4405425177986E-2"/>
          <c:y val="0.11354183438303118"/>
          <c:w val="0.93266646760226934"/>
          <c:h val="0.59436609942532992"/>
        </c:manualLayout>
      </c:layout>
      <c:barChart>
        <c:barDir val="col"/>
        <c:grouping val="clustered"/>
        <c:varyColors val="0"/>
        <c:ser>
          <c:idx val="0"/>
          <c:order val="0"/>
          <c:tx>
            <c:strRef>
              <c:f>'Property Dataset  '!$AB$34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'Property Dataset  '!$AA$35:$AA$77</c:f>
              <c:multiLvlStrCache>
                <c:ptCount val="36"/>
                <c:lvl>
                  <c:pt idx="0">
                    <c:v>HSR Layout</c:v>
                  </c:pt>
                  <c:pt idx="1">
                    <c:v>Indiranagar</c:v>
                  </c:pt>
                  <c:pt idx="2">
                    <c:v>Jayanagar</c:v>
                  </c:pt>
                  <c:pt idx="3">
                    <c:v>Koramangala</c:v>
                  </c:pt>
                  <c:pt idx="4">
                    <c:v>Marathahalli</c:v>
                  </c:pt>
                  <c:pt idx="5">
                    <c:v>Whitefield</c:v>
                  </c:pt>
                  <c:pt idx="6">
                    <c:v>Anna Nagar</c:v>
                  </c:pt>
                  <c:pt idx="7">
                    <c:v>Besant Nagar</c:v>
                  </c:pt>
                  <c:pt idx="8">
                    <c:v>Kilpauk</c:v>
                  </c:pt>
                  <c:pt idx="9">
                    <c:v>T Nagar</c:v>
                  </c:pt>
                  <c:pt idx="10">
                    <c:v>Thiruvanmiyur</c:v>
                  </c:pt>
                  <c:pt idx="11">
                    <c:v>Velachery</c:v>
                  </c:pt>
                  <c:pt idx="12">
                    <c:v>Dwarka</c:v>
                  </c:pt>
                  <c:pt idx="13">
                    <c:v>Gurgaon</c:v>
                  </c:pt>
                  <c:pt idx="14">
                    <c:v>Noida</c:v>
                  </c:pt>
                  <c:pt idx="15">
                    <c:v>Pitampura</c:v>
                  </c:pt>
                  <c:pt idx="16">
                    <c:v>Rohini</c:v>
                  </c:pt>
                  <c:pt idx="17">
                    <c:v>South Delhi</c:v>
                  </c:pt>
                  <c:pt idx="18">
                    <c:v>Banjara Hills</c:v>
                  </c:pt>
                  <c:pt idx="19">
                    <c:v>Gachibowli</c:v>
                  </c:pt>
                  <c:pt idx="20">
                    <c:v>HITEC City</c:v>
                  </c:pt>
                  <c:pt idx="21">
                    <c:v>Jubilee Hills</c:v>
                  </c:pt>
                  <c:pt idx="22">
                    <c:v>Kondapur</c:v>
                  </c:pt>
                  <c:pt idx="23">
                    <c:v>Madhapur</c:v>
                  </c:pt>
                  <c:pt idx="24">
                    <c:v>Andheri</c:v>
                  </c:pt>
                  <c:pt idx="25">
                    <c:v>Bandra</c:v>
                  </c:pt>
                  <c:pt idx="26">
                    <c:v>Borivali</c:v>
                  </c:pt>
                  <c:pt idx="27">
                    <c:v>Dadar</c:v>
                  </c:pt>
                  <c:pt idx="28">
                    <c:v>Navi Mumbai</c:v>
                  </c:pt>
                  <c:pt idx="29">
                    <c:v>South Mumbai</c:v>
                  </c:pt>
                  <c:pt idx="30">
                    <c:v>Baner</c:v>
                  </c:pt>
                  <c:pt idx="31">
                    <c:v>Camp</c:v>
                  </c:pt>
                  <c:pt idx="32">
                    <c:v>Hinjewadi</c:v>
                  </c:pt>
                  <c:pt idx="33">
                    <c:v>Kondhwa</c:v>
                  </c:pt>
                  <c:pt idx="34">
                    <c:v>Magarpatta</c:v>
                  </c:pt>
                  <c:pt idx="35">
                    <c:v>Viman Nagar</c:v>
                  </c:pt>
                </c:lvl>
                <c:lvl>
                  <c:pt idx="0">
                    <c:v>Bangalore</c:v>
                  </c:pt>
                  <c:pt idx="6">
                    <c:v>Chennai</c:v>
                  </c:pt>
                  <c:pt idx="12">
                    <c:v>Delhi</c:v>
                  </c:pt>
                  <c:pt idx="18">
                    <c:v>Hyderabad</c:v>
                  </c:pt>
                  <c:pt idx="24">
                    <c:v>Mumbai</c:v>
                  </c:pt>
                  <c:pt idx="30">
                    <c:v>Pune</c:v>
                  </c:pt>
                </c:lvl>
              </c:multiLvlStrCache>
            </c:multiLvlStrRef>
          </c:cat>
          <c:val>
            <c:numRef>
              <c:f>'Property Dataset  '!$AB$35:$AB$77</c:f>
              <c:numCache>
                <c:formatCode>0</c:formatCode>
                <c:ptCount val="36"/>
                <c:pt idx="0">
                  <c:v>203.10526315789474</c:v>
                </c:pt>
                <c:pt idx="1">
                  <c:v>189.54054054054055</c:v>
                </c:pt>
                <c:pt idx="2">
                  <c:v>166.51612903225808</c:v>
                </c:pt>
                <c:pt idx="3">
                  <c:v>159.31428571428572</c:v>
                </c:pt>
                <c:pt idx="4">
                  <c:v>190.90322580645162</c:v>
                </c:pt>
                <c:pt idx="5">
                  <c:v>173.17857142857142</c:v>
                </c:pt>
                <c:pt idx="6">
                  <c:v>206.15384615384616</c:v>
                </c:pt>
                <c:pt idx="7">
                  <c:v>198.55882352941177</c:v>
                </c:pt>
                <c:pt idx="8">
                  <c:v>196.19444444444446</c:v>
                </c:pt>
                <c:pt idx="9">
                  <c:v>170.75</c:v>
                </c:pt>
                <c:pt idx="10">
                  <c:v>180.22222222222223</c:v>
                </c:pt>
                <c:pt idx="11">
                  <c:v>169.54166666666666</c:v>
                </c:pt>
                <c:pt idx="12">
                  <c:v>140.26470588235293</c:v>
                </c:pt>
                <c:pt idx="13">
                  <c:v>171.24137931034483</c:v>
                </c:pt>
                <c:pt idx="14">
                  <c:v>200.2</c:v>
                </c:pt>
                <c:pt idx="15">
                  <c:v>179.92307692307693</c:v>
                </c:pt>
                <c:pt idx="16">
                  <c:v>190.7</c:v>
                </c:pt>
                <c:pt idx="17">
                  <c:v>189.25</c:v>
                </c:pt>
                <c:pt idx="18">
                  <c:v>170.5185185185185</c:v>
                </c:pt>
                <c:pt idx="19">
                  <c:v>213.57692307692307</c:v>
                </c:pt>
                <c:pt idx="20">
                  <c:v>230.8</c:v>
                </c:pt>
                <c:pt idx="21">
                  <c:v>173.93939393939394</c:v>
                </c:pt>
                <c:pt idx="22">
                  <c:v>179</c:v>
                </c:pt>
                <c:pt idx="23">
                  <c:v>179.625</c:v>
                </c:pt>
                <c:pt idx="24">
                  <c:v>156.56521739130434</c:v>
                </c:pt>
                <c:pt idx="25">
                  <c:v>148.32142857142858</c:v>
                </c:pt>
                <c:pt idx="26">
                  <c:v>193.2</c:v>
                </c:pt>
                <c:pt idx="27">
                  <c:v>214.375</c:v>
                </c:pt>
                <c:pt idx="28">
                  <c:v>179.85714285714286</c:v>
                </c:pt>
                <c:pt idx="29">
                  <c:v>151.74358974358975</c:v>
                </c:pt>
                <c:pt idx="30">
                  <c:v>172.28125</c:v>
                </c:pt>
                <c:pt idx="31">
                  <c:v>210.75</c:v>
                </c:pt>
                <c:pt idx="32">
                  <c:v>169.52</c:v>
                </c:pt>
                <c:pt idx="33">
                  <c:v>163.77272727272728</c:v>
                </c:pt>
                <c:pt idx="34">
                  <c:v>160.85714285714286</c:v>
                </c:pt>
                <c:pt idx="35">
                  <c:v>196.7</c:v>
                </c:pt>
              </c:numCache>
            </c:numRef>
          </c:val>
          <c:extLst>
            <c:ext xmlns:c16="http://schemas.microsoft.com/office/drawing/2014/chart" uri="{C3380CC4-5D6E-409C-BE32-E72D297353CC}">
              <c16:uniqueId val="{00000000-1E3A-4E86-A9C0-E1E9738212E5}"/>
            </c:ext>
          </c:extLst>
        </c:ser>
        <c:dLbls>
          <c:dLblPos val="outEnd"/>
          <c:showLegendKey val="0"/>
          <c:showVal val="1"/>
          <c:showCatName val="0"/>
          <c:showSerName val="0"/>
          <c:showPercent val="0"/>
          <c:showBubbleSize val="0"/>
        </c:dLbls>
        <c:gapWidth val="219"/>
        <c:overlap val="-27"/>
        <c:axId val="720626159"/>
        <c:axId val="702024911"/>
      </c:barChart>
      <c:catAx>
        <c:axId val="72062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City-District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24911"/>
        <c:crosses val="autoZero"/>
        <c:auto val="1"/>
        <c:lblAlgn val="ctr"/>
        <c:lblOffset val="100"/>
        <c:noMultiLvlLbl val="0"/>
      </c:catAx>
      <c:valAx>
        <c:axId val="7020249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Avg.</a:t>
                </a:r>
                <a:r>
                  <a:rPr lang="en-IN" b="1" baseline="0"/>
                  <a:t> Days On Markset </a:t>
                </a:r>
                <a:endParaRPr lang="en-IN" b="1"/>
              </a:p>
            </c:rich>
          </c:tx>
          <c:layout>
            <c:manualLayout>
              <c:xMode val="edge"/>
              <c:yMode val="edge"/>
              <c:x val="0"/>
              <c:y val="0.2844390061716474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2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Analytics Dashboard.xlsx]Property Dataset  !PivotTable6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'Property Dataset  '!$AE$2</c:f>
              <c:strCache>
                <c:ptCount val="1"/>
                <c:pt idx="0">
                  <c:v>Total</c:v>
                </c:pt>
              </c:strCache>
            </c:strRef>
          </c:tx>
          <c:spPr>
            <a:solidFill>
              <a:schemeClr val="accent1"/>
            </a:solidFill>
            <a:ln>
              <a:noFill/>
            </a:ln>
            <a:effectLst/>
          </c:spPr>
          <c:invertIfNegative val="0"/>
          <c:cat>
            <c:strRef>
              <c:f>'Property Dataset  '!$AD$3:$AD$5</c:f>
              <c:strCache>
                <c:ptCount val="2"/>
                <c:pt idx="0">
                  <c:v>FALSE</c:v>
                </c:pt>
                <c:pt idx="1">
                  <c:v>TRUE</c:v>
                </c:pt>
              </c:strCache>
            </c:strRef>
          </c:cat>
          <c:val>
            <c:numRef>
              <c:f>'Property Dataset  '!$AE$3:$AE$5</c:f>
              <c:numCache>
                <c:formatCode>"₹"\ #,##0.00</c:formatCode>
                <c:ptCount val="2"/>
                <c:pt idx="0">
                  <c:v>25498765.872881357</c:v>
                </c:pt>
                <c:pt idx="1">
                  <c:v>26390552.363636363</c:v>
                </c:pt>
              </c:numCache>
            </c:numRef>
          </c:val>
          <c:extLst>
            <c:ext xmlns:c16="http://schemas.microsoft.com/office/drawing/2014/chart" uri="{C3380CC4-5D6E-409C-BE32-E72D297353CC}">
              <c16:uniqueId val="{00000000-B3AB-499F-B9DB-AC09391B4107}"/>
            </c:ext>
          </c:extLst>
        </c:ser>
        <c:dLbls>
          <c:showLegendKey val="0"/>
          <c:showVal val="0"/>
          <c:showCatName val="0"/>
          <c:showSerName val="0"/>
          <c:showPercent val="0"/>
          <c:showBubbleSize val="0"/>
        </c:dLbls>
        <c:gapWidth val="219"/>
        <c:overlap val="-27"/>
        <c:axId val="1588007679"/>
        <c:axId val="702079151"/>
      </c:barChart>
      <c:catAx>
        <c:axId val="15880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79151"/>
        <c:crosses val="autoZero"/>
        <c:auto val="1"/>
        <c:lblAlgn val="ctr"/>
        <c:lblOffset val="100"/>
        <c:noMultiLvlLbl val="0"/>
      </c:catAx>
      <c:valAx>
        <c:axId val="70207915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Bedroom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4472C4"/>
            </a:solidFill>
            <a:ln>
              <a:noFill/>
            </a:ln>
            <a:effectLst/>
          </c:spPr>
          <c:invertIfNegative val="0"/>
          <c:cat>
            <c:strRef>
              <c:f>'Additional Analysis'!$A$10:$A$16</c:f>
              <c:strCache>
                <c:ptCount val="7"/>
                <c:pt idx="0">
                  <c:v>0 BHK</c:v>
                </c:pt>
                <c:pt idx="1">
                  <c:v>1 BHK</c:v>
                </c:pt>
                <c:pt idx="2">
                  <c:v>2 BHK</c:v>
                </c:pt>
                <c:pt idx="3">
                  <c:v>3 BHK</c:v>
                </c:pt>
                <c:pt idx="4">
                  <c:v>4 BHK</c:v>
                </c:pt>
                <c:pt idx="5">
                  <c:v>5 BHK</c:v>
                </c:pt>
                <c:pt idx="6">
                  <c:v>6 BHK</c:v>
                </c:pt>
              </c:strCache>
            </c:strRef>
          </c:cat>
          <c:val>
            <c:numRef>
              <c:f>'Additional Analysis'!$B$10:$B$16</c:f>
              <c:numCache>
                <c:formatCode>General</c:formatCode>
                <c:ptCount val="7"/>
                <c:pt idx="0">
                  <c:v>79</c:v>
                </c:pt>
                <c:pt idx="1">
                  <c:v>164</c:v>
                </c:pt>
                <c:pt idx="2">
                  <c:v>95</c:v>
                </c:pt>
                <c:pt idx="3">
                  <c:v>156</c:v>
                </c:pt>
                <c:pt idx="4">
                  <c:v>201</c:v>
                </c:pt>
                <c:pt idx="5">
                  <c:v>184</c:v>
                </c:pt>
                <c:pt idx="6">
                  <c:v>121</c:v>
                </c:pt>
              </c:numCache>
            </c:numRef>
          </c:val>
          <c:extLst>
            <c:ext xmlns:c16="http://schemas.microsoft.com/office/drawing/2014/chart" uri="{C3380CC4-5D6E-409C-BE32-E72D297353CC}">
              <c16:uniqueId val="{00000000-9F46-4925-9A7C-BC1FCA214BB9}"/>
            </c:ext>
          </c:extLst>
        </c:ser>
        <c:dLbls>
          <c:showLegendKey val="0"/>
          <c:showVal val="0"/>
          <c:showCatName val="0"/>
          <c:showSerName val="0"/>
          <c:showPercent val="0"/>
          <c:showBubbleSize val="0"/>
        </c:dLbls>
        <c:gapWidth val="219"/>
        <c:overlap val="-27"/>
        <c:axId val="1346390319"/>
        <c:axId val="701940431"/>
      </c:barChart>
      <c:catAx>
        <c:axId val="134639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40431"/>
        <c:crosses val="autoZero"/>
        <c:auto val="1"/>
        <c:lblAlgn val="ctr"/>
        <c:lblOffset val="100"/>
        <c:noMultiLvlLbl val="0"/>
      </c:catAx>
      <c:valAx>
        <c:axId val="70194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9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ROI by Property Age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70AD47"/>
            </a:solidFill>
            <a:ln>
              <a:noFill/>
            </a:ln>
            <a:effectLst/>
          </c:spPr>
          <c:invertIfNegative val="0"/>
          <c:cat>
            <c:strRef>
              <c:f>'Additional Analysis'!$A$20:$A$25</c:f>
              <c:strCache>
                <c:ptCount val="6"/>
                <c:pt idx="0">
                  <c:v>0-5 Years (New)</c:v>
                </c:pt>
                <c:pt idx="1">
                  <c:v>6-10 Years</c:v>
                </c:pt>
                <c:pt idx="2">
                  <c:v>11-15 Years</c:v>
                </c:pt>
                <c:pt idx="3">
                  <c:v>16-20 Years</c:v>
                </c:pt>
                <c:pt idx="4">
                  <c:v>21-25 Years</c:v>
                </c:pt>
                <c:pt idx="5">
                  <c:v>26-30 Years (Old)</c:v>
                </c:pt>
              </c:strCache>
            </c:strRef>
          </c:cat>
          <c:val>
            <c:numRef>
              <c:f>'Additional Analysis'!$E$20:$E$25</c:f>
              <c:numCache>
                <c:formatCode>0.00%</c:formatCode>
                <c:ptCount val="6"/>
                <c:pt idx="0">
                  <c:v>0.44876243654822306</c:v>
                </c:pt>
                <c:pt idx="1">
                  <c:v>0.45116235294117668</c:v>
                </c:pt>
                <c:pt idx="2">
                  <c:v>0.44754571428571444</c:v>
                </c:pt>
                <c:pt idx="3">
                  <c:v>0.4522578947368423</c:v>
                </c:pt>
                <c:pt idx="4">
                  <c:v>0.44570921985815593</c:v>
                </c:pt>
                <c:pt idx="5">
                  <c:v>0.45049575757575722</c:v>
                </c:pt>
              </c:numCache>
            </c:numRef>
          </c:val>
          <c:extLst>
            <c:ext xmlns:c16="http://schemas.microsoft.com/office/drawing/2014/chart" uri="{C3380CC4-5D6E-409C-BE32-E72D297353CC}">
              <c16:uniqueId val="{00000000-56F9-4059-B594-4429AE37FFAB}"/>
            </c:ext>
          </c:extLst>
        </c:ser>
        <c:dLbls>
          <c:showLegendKey val="0"/>
          <c:showVal val="0"/>
          <c:showCatName val="0"/>
          <c:showSerName val="0"/>
          <c:showPercent val="0"/>
          <c:showBubbleSize val="0"/>
        </c:dLbls>
        <c:gapWidth val="182"/>
        <c:axId val="1302661839"/>
        <c:axId val="702040271"/>
      </c:barChart>
      <c:catAx>
        <c:axId val="130266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040271"/>
        <c:crosses val="autoZero"/>
        <c:auto val="1"/>
        <c:lblAlgn val="ctr"/>
        <c:lblOffset val="100"/>
        <c:noMultiLvlLbl val="0"/>
      </c:catAx>
      <c:valAx>
        <c:axId val="7020402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66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Avg Rental Yield by City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ED7D31"/>
            </a:solidFill>
            <a:ln>
              <a:noFill/>
            </a:ln>
            <a:effectLst/>
          </c:spPr>
          <c:invertIfNegative val="0"/>
          <c:cat>
            <c:strRef>
              <c:f>'Additional Analysis'!$G$5:$G$10</c:f>
              <c:strCache>
                <c:ptCount val="6"/>
                <c:pt idx="0">
                  <c:v>Bangalore</c:v>
                </c:pt>
                <c:pt idx="1">
                  <c:v>Chennai</c:v>
                </c:pt>
                <c:pt idx="2">
                  <c:v>Delhi</c:v>
                </c:pt>
                <c:pt idx="3">
                  <c:v>Hyderabad</c:v>
                </c:pt>
                <c:pt idx="4">
                  <c:v>Mumbai</c:v>
                </c:pt>
                <c:pt idx="5">
                  <c:v>Pune</c:v>
                </c:pt>
              </c:strCache>
            </c:strRef>
          </c:cat>
          <c:val>
            <c:numRef>
              <c:f>'Additional Analysis'!$H$5:$H$10</c:f>
              <c:numCache>
                <c:formatCode>0.00%</c:formatCode>
                <c:ptCount val="6"/>
                <c:pt idx="0">
                  <c:v>3.9205524861878449</c:v>
                </c:pt>
                <c:pt idx="1">
                  <c:v>3.9915642458100549</c:v>
                </c:pt>
                <c:pt idx="2">
                  <c:v>4.0123493975903601</c:v>
                </c:pt>
                <c:pt idx="3">
                  <c:v>4.0319727891156463</c:v>
                </c:pt>
                <c:pt idx="4">
                  <c:v>4.0589506172839505</c:v>
                </c:pt>
                <c:pt idx="5">
                  <c:v>3.9184242424242424</c:v>
                </c:pt>
              </c:numCache>
            </c:numRef>
          </c:val>
          <c:extLst>
            <c:ext xmlns:c16="http://schemas.microsoft.com/office/drawing/2014/chart" uri="{C3380CC4-5D6E-409C-BE32-E72D297353CC}">
              <c16:uniqueId val="{00000000-3D2B-4CE3-8413-7D22FA6E5F29}"/>
            </c:ext>
          </c:extLst>
        </c:ser>
        <c:dLbls>
          <c:showLegendKey val="0"/>
          <c:showVal val="0"/>
          <c:showCatName val="0"/>
          <c:showSerName val="0"/>
          <c:showPercent val="0"/>
          <c:showBubbleSize val="0"/>
        </c:dLbls>
        <c:gapWidth val="182"/>
        <c:axId val="616083295"/>
        <c:axId val="282638319"/>
      </c:barChart>
      <c:catAx>
        <c:axId val="61608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8319"/>
        <c:crosses val="autoZero"/>
        <c:auto val="1"/>
        <c:lblAlgn val="ctr"/>
        <c:lblOffset val="100"/>
        <c:noMultiLvlLbl val="0"/>
      </c:catAx>
      <c:valAx>
        <c:axId val="28263831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8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Amenities Impact on Avg Price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5B9BD5"/>
              </a:solidFill>
              <a:prstDash val="solid"/>
              <a:round/>
            </a:ln>
            <a:effectLst/>
          </c:spPr>
          <c:marker>
            <c:symbol val="circle"/>
            <c:size val="5"/>
            <c:spPr>
              <a:solidFill>
                <a:schemeClr val="accent1"/>
              </a:solidFill>
              <a:ln w="9525">
                <a:solidFill>
                  <a:schemeClr val="accent1"/>
                </a:solidFill>
              </a:ln>
              <a:effectLst/>
            </c:spPr>
          </c:marker>
          <c:cat>
            <c:strRef>
              <c:f>'Additional Analysis'!$A$29:$A$34</c:f>
              <c:strCache>
                <c:ptCount val="6"/>
                <c:pt idx="0">
                  <c:v>3 Amenities</c:v>
                </c:pt>
                <c:pt idx="1">
                  <c:v>4 Amenities</c:v>
                </c:pt>
                <c:pt idx="2">
                  <c:v>5 Amenities</c:v>
                </c:pt>
                <c:pt idx="3">
                  <c:v>6 Amenities</c:v>
                </c:pt>
                <c:pt idx="4">
                  <c:v>7 Amenities</c:v>
                </c:pt>
                <c:pt idx="5">
                  <c:v>8 Amenities</c:v>
                </c:pt>
              </c:strCache>
            </c:strRef>
          </c:cat>
          <c:val>
            <c:numRef>
              <c:f>'Additional Analysis'!$C$29:$C$34</c:f>
              <c:numCache>
                <c:formatCode>\₹#,##0</c:formatCode>
                <c:ptCount val="6"/>
                <c:pt idx="0">
                  <c:v>26401035.670588236</c:v>
                </c:pt>
                <c:pt idx="1">
                  <c:v>25835885.413793102</c:v>
                </c:pt>
                <c:pt idx="2">
                  <c:v>25738835.308724832</c:v>
                </c:pt>
                <c:pt idx="3">
                  <c:v>27065259.366013072</c:v>
                </c:pt>
                <c:pt idx="4">
                  <c:v>25495289.710982658</c:v>
                </c:pt>
                <c:pt idx="5">
                  <c:v>25410236.187845305</c:v>
                </c:pt>
              </c:numCache>
            </c:numRef>
          </c:val>
          <c:smooth val="0"/>
          <c:extLst>
            <c:ext xmlns:c16="http://schemas.microsoft.com/office/drawing/2014/chart" uri="{C3380CC4-5D6E-409C-BE32-E72D297353CC}">
              <c16:uniqueId val="{00000000-A508-4D47-B7B7-F397E47DD773}"/>
            </c:ext>
          </c:extLst>
        </c:ser>
        <c:dLbls>
          <c:showLegendKey val="0"/>
          <c:showVal val="0"/>
          <c:showCatName val="0"/>
          <c:showSerName val="0"/>
          <c:showPercent val="0"/>
          <c:showBubbleSize val="0"/>
        </c:dLbls>
        <c:marker val="1"/>
        <c:smooth val="0"/>
        <c:axId val="616062879"/>
        <c:axId val="282640719"/>
      </c:lineChart>
      <c:catAx>
        <c:axId val="6160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40719"/>
        <c:crosses val="autoZero"/>
        <c:auto val="1"/>
        <c:lblAlgn val="ctr"/>
        <c:lblOffset val="100"/>
        <c:noMultiLvlLbl val="0"/>
      </c:catAx>
      <c:valAx>
        <c:axId val="282640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6287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Gated vs Non-Gated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1-440E-A57A-674053464C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1-440E-A57A-674053464C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'Additional Analysis'!$G$14:$G$15</c:f>
              <c:strCache>
                <c:ptCount val="2"/>
                <c:pt idx="0">
                  <c:v>Gated Community</c:v>
                </c:pt>
                <c:pt idx="1">
                  <c:v>Non-Gated</c:v>
                </c:pt>
              </c:strCache>
            </c:strRef>
          </c:cat>
          <c:val>
            <c:numRef>
              <c:f>'Additional Analysis'!$H$14:$H$15</c:f>
              <c:numCache>
                <c:formatCode>General</c:formatCode>
                <c:ptCount val="2"/>
                <c:pt idx="0">
                  <c:v>528</c:v>
                </c:pt>
                <c:pt idx="1">
                  <c:v>472</c:v>
                </c:pt>
              </c:numCache>
            </c:numRef>
          </c:val>
          <c:extLst>
            <c:ext xmlns:c16="http://schemas.microsoft.com/office/drawing/2014/chart" uri="{C3380CC4-5D6E-409C-BE32-E72D297353CC}">
              <c16:uniqueId val="{00000000-5F90-4471-9BB0-E374C5C46E1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Avg Monthly Rent by Property Type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9E480E"/>
            </a:solidFill>
            <a:ln>
              <a:noFill/>
            </a:ln>
            <a:effectLst/>
          </c:spPr>
          <c:invertIfNegative val="0"/>
          <c:cat>
            <c:strRef>
              <c:f>'Additional Analysis'!$G$24:$G$28</c:f>
              <c:strCache>
                <c:ptCount val="5"/>
                <c:pt idx="0">
                  <c:v>Apartment</c:v>
                </c:pt>
                <c:pt idx="1">
                  <c:v>Independent House</c:v>
                </c:pt>
                <c:pt idx="2">
                  <c:v>Penthouse</c:v>
                </c:pt>
                <c:pt idx="3">
                  <c:v>Studio</c:v>
                </c:pt>
                <c:pt idx="4">
                  <c:v>Villa</c:v>
                </c:pt>
              </c:strCache>
            </c:strRef>
          </c:cat>
          <c:val>
            <c:numRef>
              <c:f>'Additional Analysis'!$K$24:$K$28</c:f>
              <c:numCache>
                <c:formatCode>\₹#,##0</c:formatCode>
                <c:ptCount val="5"/>
                <c:pt idx="0">
                  <c:v>86035.398148148146</c:v>
                </c:pt>
                <c:pt idx="1">
                  <c:v>91563.46</c:v>
                </c:pt>
                <c:pt idx="2">
                  <c:v>82401.378640776704</c:v>
                </c:pt>
                <c:pt idx="3">
                  <c:v>87835.393442622953</c:v>
                </c:pt>
                <c:pt idx="4">
                  <c:v>84950.117948717947</c:v>
                </c:pt>
              </c:numCache>
            </c:numRef>
          </c:val>
          <c:extLst>
            <c:ext xmlns:c16="http://schemas.microsoft.com/office/drawing/2014/chart" uri="{C3380CC4-5D6E-409C-BE32-E72D297353CC}">
              <c16:uniqueId val="{00000000-880B-4FDD-ABB7-748F80C898FC}"/>
            </c:ext>
          </c:extLst>
        </c:ser>
        <c:dLbls>
          <c:showLegendKey val="0"/>
          <c:showVal val="0"/>
          <c:showCatName val="0"/>
          <c:showSerName val="0"/>
          <c:showPercent val="0"/>
          <c:showBubbleSize val="0"/>
        </c:dLbls>
        <c:gapWidth val="219"/>
        <c:overlap val="-27"/>
        <c:axId val="603097327"/>
        <c:axId val="282633519"/>
      </c:barChart>
      <c:catAx>
        <c:axId val="6030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633519"/>
        <c:crosses val="autoZero"/>
        <c:auto val="1"/>
        <c:lblAlgn val="ctr"/>
        <c:lblOffset val="100"/>
        <c:noMultiLvlLbl val="0"/>
      </c:catAx>
      <c:valAx>
        <c:axId val="282633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9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Property Price </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A00D-4D0B-B690-7454081A2639}">
          <cx:dataLabels>
            <cx:visibility seriesName="0" categoryName="0" value="1"/>
          </cx:dataLabels>
          <cx:dataId val="0"/>
          <cx:layoutPr>
            <cx:visibility meanLine="1" meanMarker="0" nonoutliers="0" outliers="1"/>
            <cx:statistics quartileMethod="exclusive"/>
          </cx:layoutPr>
        </cx:series>
      </cx:plotAreaRegion>
      <cx:axis id="0">
        <cx:catScaling gapWidth="0.610000014"/>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Monthly Rental </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578D-422B-9786-02D6BECA9F45}">
          <cx:tx>
            <cx:txData>
              <cx:f>_xlchart.v1.1</cx:f>
              <cx:v>Monthly_Rental_Estimate_Inr</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Price Per SQFT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Price Per SQFT</a:t>
          </a:r>
        </a:p>
      </cx:txPr>
    </cx:title>
    <cx:plotArea>
      <cx:plotAreaRegion>
        <cx:series layoutId="boxWhisker" uniqueId="{00000000-8518-40FD-A212-E734467FB52C}">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Days On Market</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B3F8-4266-8240-0BD99B976E6E}">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990600</xdr:colOff>
      <xdr:row>984</xdr:row>
      <xdr:rowOff>95250</xdr:rowOff>
    </xdr:from>
    <xdr:to>
      <xdr:col>7</xdr:col>
      <xdr:colOff>425450</xdr:colOff>
      <xdr:row>999</xdr:row>
      <xdr:rowOff>76200</xdr:rowOff>
    </xdr:to>
    <xdr:graphicFrame macro="">
      <xdr:nvGraphicFramePr>
        <xdr:cNvPr id="6" name="Chart 5">
          <a:extLst>
            <a:ext uri="{FF2B5EF4-FFF2-40B4-BE49-F238E27FC236}">
              <a16:creationId xmlns:a16="http://schemas.microsoft.com/office/drawing/2014/main" id="{9490F1DF-524F-2A26-F422-117A60BAE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1143000</xdr:colOff>
      <xdr:row>985</xdr:row>
      <xdr:rowOff>63500</xdr:rowOff>
    </xdr:from>
    <xdr:to>
      <xdr:col>7</xdr:col>
      <xdr:colOff>577850</xdr:colOff>
      <xdr:row>1000</xdr:row>
      <xdr:rowOff>44450</xdr:rowOff>
    </xdr:to>
    <xdr:graphicFrame macro="">
      <xdr:nvGraphicFramePr>
        <xdr:cNvPr id="7" name="Chart 6">
          <a:extLst>
            <a:ext uri="{FF2B5EF4-FFF2-40B4-BE49-F238E27FC236}">
              <a16:creationId xmlns:a16="http://schemas.microsoft.com/office/drawing/2014/main" id="{88DA742E-FDF9-DEAA-98C3-005877E5E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101600</xdr:colOff>
      <xdr:row>986</xdr:row>
      <xdr:rowOff>31750</xdr:rowOff>
    </xdr:from>
    <xdr:to>
      <xdr:col>7</xdr:col>
      <xdr:colOff>730250</xdr:colOff>
      <xdr:row>1001</xdr:row>
      <xdr:rowOff>12700</xdr:rowOff>
    </xdr:to>
    <xdr:graphicFrame macro="">
      <xdr:nvGraphicFramePr>
        <xdr:cNvPr id="8" name="Chart 7">
          <a:extLst>
            <a:ext uri="{FF2B5EF4-FFF2-40B4-BE49-F238E27FC236}">
              <a16:creationId xmlns:a16="http://schemas.microsoft.com/office/drawing/2014/main" id="{8E54E817-414B-8B36-B5D8-99BD44122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1</xdr:row>
      <xdr:rowOff>133350</xdr:rowOff>
    </xdr:from>
    <xdr:to>
      <xdr:col>7</xdr:col>
      <xdr:colOff>361950</xdr:colOff>
      <xdr:row>16</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3F645B3-70E7-4D2C-ACAD-62DC713A0C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50" y="3175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2</xdr:row>
      <xdr:rowOff>0</xdr:rowOff>
    </xdr:from>
    <xdr:to>
      <xdr:col>15</xdr:col>
      <xdr:colOff>283882</xdr:colOff>
      <xdr:row>16</xdr:row>
      <xdr:rowOff>128494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7E997BD-7982-4BBB-83F0-6778E19466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76800" y="368300"/>
              <a:ext cx="4551082" cy="27065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2</xdr:row>
      <xdr:rowOff>0</xdr:rowOff>
    </xdr:from>
    <xdr:to>
      <xdr:col>24</xdr:col>
      <xdr:colOff>283882</xdr:colOff>
      <xdr:row>34</xdr:row>
      <xdr:rowOff>44825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E20C3D4-58D9-4FF3-B8B7-8A430808A9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363200" y="368300"/>
              <a:ext cx="4551082" cy="5937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23</xdr:row>
      <xdr:rowOff>0</xdr:rowOff>
    </xdr:from>
    <xdr:to>
      <xdr:col>7</xdr:col>
      <xdr:colOff>317500</xdr:colOff>
      <xdr:row>38</xdr:row>
      <xdr:rowOff>21771</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6AC3311-CDCA-4C30-8E00-C432A3B886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235450"/>
              <a:ext cx="4584700" cy="27840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36285</xdr:rowOff>
    </xdr:from>
    <xdr:to>
      <xdr:col>3</xdr:col>
      <xdr:colOff>5443</xdr:colOff>
      <xdr:row>21</xdr:row>
      <xdr:rowOff>90714</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0EEEE8A3-6E71-4B46-9260-1C44DE2F775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868714"/>
              <a:ext cx="1828800" cy="2050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17075</xdr:colOff>
      <xdr:row>10</xdr:row>
      <xdr:rowOff>12805</xdr:rowOff>
    </xdr:from>
    <xdr:to>
      <xdr:col>15</xdr:col>
      <xdr:colOff>74705</xdr:colOff>
      <xdr:row>32</xdr:row>
      <xdr:rowOff>7470</xdr:rowOff>
    </xdr:to>
    <xdr:graphicFrame macro="">
      <xdr:nvGraphicFramePr>
        <xdr:cNvPr id="3" name="Chart 2">
          <a:extLst>
            <a:ext uri="{FF2B5EF4-FFF2-40B4-BE49-F238E27FC236}">
              <a16:creationId xmlns:a16="http://schemas.microsoft.com/office/drawing/2014/main" id="{D4CF96C4-DBB7-4D04-8A43-4D08F5A71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96051</xdr:colOff>
      <xdr:row>10</xdr:row>
      <xdr:rowOff>37354</xdr:rowOff>
    </xdr:from>
    <xdr:to>
      <xdr:col>26</xdr:col>
      <xdr:colOff>605118</xdr:colOff>
      <xdr:row>32</xdr:row>
      <xdr:rowOff>52294</xdr:rowOff>
    </xdr:to>
    <xdr:graphicFrame macro="">
      <xdr:nvGraphicFramePr>
        <xdr:cNvPr id="4" name="Chart 3">
          <a:extLst>
            <a:ext uri="{FF2B5EF4-FFF2-40B4-BE49-F238E27FC236}">
              <a16:creationId xmlns:a16="http://schemas.microsoft.com/office/drawing/2014/main" id="{E1980342-D9FF-41A9-B47D-311A0F28D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181427</xdr:rowOff>
    </xdr:from>
    <xdr:to>
      <xdr:col>3</xdr:col>
      <xdr:colOff>5443</xdr:colOff>
      <xdr:row>32</xdr:row>
      <xdr:rowOff>18142</xdr:rowOff>
    </xdr:to>
    <mc:AlternateContent xmlns:mc="http://schemas.openxmlformats.org/markup-compatibility/2006" xmlns:a14="http://schemas.microsoft.com/office/drawing/2010/main">
      <mc:Choice Requires="a14">
        <xdr:graphicFrame macro="">
          <xdr:nvGraphicFramePr>
            <xdr:cNvPr id="5" name="Property_Type">
              <a:extLst>
                <a:ext uri="{FF2B5EF4-FFF2-40B4-BE49-F238E27FC236}">
                  <a16:creationId xmlns:a16="http://schemas.microsoft.com/office/drawing/2014/main" id="{2D12F385-451A-491F-9AEF-EF8EFC029BFF}"/>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0" y="4009571"/>
              <a:ext cx="1828800" cy="1723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10138</xdr:colOff>
      <xdr:row>32</xdr:row>
      <xdr:rowOff>12645</xdr:rowOff>
    </xdr:from>
    <xdr:to>
      <xdr:col>15</xdr:col>
      <xdr:colOff>97116</xdr:colOff>
      <xdr:row>51</xdr:row>
      <xdr:rowOff>112059</xdr:rowOff>
    </xdr:to>
    <xdr:graphicFrame macro="">
      <xdr:nvGraphicFramePr>
        <xdr:cNvPr id="6" name="Chart 5">
          <a:extLst>
            <a:ext uri="{FF2B5EF4-FFF2-40B4-BE49-F238E27FC236}">
              <a16:creationId xmlns:a16="http://schemas.microsoft.com/office/drawing/2014/main" id="{2AB1D87D-34C2-4E60-887F-604B66EF6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32</xdr:row>
      <xdr:rowOff>9073</xdr:rowOff>
    </xdr:from>
    <xdr:to>
      <xdr:col>3</xdr:col>
      <xdr:colOff>5443</xdr:colOff>
      <xdr:row>43</xdr:row>
      <xdr:rowOff>63500</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7C0DE6A0-4FCF-48FF-A3AA-3B12A1BA64D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5790416"/>
              <a:ext cx="1825144" cy="2035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22412</xdr:colOff>
      <xdr:row>43</xdr:row>
      <xdr:rowOff>59765</xdr:rowOff>
    </xdr:from>
    <xdr:to>
      <xdr:col>3</xdr:col>
      <xdr:colOff>13447</xdr:colOff>
      <xdr:row>51</xdr:row>
      <xdr:rowOff>112059</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B37199AF-FC5E-40E2-836E-788FBE6096B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2412" y="7821929"/>
              <a:ext cx="1810736" cy="1492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112059</xdr:colOff>
      <xdr:row>32</xdr:row>
      <xdr:rowOff>37352</xdr:rowOff>
    </xdr:from>
    <xdr:to>
      <xdr:col>26</xdr:col>
      <xdr:colOff>597647</xdr:colOff>
      <xdr:row>51</xdr:row>
      <xdr:rowOff>112059</xdr:rowOff>
    </xdr:to>
    <xdr:graphicFrame macro="">
      <xdr:nvGraphicFramePr>
        <xdr:cNvPr id="9" name="Chart 8">
          <a:extLst>
            <a:ext uri="{FF2B5EF4-FFF2-40B4-BE49-F238E27FC236}">
              <a16:creationId xmlns:a16="http://schemas.microsoft.com/office/drawing/2014/main" id="{F8F4C902-9E31-420E-A203-403668655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52</xdr:row>
      <xdr:rowOff>0</xdr:rowOff>
    </xdr:from>
    <xdr:to>
      <xdr:col>2</xdr:col>
      <xdr:colOff>603624</xdr:colOff>
      <xdr:row>63</xdr:row>
      <xdr:rowOff>44823</xdr:rowOff>
    </xdr:to>
    <mc:AlternateContent xmlns:mc="http://schemas.openxmlformats.org/markup-compatibility/2006" xmlns:a14="http://schemas.microsoft.com/office/drawing/2010/main">
      <mc:Choice Requires="a14">
        <xdr:graphicFrame macro="">
          <xdr:nvGraphicFramePr>
            <xdr:cNvPr id="10" name="City 2">
              <a:extLst>
                <a:ext uri="{FF2B5EF4-FFF2-40B4-BE49-F238E27FC236}">
                  <a16:creationId xmlns:a16="http://schemas.microsoft.com/office/drawing/2014/main" id="{BA62C38E-0BFF-4CB5-8FE6-12340E7BC64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9382836"/>
              <a:ext cx="1816758" cy="2025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29882</xdr:colOff>
      <xdr:row>63</xdr:row>
      <xdr:rowOff>74704</xdr:rowOff>
    </xdr:from>
    <xdr:to>
      <xdr:col>3</xdr:col>
      <xdr:colOff>20917</xdr:colOff>
      <xdr:row>74</xdr:row>
      <xdr:rowOff>119529</xdr:rowOff>
    </xdr:to>
    <mc:AlternateContent xmlns:mc="http://schemas.openxmlformats.org/markup-compatibility/2006" xmlns:a14="http://schemas.microsoft.com/office/drawing/2010/main">
      <mc:Choice Requires="a14">
        <xdr:graphicFrame macro="">
          <xdr:nvGraphicFramePr>
            <xdr:cNvPr id="11" name="District">
              <a:extLst>
                <a:ext uri="{FF2B5EF4-FFF2-40B4-BE49-F238E27FC236}">
                  <a16:creationId xmlns:a16="http://schemas.microsoft.com/office/drawing/2014/main" id="{E1FDE865-B0A9-4EB0-BA2C-0A9DE7FE0978}"/>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29882" y="11438361"/>
              <a:ext cx="1810736" cy="2025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7470</xdr:colOff>
      <xdr:row>51</xdr:row>
      <xdr:rowOff>127001</xdr:rowOff>
    </xdr:from>
    <xdr:to>
      <xdr:col>16</xdr:col>
      <xdr:colOff>134470</xdr:colOff>
      <xdr:row>74</xdr:row>
      <xdr:rowOff>112059</xdr:rowOff>
    </xdr:to>
    <xdr:graphicFrame macro="">
      <xdr:nvGraphicFramePr>
        <xdr:cNvPr id="12" name="Chart 11">
          <a:extLst>
            <a:ext uri="{FF2B5EF4-FFF2-40B4-BE49-F238E27FC236}">
              <a16:creationId xmlns:a16="http://schemas.microsoft.com/office/drawing/2014/main" id="{6FE43265-E025-4716-A635-6A1D270CF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119528</xdr:colOff>
      <xdr:row>51</xdr:row>
      <xdr:rowOff>112058</xdr:rowOff>
    </xdr:from>
    <xdr:to>
      <xdr:col>27</xdr:col>
      <xdr:colOff>14941</xdr:colOff>
      <xdr:row>74</xdr:row>
      <xdr:rowOff>119530</xdr:rowOff>
    </xdr:to>
    <xdr:graphicFrame macro="">
      <xdr:nvGraphicFramePr>
        <xdr:cNvPr id="13" name="Chart 12">
          <a:extLst>
            <a:ext uri="{FF2B5EF4-FFF2-40B4-BE49-F238E27FC236}">
              <a16:creationId xmlns:a16="http://schemas.microsoft.com/office/drawing/2014/main" id="{5077C409-91B8-486B-B04B-09D2F9F34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72</xdr:row>
      <xdr:rowOff>0</xdr:rowOff>
    </xdr:from>
    <xdr:to>
      <xdr:col>6</xdr:col>
      <xdr:colOff>0</xdr:colOff>
      <xdr:row>90</xdr:row>
      <xdr:rowOff>0</xdr:rowOff>
    </xdr:to>
    <xdr:graphicFrame macro="">
      <xdr:nvGraphicFramePr>
        <xdr:cNvPr id="2" name="Chart 1">
          <a:extLst>
            <a:ext uri="{FF2B5EF4-FFF2-40B4-BE49-F238E27FC236}">
              <a16:creationId xmlns:a16="http://schemas.microsoft.com/office/drawing/2014/main" id="{55FC3FCB-C9EA-9706-FC41-EB50E184C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72</xdr:row>
      <xdr:rowOff>0</xdr:rowOff>
    </xdr:from>
    <xdr:to>
      <xdr:col>12</xdr:col>
      <xdr:colOff>0</xdr:colOff>
      <xdr:row>90</xdr:row>
      <xdr:rowOff>0</xdr:rowOff>
    </xdr:to>
    <xdr:graphicFrame macro="">
      <xdr:nvGraphicFramePr>
        <xdr:cNvPr id="3" name="Chart 2">
          <a:extLst>
            <a:ext uri="{FF2B5EF4-FFF2-40B4-BE49-F238E27FC236}">
              <a16:creationId xmlns:a16="http://schemas.microsoft.com/office/drawing/2014/main" id="{2DA28C24-07CA-6B92-A975-E3639D701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91</xdr:row>
      <xdr:rowOff>0</xdr:rowOff>
    </xdr:from>
    <xdr:to>
      <xdr:col>6</xdr:col>
      <xdr:colOff>0</xdr:colOff>
      <xdr:row>109</xdr:row>
      <xdr:rowOff>0</xdr:rowOff>
    </xdr:to>
    <xdr:graphicFrame macro="">
      <xdr:nvGraphicFramePr>
        <xdr:cNvPr id="4" name="Chart 3">
          <a:extLst>
            <a:ext uri="{FF2B5EF4-FFF2-40B4-BE49-F238E27FC236}">
              <a16:creationId xmlns:a16="http://schemas.microsoft.com/office/drawing/2014/main" id="{53331EE9-AD7F-01A8-A70B-F5919B279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91</xdr:row>
      <xdr:rowOff>0</xdr:rowOff>
    </xdr:from>
    <xdr:to>
      <xdr:col>12</xdr:col>
      <xdr:colOff>0</xdr:colOff>
      <xdr:row>109</xdr:row>
      <xdr:rowOff>0</xdr:rowOff>
    </xdr:to>
    <xdr:graphicFrame macro="">
      <xdr:nvGraphicFramePr>
        <xdr:cNvPr id="5" name="Chart 4">
          <a:extLst>
            <a:ext uri="{FF2B5EF4-FFF2-40B4-BE49-F238E27FC236}">
              <a16:creationId xmlns:a16="http://schemas.microsoft.com/office/drawing/2014/main" id="{C9539149-58AB-8B96-47B3-35A8F4D9A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110</xdr:row>
      <xdr:rowOff>0</xdr:rowOff>
    </xdr:from>
    <xdr:to>
      <xdr:col>6</xdr:col>
      <xdr:colOff>0</xdr:colOff>
      <xdr:row>128</xdr:row>
      <xdr:rowOff>0</xdr:rowOff>
    </xdr:to>
    <xdr:graphicFrame macro="">
      <xdr:nvGraphicFramePr>
        <xdr:cNvPr id="6" name="Chart 5">
          <a:extLst>
            <a:ext uri="{FF2B5EF4-FFF2-40B4-BE49-F238E27FC236}">
              <a16:creationId xmlns:a16="http://schemas.microsoft.com/office/drawing/2014/main" id="{8797A3AA-E087-CCAC-47AC-E29E3932F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110</xdr:row>
      <xdr:rowOff>0</xdr:rowOff>
    </xdr:from>
    <xdr:to>
      <xdr:col>12</xdr:col>
      <xdr:colOff>0</xdr:colOff>
      <xdr:row>128</xdr:row>
      <xdr:rowOff>0</xdr:rowOff>
    </xdr:to>
    <xdr:graphicFrame macro="">
      <xdr:nvGraphicFramePr>
        <xdr:cNvPr id="7" name="Chart 6">
          <a:extLst>
            <a:ext uri="{FF2B5EF4-FFF2-40B4-BE49-F238E27FC236}">
              <a16:creationId xmlns:a16="http://schemas.microsoft.com/office/drawing/2014/main" id="{B7B54380-5E3A-6961-0BAA-1088675B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Bisht" refreshedDate="46161.097598611108" createdVersion="8" refreshedVersion="8" minRefreshableVersion="3" recordCount="1000" xr:uid="{BC7A92DD-610F-4CD1-A17B-3D6EA3D8D132}">
  <cacheSource type="worksheet">
    <worksheetSource name="Table1"/>
  </cacheSource>
  <cacheFields count="25">
    <cacheField name="Property_Id" numFmtId="0">
      <sharedItems/>
    </cacheField>
    <cacheField name="City" numFmtId="0">
      <sharedItems count="6">
        <s v="Chennai"/>
        <s v="Mumbai"/>
        <s v="Pune"/>
        <s v="Bangalore"/>
        <s v="Hyderabad"/>
        <s v="Delhi"/>
      </sharedItems>
    </cacheField>
    <cacheField name="District" numFmtId="0">
      <sharedItems count="36">
        <s v="Anna Nagar"/>
        <s v="Bandra"/>
        <s v="Viman Nagar"/>
        <s v="Indiranagar"/>
        <s v="Jubilee Hills"/>
        <s v="Marathahalli"/>
        <s v="Madhapur"/>
        <s v="T Nagar"/>
        <s v="Thiruvanmiyur"/>
        <s v="Kilpauk"/>
        <s v="Gurgaon"/>
        <s v="South Delhi"/>
        <s v="Kondapur"/>
        <s v="Noida"/>
        <s v="Rohini"/>
        <s v="Koramangala"/>
        <s v="Dwarka"/>
        <s v="Jayanagar"/>
        <s v="Besant Nagar"/>
        <s v="Pitampura"/>
        <s v="Borivali"/>
        <s v="Dadar"/>
        <s v="Magarpatta"/>
        <s v="Navi Mumbai"/>
        <s v="Andheri"/>
        <s v="Camp"/>
        <s v="Baner"/>
        <s v="HSR Layout"/>
        <s v="South Mumbai"/>
        <s v="Gachibowli"/>
        <s v="Banjara Hills"/>
        <s v="HITEC City"/>
        <s v="Hinjewadi"/>
        <s v="Kondhwa"/>
        <s v="Velachery"/>
        <s v="Whitefield"/>
      </sharedItems>
    </cacheField>
    <cacheField name="Property_Type" numFmtId="0">
      <sharedItems count="5">
        <s v="Apartment"/>
        <s v="Studio"/>
        <s v="Independent House"/>
        <s v="Villa"/>
        <s v="Penthouse"/>
      </sharedItems>
    </cacheField>
    <cacheField name="Built_Up_Area_Sqft" numFmtId="0">
      <sharedItems containsSemiMixedTypes="0" containsString="0" containsNumber="1" containsInteger="1" minValue="252" maxValue="9997"/>
    </cacheField>
    <cacheField name="Price_Inr" numFmtId="164">
      <sharedItems containsSemiMixedTypes="0" containsString="0" containsNumber="1" containsInteger="1" minValue="10000000" maxValue="50000000"/>
    </cacheField>
    <cacheField name="Price_Per_Sqft_Inr" numFmtId="164">
      <sharedItems containsSemiMixedTypes="0" containsString="0" containsNumber="1" containsInteger="1" minValue="1001" maxValue="183885"/>
    </cacheField>
    <cacheField name="Bedrooms" numFmtId="0">
      <sharedItems containsSemiMixedTypes="0" containsString="0" containsNumber="1" containsInteger="1" minValue="0" maxValue="6"/>
    </cacheField>
    <cacheField name="Bathrooms" numFmtId="0">
      <sharedItems containsSemiMixedTypes="0" containsString="0" containsNumber="1" containsInteger="1" minValue="1" maxValue="4"/>
    </cacheField>
    <cacheField name="Age_Years" numFmtId="0">
      <sharedItems containsSemiMixedTypes="0" containsString="0" containsNumber="1" containsInteger="1" minValue="0" maxValue="30"/>
    </cacheField>
    <cacheField name="Facing" numFmtId="0">
      <sharedItems/>
    </cacheField>
    <cacheField name="Amenities" numFmtId="0">
      <sharedItems/>
    </cacheField>
    <cacheField name="Amenities_Count" numFmtId="0">
      <sharedItems containsSemiMixedTypes="0" containsString="0" containsNumber="1" containsInteger="1" minValue="3" maxValue="8"/>
    </cacheField>
    <cacheField name="Walkability_Score" numFmtId="0">
      <sharedItems containsSemiMixedTypes="0" containsString="0" containsNumber="1" containsInteger="1" minValue="4" maxValue="10"/>
    </cacheField>
    <cacheField name="Monthly_Rental_Estimate_Inr" numFmtId="0">
      <sharedItems containsSemiMixedTypes="0" containsString="0" containsNumber="1" containsInteger="1" minValue="25201" maxValue="207519"/>
    </cacheField>
    <cacheField name="Annual_Rental_Yield_Pct" numFmtId="0">
      <sharedItems containsSemiMixedTypes="0" containsString="0" containsNumber="1" minValue="3" maxValue="5"/>
    </cacheField>
    <cacheField name="Price_Category" numFmtId="0">
      <sharedItems/>
    </cacheField>
    <cacheField name="Estimated_Roi_5Yr_Pct" numFmtId="10">
      <sharedItems containsSemiMixedTypes="0" containsString="0" containsNumber="1" minValue="0.40009999999999996" maxValue="0.49979999999999997"/>
    </cacheField>
    <cacheField name="Listing_Date" numFmtId="14">
      <sharedItems containsSemiMixedTypes="0" containsNonDate="0" containsDate="1" containsString="0" minDate="2024-05-14T00:00:00" maxDate="2026-05-15T00:00:00"/>
    </cacheField>
    <cacheField name="Days_On_Market" numFmtId="0">
      <sharedItems containsSemiMixedTypes="0" containsString="0" containsNumber="1" containsInteger="1" minValue="1" maxValue="365"/>
    </cacheField>
    <cacheField name="Status" numFmtId="0">
      <sharedItems count="3">
        <s v="Available"/>
        <s v="Rented"/>
        <s v="Sold"/>
      </sharedItems>
    </cacheField>
    <cacheField name="Registration_Days" numFmtId="0">
      <sharedItems containsSemiMixedTypes="0" containsString="0" containsNumber="1" containsInteger="1" minValue="30" maxValue="180"/>
    </cacheField>
    <cacheField name="Is_Gated_Community" numFmtId="0">
      <sharedItems count="2">
        <b v="1"/>
        <b v="0"/>
      </sharedItems>
    </cacheField>
    <cacheField name="Has_Maintenance_Fee" numFmtId="0">
      <sharedItems/>
    </cacheField>
    <cacheField name="Monthly_Maintenance_Inr" numFmtId="0">
      <sharedItems containsSemiMixedTypes="0" containsString="0" containsNumber="1" containsInteger="1" minValue="0" maxValue="100000"/>
    </cacheField>
  </cacheFields>
  <extLst>
    <ext xmlns:x14="http://schemas.microsoft.com/office/spreadsheetml/2009/9/main" uri="{725AE2AE-9491-48be-B2B4-4EB974FC3084}">
      <x14:pivotCacheDefinition pivotCacheId="1835156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ROP00001"/>
    <x v="0"/>
    <x v="0"/>
    <x v="0"/>
    <n v="1526"/>
    <n v="10000000"/>
    <n v="6553"/>
    <n v="2"/>
    <n v="1"/>
    <n v="4"/>
    <s v="West"/>
    <s v="Pool; AC; Elevator; Security; Garden; Gym; Library; Playground"/>
    <n v="8"/>
    <n v="9"/>
    <n v="35033"/>
    <n v="4.2"/>
    <s v="Premium"/>
    <n v="0.46020000000000005"/>
    <d v="2024-10-17T00:00:00"/>
    <n v="215"/>
    <x v="0"/>
    <n v="169"/>
    <x v="0"/>
    <b v="0"/>
    <n v="0"/>
  </r>
  <r>
    <s v="PROP00002"/>
    <x v="1"/>
    <x v="1"/>
    <x v="1"/>
    <n v="424"/>
    <n v="50000000"/>
    <n v="117924"/>
    <n v="1"/>
    <n v="1"/>
    <n v="6"/>
    <s v="South-East"/>
    <s v="Pool; Elevator; Library; Gym; Parking"/>
    <n v="5"/>
    <n v="7"/>
    <n v="192260"/>
    <n v="4.6100000000000003"/>
    <s v="Luxury"/>
    <n v="0.48070000000000002"/>
    <d v="2025-01-29T00:00:00"/>
    <n v="283"/>
    <x v="0"/>
    <n v="50"/>
    <x v="1"/>
    <b v="0"/>
    <n v="100000"/>
  </r>
  <r>
    <s v="PROP00003"/>
    <x v="0"/>
    <x v="0"/>
    <x v="0"/>
    <n v="1333"/>
    <n v="10000000"/>
    <n v="7501"/>
    <n v="3"/>
    <n v="1"/>
    <n v="27"/>
    <s v="South-East"/>
    <s v="Pool; Library; Security; Garden"/>
    <n v="4"/>
    <n v="9"/>
    <n v="30921"/>
    <n v="3.71"/>
    <s v="Premium"/>
    <n v="0.4355"/>
    <d v="2024-06-27T00:00:00"/>
    <n v="312"/>
    <x v="0"/>
    <n v="48"/>
    <x v="0"/>
    <b v="1"/>
    <n v="20000"/>
  </r>
  <r>
    <s v="PROP00004"/>
    <x v="2"/>
    <x v="2"/>
    <x v="2"/>
    <n v="4121"/>
    <n v="15000000"/>
    <n v="3639"/>
    <n v="3"/>
    <n v="2"/>
    <n v="26"/>
    <s v="South-West"/>
    <s v="Garden; Gym; Playground"/>
    <n v="3"/>
    <n v="6"/>
    <n v="42774"/>
    <n v="3.42"/>
    <s v="Premium"/>
    <n v="0.42109999999999997"/>
    <d v="2024-10-11T00:00:00"/>
    <n v="336"/>
    <x v="1"/>
    <n v="84"/>
    <x v="1"/>
    <b v="0"/>
    <n v="0"/>
  </r>
  <r>
    <s v="PROP00005"/>
    <x v="3"/>
    <x v="3"/>
    <x v="3"/>
    <n v="4020"/>
    <n v="30000000"/>
    <n v="7462"/>
    <n v="5"/>
    <n v="3"/>
    <n v="28"/>
    <s v="North"/>
    <s v="Library; Playground; Garden; Pool; Security; Concierge; Gym"/>
    <n v="7"/>
    <n v="7"/>
    <n v="82642"/>
    <n v="3.31"/>
    <s v="Luxury"/>
    <n v="0.4153"/>
    <d v="2025-12-02T00:00:00"/>
    <n v="198"/>
    <x v="2"/>
    <n v="46"/>
    <x v="1"/>
    <b v="0"/>
    <n v="0"/>
  </r>
  <r>
    <s v="PROP00006"/>
    <x v="4"/>
    <x v="4"/>
    <x v="0"/>
    <n v="2599"/>
    <n v="12000000"/>
    <n v="4617"/>
    <n v="3"/>
    <n v="2"/>
    <n v="3"/>
    <s v="North-East"/>
    <s v="Library; Parking; Concierge; Gym; Playground"/>
    <n v="5"/>
    <n v="10"/>
    <n v="45239"/>
    <n v="4.5199999999999996"/>
    <s v="Premium"/>
    <n v="0.47619999999999996"/>
    <d v="2024-12-11T00:00:00"/>
    <n v="328"/>
    <x v="1"/>
    <n v="106"/>
    <x v="0"/>
    <b v="1"/>
    <n v="0"/>
  </r>
  <r>
    <s v="PROP00007"/>
    <x v="3"/>
    <x v="5"/>
    <x v="4"/>
    <n v="3004"/>
    <n v="30000000"/>
    <n v="9986"/>
    <n v="6"/>
    <n v="4"/>
    <n v="15"/>
    <s v="West"/>
    <s v="Pool; Playground; Security"/>
    <n v="3"/>
    <n v="7"/>
    <n v="118900"/>
    <n v="4.76"/>
    <s v="Luxury"/>
    <n v="0.48780000000000001"/>
    <d v="2026-02-23T00:00:00"/>
    <n v="273"/>
    <x v="0"/>
    <n v="47"/>
    <x v="0"/>
    <b v="1"/>
    <n v="0"/>
  </r>
  <r>
    <s v="PROP00008"/>
    <x v="4"/>
    <x v="6"/>
    <x v="2"/>
    <n v="3661"/>
    <n v="12000000"/>
    <n v="3277"/>
    <n v="5"/>
    <n v="2"/>
    <n v="29"/>
    <s v="North-West"/>
    <s v="Garden; Security; Library; Playground; Concierge; Parking; Elevator"/>
    <n v="7"/>
    <n v="8"/>
    <n v="34493"/>
    <n v="3.45"/>
    <s v="Premium"/>
    <n v="0.42249999999999999"/>
    <d v="2025-06-02T00:00:00"/>
    <n v="302"/>
    <x v="0"/>
    <n v="88"/>
    <x v="0"/>
    <b v="1"/>
    <n v="24000"/>
  </r>
  <r>
    <s v="PROP00009"/>
    <x v="0"/>
    <x v="7"/>
    <x v="0"/>
    <n v="1337"/>
    <n v="10000000"/>
    <n v="7479"/>
    <n v="1"/>
    <n v="1"/>
    <n v="27"/>
    <s v="North-West"/>
    <s v="Pool; AC; Garden; Parking; Playground"/>
    <n v="5"/>
    <n v="5"/>
    <n v="27205"/>
    <n v="3.26"/>
    <s v="Premium"/>
    <n v="0.41320000000000001"/>
    <d v="2024-10-07T00:00:00"/>
    <n v="209"/>
    <x v="0"/>
    <n v="151"/>
    <x v="0"/>
    <b v="1"/>
    <n v="20000"/>
  </r>
  <r>
    <s v="PROP00010"/>
    <x v="0"/>
    <x v="8"/>
    <x v="2"/>
    <n v="3234"/>
    <n v="10000000"/>
    <n v="3092"/>
    <n v="5"/>
    <n v="3"/>
    <n v="27"/>
    <s v="West"/>
    <s v="Gym; Pool; Elevator; Garden; Playground; Parking; Concierge; Library"/>
    <n v="8"/>
    <n v="7"/>
    <n v="32476"/>
    <n v="3.9"/>
    <s v="Premium"/>
    <n v="0.44490000000000002"/>
    <d v="2025-03-08T00:00:00"/>
    <n v="39"/>
    <x v="0"/>
    <n v="93"/>
    <x v="1"/>
    <b v="1"/>
    <n v="20000"/>
  </r>
  <r>
    <s v="PROP00011"/>
    <x v="0"/>
    <x v="9"/>
    <x v="0"/>
    <n v="782"/>
    <n v="10000000"/>
    <n v="12787"/>
    <n v="2"/>
    <n v="1"/>
    <n v="13"/>
    <s v="North"/>
    <s v="Concierge; Garden; Library; Gym; Pool; AC"/>
    <n v="6"/>
    <n v="9"/>
    <n v="29420"/>
    <n v="3.53"/>
    <s v="Premium"/>
    <n v="0.42649999999999999"/>
    <d v="2025-02-03T00:00:00"/>
    <n v="339"/>
    <x v="0"/>
    <n v="172"/>
    <x v="1"/>
    <b v="1"/>
    <n v="20000"/>
  </r>
  <r>
    <s v="PROP00012"/>
    <x v="5"/>
    <x v="10"/>
    <x v="0"/>
    <n v="2772"/>
    <n v="40000000"/>
    <n v="14430"/>
    <n v="1"/>
    <n v="2"/>
    <n v="1"/>
    <s v="North"/>
    <s v="Elevator; Concierge; Parking"/>
    <n v="3"/>
    <n v="4"/>
    <n v="105340"/>
    <n v="3.16"/>
    <s v="Luxury"/>
    <n v="0.40799999999999997"/>
    <d v="2025-11-05T00:00:00"/>
    <n v="207"/>
    <x v="0"/>
    <n v="90"/>
    <x v="0"/>
    <b v="1"/>
    <n v="80000"/>
  </r>
  <r>
    <s v="PROP00013"/>
    <x v="4"/>
    <x v="4"/>
    <x v="1"/>
    <n v="586"/>
    <n v="12000000"/>
    <n v="20477"/>
    <n v="1"/>
    <n v="2"/>
    <n v="6"/>
    <s v="South"/>
    <s v="Playground; Garden; Security; AC; Pool; Parking; Library; Elevator"/>
    <n v="8"/>
    <n v="4"/>
    <n v="42423"/>
    <n v="4.24"/>
    <s v="Premium"/>
    <n v="0.46210000000000001"/>
    <d v="2024-10-15T00:00:00"/>
    <n v="110"/>
    <x v="1"/>
    <n v="167"/>
    <x v="1"/>
    <b v="1"/>
    <n v="0"/>
  </r>
  <r>
    <s v="PROP00014"/>
    <x v="1"/>
    <x v="1"/>
    <x v="2"/>
    <n v="2667"/>
    <n v="50000000"/>
    <n v="18747"/>
    <n v="3"/>
    <n v="2"/>
    <n v="26"/>
    <s v="East"/>
    <s v="Security; AC; Gym; Playground; Elevator; Parking; Concierge"/>
    <n v="7"/>
    <n v="6"/>
    <n v="199142"/>
    <n v="4.78"/>
    <s v="Luxury"/>
    <n v="0.48899999999999999"/>
    <d v="2024-10-25T00:00:00"/>
    <n v="176"/>
    <x v="0"/>
    <n v="83"/>
    <x v="0"/>
    <b v="0"/>
    <n v="0"/>
  </r>
  <r>
    <s v="PROP00015"/>
    <x v="5"/>
    <x v="11"/>
    <x v="0"/>
    <n v="2998"/>
    <n v="40000000"/>
    <n v="13342"/>
    <n v="4"/>
    <n v="3"/>
    <n v="1"/>
    <s v="East"/>
    <s v="Playground; Parking; Security"/>
    <n v="3"/>
    <n v="4"/>
    <n v="136778"/>
    <n v="4.0999999999999996"/>
    <s v="Luxury"/>
    <n v="0.45520000000000005"/>
    <d v="2025-03-03T00:00:00"/>
    <n v="354"/>
    <x v="0"/>
    <n v="49"/>
    <x v="0"/>
    <b v="1"/>
    <n v="0"/>
  </r>
  <r>
    <s v="PROP00016"/>
    <x v="4"/>
    <x v="12"/>
    <x v="3"/>
    <n v="5520"/>
    <n v="12000000"/>
    <n v="2173"/>
    <n v="4"/>
    <n v="2"/>
    <n v="9"/>
    <s v="South"/>
    <s v="Gym; Playground; Garden; AC; Pool"/>
    <n v="5"/>
    <n v="9"/>
    <n v="41197"/>
    <n v="4.12"/>
    <s v="Premium"/>
    <n v="0.45600000000000002"/>
    <d v="2025-03-24T00:00:00"/>
    <n v="122"/>
    <x v="1"/>
    <n v="69"/>
    <x v="0"/>
    <b v="1"/>
    <n v="0"/>
  </r>
  <r>
    <s v="PROP00017"/>
    <x v="1"/>
    <x v="1"/>
    <x v="2"/>
    <n v="4704"/>
    <n v="50000000"/>
    <n v="10629"/>
    <n v="5"/>
    <n v="2"/>
    <n v="8"/>
    <s v="North-West"/>
    <s v="Pool; Library; Gym; AC"/>
    <n v="4"/>
    <n v="10"/>
    <n v="193048"/>
    <n v="4.63"/>
    <s v="Luxury"/>
    <n v="0.48170000000000002"/>
    <d v="2025-01-28T00:00:00"/>
    <n v="115"/>
    <x v="0"/>
    <n v="88"/>
    <x v="0"/>
    <b v="1"/>
    <n v="0"/>
  </r>
  <r>
    <s v="PROP00018"/>
    <x v="5"/>
    <x v="13"/>
    <x v="0"/>
    <n v="1543"/>
    <n v="40000000"/>
    <n v="25923"/>
    <n v="3"/>
    <n v="2"/>
    <n v="21"/>
    <s v="North"/>
    <s v="Playground; Gym; Pool; Parking; Concierge; Security; Library"/>
    <n v="7"/>
    <n v="8"/>
    <n v="128970"/>
    <n v="3.87"/>
    <s v="Luxury"/>
    <n v="0.44350000000000001"/>
    <d v="2025-06-27T00:00:00"/>
    <n v="198"/>
    <x v="0"/>
    <n v="59"/>
    <x v="0"/>
    <b v="0"/>
    <n v="80000"/>
  </r>
  <r>
    <s v="PROP00019"/>
    <x v="0"/>
    <x v="8"/>
    <x v="0"/>
    <n v="2529"/>
    <n v="10000000"/>
    <n v="3954"/>
    <n v="2"/>
    <n v="2"/>
    <n v="13"/>
    <s v="North-East"/>
    <s v="Playground; Elevator; Pool"/>
    <n v="3"/>
    <n v="6"/>
    <n v="36114"/>
    <n v="4.33"/>
    <s v="Premium"/>
    <n v="0.4667"/>
    <d v="2025-06-14T00:00:00"/>
    <n v="66"/>
    <x v="0"/>
    <n v="171"/>
    <x v="0"/>
    <b v="0"/>
    <n v="0"/>
  </r>
  <r>
    <s v="PROP00020"/>
    <x v="0"/>
    <x v="7"/>
    <x v="3"/>
    <n v="7042"/>
    <n v="10000000"/>
    <n v="1420"/>
    <n v="5"/>
    <n v="3"/>
    <n v="17"/>
    <s v="South-West"/>
    <s v="Security; Elevator; Garden"/>
    <n v="3"/>
    <n v="7"/>
    <n v="35111"/>
    <n v="4.21"/>
    <s v="Premium"/>
    <n v="0.4607"/>
    <d v="2025-06-19T00:00:00"/>
    <n v="262"/>
    <x v="0"/>
    <n v="84"/>
    <x v="1"/>
    <b v="1"/>
    <n v="20000"/>
  </r>
  <r>
    <s v="PROP00021"/>
    <x v="5"/>
    <x v="14"/>
    <x v="4"/>
    <n v="5745"/>
    <n v="40000000"/>
    <n v="6962"/>
    <n v="4"/>
    <n v="2"/>
    <n v="21"/>
    <s v="West"/>
    <s v="Garden; Elevator; Parking; Gym; Library"/>
    <n v="5"/>
    <n v="9"/>
    <n v="140751"/>
    <n v="4.22"/>
    <s v="Luxury"/>
    <n v="0.46110000000000001"/>
    <d v="2026-03-01T00:00:00"/>
    <n v="100"/>
    <x v="0"/>
    <n v="177"/>
    <x v="1"/>
    <b v="0"/>
    <n v="0"/>
  </r>
  <r>
    <s v="PROP00022"/>
    <x v="3"/>
    <x v="15"/>
    <x v="0"/>
    <n v="836"/>
    <n v="30000000"/>
    <n v="35885"/>
    <n v="4"/>
    <n v="2"/>
    <n v="5"/>
    <s v="North-West"/>
    <s v="AC; Concierge; Gym; Security; Pool; Elevator; Garden; Library"/>
    <n v="8"/>
    <n v="10"/>
    <n v="124394"/>
    <n v="4.9800000000000004"/>
    <s v="Luxury"/>
    <n v="0.49880000000000002"/>
    <d v="2024-09-12T00:00:00"/>
    <n v="314"/>
    <x v="0"/>
    <n v="143"/>
    <x v="1"/>
    <b v="0"/>
    <n v="60000"/>
  </r>
  <r>
    <s v="PROP00023"/>
    <x v="0"/>
    <x v="8"/>
    <x v="1"/>
    <n v="382"/>
    <n v="10000000"/>
    <n v="26178"/>
    <n v="0"/>
    <n v="2"/>
    <n v="24"/>
    <s v="North-East"/>
    <s v="Concierge; Garden; Security; AC; Gym; Parking; Pool"/>
    <n v="7"/>
    <n v="5"/>
    <n v="39883"/>
    <n v="4.79"/>
    <s v="Premium"/>
    <n v="0.48930000000000001"/>
    <d v="2026-02-21T00:00:00"/>
    <n v="356"/>
    <x v="0"/>
    <n v="128"/>
    <x v="0"/>
    <b v="1"/>
    <n v="20000"/>
  </r>
  <r>
    <s v="PROP00024"/>
    <x v="2"/>
    <x v="2"/>
    <x v="2"/>
    <n v="3722"/>
    <n v="15000000"/>
    <n v="4030"/>
    <n v="5"/>
    <n v="3"/>
    <n v="1"/>
    <s v="South-West"/>
    <s v="Library; Elevator; Gym; AC"/>
    <n v="4"/>
    <n v="10"/>
    <n v="61068"/>
    <n v="4.8899999999999997"/>
    <s v="Premium"/>
    <n v="0.49430000000000002"/>
    <d v="2025-07-13T00:00:00"/>
    <n v="276"/>
    <x v="2"/>
    <n v="137"/>
    <x v="0"/>
    <b v="0"/>
    <n v="30000"/>
  </r>
  <r>
    <s v="PROP00025"/>
    <x v="5"/>
    <x v="16"/>
    <x v="1"/>
    <n v="264"/>
    <n v="26959771"/>
    <n v="102120"/>
    <n v="1"/>
    <n v="2"/>
    <n v="21"/>
    <s v="North"/>
    <s v="Library; Parking; Concierge; Pool; Security; Playground; Gym; Elevator"/>
    <n v="8"/>
    <n v="6"/>
    <n v="86658"/>
    <n v="3.86"/>
    <s v="Luxury"/>
    <n v="0.44290000000000002"/>
    <d v="2025-01-27T00:00:00"/>
    <n v="168"/>
    <x v="0"/>
    <n v="127"/>
    <x v="0"/>
    <b v="0"/>
    <n v="0"/>
  </r>
  <r>
    <s v="PROP00026"/>
    <x v="5"/>
    <x v="16"/>
    <x v="2"/>
    <n v="4580"/>
    <n v="40000000"/>
    <n v="8733"/>
    <n v="5"/>
    <n v="3"/>
    <n v="26"/>
    <s v="South-East"/>
    <s v="Concierge; Gym; AC"/>
    <n v="3"/>
    <n v="4"/>
    <n v="104574"/>
    <n v="3.14"/>
    <s v="Luxury"/>
    <n v="0.40689999999999998"/>
    <d v="2024-07-16T00:00:00"/>
    <n v="103"/>
    <x v="0"/>
    <n v="93"/>
    <x v="0"/>
    <b v="1"/>
    <n v="80000"/>
  </r>
  <r>
    <s v="PROP00027"/>
    <x v="3"/>
    <x v="17"/>
    <x v="0"/>
    <n v="2710"/>
    <n v="30000000"/>
    <n v="11070"/>
    <n v="2"/>
    <n v="2"/>
    <n v="22"/>
    <s v="North-East"/>
    <s v="Playground; Parking; Pool; Library; Concierge"/>
    <n v="5"/>
    <n v="7"/>
    <n v="76283"/>
    <n v="3.05"/>
    <s v="Luxury"/>
    <n v="0.40259999999999996"/>
    <d v="2025-06-29T00:00:00"/>
    <n v="102"/>
    <x v="0"/>
    <n v="131"/>
    <x v="0"/>
    <b v="1"/>
    <n v="60000"/>
  </r>
  <r>
    <s v="PROP00028"/>
    <x v="0"/>
    <x v="18"/>
    <x v="4"/>
    <n v="9598"/>
    <n v="10000000"/>
    <n v="1041"/>
    <n v="4"/>
    <n v="2"/>
    <n v="11"/>
    <s v="South-West"/>
    <s v="Library; Playground; Pool; Security; AC; Parking; Gym"/>
    <n v="7"/>
    <n v="10"/>
    <n v="26758"/>
    <n v="3.21"/>
    <s v="Premium"/>
    <n v="0.41049999999999998"/>
    <d v="2025-05-09T00:00:00"/>
    <n v="363"/>
    <x v="2"/>
    <n v="147"/>
    <x v="0"/>
    <b v="0"/>
    <n v="20000"/>
  </r>
  <r>
    <s v="PROP00029"/>
    <x v="0"/>
    <x v="9"/>
    <x v="2"/>
    <n v="4022"/>
    <n v="10000000"/>
    <n v="2486"/>
    <n v="5"/>
    <n v="3"/>
    <n v="13"/>
    <s v="West"/>
    <s v="Elevator; Security; Playground; Library; Pool; Gym; Parking; Concierge"/>
    <n v="8"/>
    <n v="4"/>
    <n v="34497"/>
    <n v="4.1399999999999997"/>
    <s v="Premium"/>
    <n v="0.45700000000000002"/>
    <d v="2024-06-29T00:00:00"/>
    <n v="167"/>
    <x v="0"/>
    <n v="156"/>
    <x v="0"/>
    <b v="0"/>
    <n v="20000"/>
  </r>
  <r>
    <s v="PROP00030"/>
    <x v="5"/>
    <x v="13"/>
    <x v="2"/>
    <n v="2645"/>
    <n v="40000000"/>
    <n v="15122"/>
    <n v="4"/>
    <n v="2"/>
    <n v="16"/>
    <s v="West"/>
    <s v="Pool; Garden; Library; AC"/>
    <n v="4"/>
    <n v="4"/>
    <n v="143060"/>
    <n v="4.29"/>
    <s v="Luxury"/>
    <n v="0.46460000000000001"/>
    <d v="2024-12-28T00:00:00"/>
    <n v="151"/>
    <x v="0"/>
    <n v="53"/>
    <x v="0"/>
    <b v="0"/>
    <n v="80000"/>
  </r>
  <r>
    <s v="PROP00031"/>
    <x v="5"/>
    <x v="19"/>
    <x v="4"/>
    <n v="6023"/>
    <n v="40000000"/>
    <n v="6641"/>
    <n v="5"/>
    <n v="3"/>
    <n v="13"/>
    <s v="West"/>
    <s v="AC; Playground; Elevator; Concierge; Garden; Parking; Security; Pool"/>
    <n v="8"/>
    <n v="10"/>
    <n v="112838"/>
    <n v="3.39"/>
    <s v="Luxury"/>
    <n v="0.41930000000000001"/>
    <d v="2026-01-12T00:00:00"/>
    <n v="99"/>
    <x v="2"/>
    <n v="77"/>
    <x v="0"/>
    <b v="0"/>
    <n v="0"/>
  </r>
  <r>
    <s v="PROP00032"/>
    <x v="0"/>
    <x v="9"/>
    <x v="4"/>
    <n v="7888"/>
    <n v="10000000"/>
    <n v="1267"/>
    <n v="5"/>
    <n v="2"/>
    <n v="26"/>
    <s v="North-East"/>
    <s v="Security; Garden; Playground; Pool"/>
    <n v="4"/>
    <n v="4"/>
    <n v="33902"/>
    <n v="4.07"/>
    <s v="Premium"/>
    <n v="0.45340000000000003"/>
    <d v="2025-08-07T00:00:00"/>
    <n v="150"/>
    <x v="0"/>
    <n v="171"/>
    <x v="0"/>
    <b v="0"/>
    <n v="20000"/>
  </r>
  <r>
    <s v="PROP00033"/>
    <x v="1"/>
    <x v="20"/>
    <x v="2"/>
    <n v="3422"/>
    <n v="50000000"/>
    <n v="14611"/>
    <n v="5"/>
    <n v="3"/>
    <n v="10"/>
    <s v="South"/>
    <s v="Gym; Security; Concierge; Elevator"/>
    <n v="4"/>
    <n v="5"/>
    <n v="131173"/>
    <n v="3.15"/>
    <s v="Luxury"/>
    <n v="0.40740000000000004"/>
    <d v="2024-08-08T00:00:00"/>
    <n v="289"/>
    <x v="2"/>
    <n v="68"/>
    <x v="1"/>
    <b v="1"/>
    <n v="100000"/>
  </r>
  <r>
    <s v="PROP00034"/>
    <x v="1"/>
    <x v="20"/>
    <x v="1"/>
    <n v="560"/>
    <n v="50000000"/>
    <n v="89285"/>
    <n v="0"/>
    <n v="2"/>
    <n v="14"/>
    <s v="South"/>
    <s v="Security; Library; Elevator; Concierge; AC; Gym"/>
    <n v="6"/>
    <n v="4"/>
    <n v="142315"/>
    <n v="3.42"/>
    <s v="Luxury"/>
    <n v="0.42080000000000001"/>
    <d v="2025-10-10T00:00:00"/>
    <n v="123"/>
    <x v="0"/>
    <n v="70"/>
    <x v="0"/>
    <b v="1"/>
    <n v="100000"/>
  </r>
  <r>
    <s v="PROP00035"/>
    <x v="1"/>
    <x v="21"/>
    <x v="1"/>
    <n v="554"/>
    <n v="50000000"/>
    <n v="90252"/>
    <n v="1"/>
    <n v="2"/>
    <n v="1"/>
    <s v="West"/>
    <s v="Security; Elevator; Concierge; Gym"/>
    <n v="4"/>
    <n v="10"/>
    <n v="190652"/>
    <n v="4.58"/>
    <s v="Luxury"/>
    <n v="0.4788"/>
    <d v="2024-08-12T00:00:00"/>
    <n v="218"/>
    <x v="0"/>
    <n v="80"/>
    <x v="0"/>
    <b v="1"/>
    <n v="100000"/>
  </r>
  <r>
    <s v="PROP00036"/>
    <x v="5"/>
    <x v="10"/>
    <x v="0"/>
    <n v="644"/>
    <n v="40000000"/>
    <n v="62111"/>
    <n v="2"/>
    <n v="2"/>
    <n v="19"/>
    <s v="North-West"/>
    <s v="Elevator; Security; Concierge; Gym; Garden; Parking; Playground; Pool"/>
    <n v="8"/>
    <n v="8"/>
    <n v="139869"/>
    <n v="4.2"/>
    <s v="Luxury"/>
    <n v="0.45979999999999999"/>
    <d v="2025-02-26T00:00:00"/>
    <n v="14"/>
    <x v="2"/>
    <n v="94"/>
    <x v="0"/>
    <b v="1"/>
    <n v="80000"/>
  </r>
  <r>
    <s v="PROP00037"/>
    <x v="0"/>
    <x v="18"/>
    <x v="4"/>
    <n v="3329"/>
    <n v="10000000"/>
    <n v="3003"/>
    <n v="4"/>
    <n v="3"/>
    <n v="16"/>
    <s v="South-East"/>
    <s v="Concierge; Security; Parking; AC; Garden; Playground; Gym; Pool"/>
    <n v="8"/>
    <n v="6"/>
    <n v="30350"/>
    <n v="3.64"/>
    <s v="Premium"/>
    <n v="0.43209999999999998"/>
    <d v="2026-01-27T00:00:00"/>
    <n v="356"/>
    <x v="1"/>
    <n v="135"/>
    <x v="1"/>
    <b v="0"/>
    <n v="0"/>
  </r>
  <r>
    <s v="PROP00038"/>
    <x v="4"/>
    <x v="4"/>
    <x v="1"/>
    <n v="295"/>
    <n v="12000000"/>
    <n v="40677"/>
    <n v="1"/>
    <n v="2"/>
    <n v="10"/>
    <s v="North-West"/>
    <s v="Library; AC; Gym"/>
    <n v="3"/>
    <n v="7"/>
    <n v="33751"/>
    <n v="3.38"/>
    <s v="Premium"/>
    <n v="0.41880000000000001"/>
    <d v="2025-05-09T00:00:00"/>
    <n v="27"/>
    <x v="2"/>
    <n v="143"/>
    <x v="0"/>
    <b v="0"/>
    <n v="24000"/>
  </r>
  <r>
    <s v="PROP00039"/>
    <x v="5"/>
    <x v="16"/>
    <x v="1"/>
    <n v="312"/>
    <n v="26019572"/>
    <n v="83396"/>
    <n v="0"/>
    <n v="1"/>
    <n v="22"/>
    <s v="South-West"/>
    <s v="Security; AC; Gym; Elevator"/>
    <n v="4"/>
    <n v="4"/>
    <n v="108079"/>
    <n v="4.9800000000000004"/>
    <s v="Luxury"/>
    <n v="0.49920000000000003"/>
    <d v="2026-01-18T00:00:00"/>
    <n v="256"/>
    <x v="0"/>
    <n v="69"/>
    <x v="1"/>
    <b v="0"/>
    <n v="0"/>
  </r>
  <r>
    <s v="PROP00040"/>
    <x v="2"/>
    <x v="2"/>
    <x v="3"/>
    <n v="5741"/>
    <n v="15000000"/>
    <n v="2612"/>
    <n v="4"/>
    <n v="3"/>
    <n v="6"/>
    <s v="North"/>
    <s v="AC; Parking; Pool; Elevator; Garden; Library; Security"/>
    <n v="7"/>
    <n v="9"/>
    <n v="44963"/>
    <n v="3.6"/>
    <s v="Premium"/>
    <n v="0.4299"/>
    <d v="2024-09-20T00:00:00"/>
    <n v="77"/>
    <x v="0"/>
    <n v="155"/>
    <x v="1"/>
    <b v="0"/>
    <n v="0"/>
  </r>
  <r>
    <s v="PROP00041"/>
    <x v="5"/>
    <x v="14"/>
    <x v="4"/>
    <n v="6090"/>
    <n v="40000000"/>
    <n v="6568"/>
    <n v="5"/>
    <n v="3"/>
    <n v="27"/>
    <s v="South-West"/>
    <s v="Garden; Library; Elevator; AC"/>
    <n v="4"/>
    <n v="7"/>
    <n v="149647"/>
    <n v="4.49"/>
    <s v="Luxury"/>
    <n v="0.47450000000000003"/>
    <d v="2024-05-22T00:00:00"/>
    <n v="340"/>
    <x v="1"/>
    <n v="128"/>
    <x v="0"/>
    <b v="0"/>
    <n v="80000"/>
  </r>
  <r>
    <s v="PROP00042"/>
    <x v="3"/>
    <x v="5"/>
    <x v="4"/>
    <n v="5719"/>
    <n v="30000000"/>
    <n v="5245"/>
    <n v="4"/>
    <n v="3"/>
    <n v="3"/>
    <s v="North-West"/>
    <s v="Concierge; Gym; Parking; Garden; Playground; Pool; AC"/>
    <n v="7"/>
    <n v="9"/>
    <n v="88251"/>
    <n v="3.53"/>
    <s v="Luxury"/>
    <n v="0.42649999999999999"/>
    <d v="2024-08-14T00:00:00"/>
    <n v="169"/>
    <x v="2"/>
    <n v="50"/>
    <x v="1"/>
    <b v="0"/>
    <n v="0"/>
  </r>
  <r>
    <s v="PROP00043"/>
    <x v="4"/>
    <x v="4"/>
    <x v="4"/>
    <n v="3560"/>
    <n v="12000000"/>
    <n v="3370"/>
    <n v="4"/>
    <n v="3"/>
    <n v="7"/>
    <s v="North-East"/>
    <s v="Pool; Library; Elevator; AC; Playground; Gym; Garden; Security"/>
    <n v="8"/>
    <n v="6"/>
    <n v="30919"/>
    <n v="3.09"/>
    <s v="Premium"/>
    <n v="0.40460000000000002"/>
    <d v="2026-03-18T00:00:00"/>
    <n v="75"/>
    <x v="0"/>
    <n v="140"/>
    <x v="0"/>
    <b v="0"/>
    <n v="24000"/>
  </r>
  <r>
    <s v="PROP00044"/>
    <x v="3"/>
    <x v="15"/>
    <x v="0"/>
    <n v="2896"/>
    <n v="30000000"/>
    <n v="10359"/>
    <n v="4"/>
    <n v="2"/>
    <n v="15"/>
    <s v="North"/>
    <s v="Parking; Garden; Concierge; Playground; Elevator; AC; Library"/>
    <n v="7"/>
    <n v="5"/>
    <n v="98262"/>
    <n v="3.93"/>
    <s v="Luxury"/>
    <n v="0.44650000000000001"/>
    <d v="2025-07-24T00:00:00"/>
    <n v="227"/>
    <x v="2"/>
    <n v="48"/>
    <x v="1"/>
    <b v="0"/>
    <n v="0"/>
  </r>
  <r>
    <s v="PROP00045"/>
    <x v="0"/>
    <x v="18"/>
    <x v="1"/>
    <n v="404"/>
    <n v="10000000"/>
    <n v="24752"/>
    <n v="0"/>
    <n v="2"/>
    <n v="27"/>
    <s v="North-East"/>
    <s v="Pool; Garden; Library; Security; Parking; Concierge"/>
    <n v="6"/>
    <n v="4"/>
    <n v="29920"/>
    <n v="3.59"/>
    <s v="Premium"/>
    <n v="0.42950000000000005"/>
    <d v="2024-07-09T00:00:00"/>
    <n v="352"/>
    <x v="0"/>
    <n v="174"/>
    <x v="0"/>
    <b v="0"/>
    <n v="0"/>
  </r>
  <r>
    <s v="PROP00046"/>
    <x v="3"/>
    <x v="5"/>
    <x v="2"/>
    <n v="2397"/>
    <n v="30000000"/>
    <n v="12515"/>
    <n v="3"/>
    <n v="2"/>
    <n v="21"/>
    <s v="East"/>
    <s v="Parking; Pool; Gym; Elevator; Garden; Concierge; Library; Playground"/>
    <n v="8"/>
    <n v="5"/>
    <n v="89755"/>
    <n v="3.59"/>
    <s v="Luxury"/>
    <n v="0.42950000000000005"/>
    <d v="2025-03-15T00:00:00"/>
    <n v="188"/>
    <x v="0"/>
    <n v="168"/>
    <x v="1"/>
    <b v="1"/>
    <n v="0"/>
  </r>
  <r>
    <s v="PROP00047"/>
    <x v="2"/>
    <x v="22"/>
    <x v="2"/>
    <n v="4794"/>
    <n v="15000000"/>
    <n v="3128"/>
    <n v="2"/>
    <n v="2"/>
    <n v="30"/>
    <s v="South-East"/>
    <s v="Parking; Garden; Library"/>
    <n v="3"/>
    <n v="7"/>
    <n v="47364"/>
    <n v="3.79"/>
    <s v="Premium"/>
    <n v="0.4395"/>
    <d v="2025-08-17T00:00:00"/>
    <n v="345"/>
    <x v="0"/>
    <n v="124"/>
    <x v="1"/>
    <b v="0"/>
    <n v="0"/>
  </r>
  <r>
    <s v="PROP00048"/>
    <x v="1"/>
    <x v="23"/>
    <x v="3"/>
    <n v="5862"/>
    <n v="50000000"/>
    <n v="8529"/>
    <n v="3"/>
    <n v="2"/>
    <n v="29"/>
    <s v="East"/>
    <s v="Garden; Pool; Concierge; Playground; Parking; Elevator; Gym"/>
    <n v="7"/>
    <n v="5"/>
    <n v="128101"/>
    <n v="3.07"/>
    <s v="Luxury"/>
    <n v="0.40369999999999995"/>
    <d v="2024-12-26T00:00:00"/>
    <n v="70"/>
    <x v="0"/>
    <n v="167"/>
    <x v="1"/>
    <b v="0"/>
    <n v="0"/>
  </r>
  <r>
    <s v="PROP00049"/>
    <x v="0"/>
    <x v="7"/>
    <x v="4"/>
    <n v="6433"/>
    <n v="10000000"/>
    <n v="1554"/>
    <n v="6"/>
    <n v="3"/>
    <n v="28"/>
    <s v="West"/>
    <s v="Pool; Concierge; Library; Parking; Gym; AC"/>
    <n v="6"/>
    <n v="9"/>
    <n v="40842"/>
    <n v="4.9000000000000004"/>
    <s v="Premium"/>
    <n v="0.49509999999999998"/>
    <d v="2025-05-08T00:00:00"/>
    <n v="279"/>
    <x v="0"/>
    <n v="124"/>
    <x v="1"/>
    <b v="1"/>
    <n v="0"/>
  </r>
  <r>
    <s v="PROP00050"/>
    <x v="5"/>
    <x v="10"/>
    <x v="0"/>
    <n v="2262"/>
    <n v="40000000"/>
    <n v="17683"/>
    <n v="1"/>
    <n v="1"/>
    <n v="20"/>
    <s v="West"/>
    <s v="Elevator; Gym; AC; Library; Parking; Pool; Security; Playground"/>
    <n v="8"/>
    <n v="10"/>
    <n v="151010"/>
    <n v="4.53"/>
    <s v="Luxury"/>
    <n v="0.47649999999999998"/>
    <d v="2025-10-14T00:00:00"/>
    <n v="169"/>
    <x v="0"/>
    <n v="89"/>
    <x v="0"/>
    <b v="1"/>
    <n v="0"/>
  </r>
  <r>
    <s v="PROP00051"/>
    <x v="3"/>
    <x v="15"/>
    <x v="4"/>
    <n v="5053"/>
    <n v="30000000"/>
    <n v="5937"/>
    <n v="4"/>
    <n v="2"/>
    <n v="21"/>
    <s v="West"/>
    <s v="Parking; Gym; Playground"/>
    <n v="3"/>
    <n v="9"/>
    <n v="75789"/>
    <n v="3.03"/>
    <s v="Luxury"/>
    <n v="0.40159999999999996"/>
    <d v="2025-08-16T00:00:00"/>
    <n v="270"/>
    <x v="0"/>
    <n v="137"/>
    <x v="0"/>
    <b v="1"/>
    <n v="0"/>
  </r>
  <r>
    <s v="PROP00052"/>
    <x v="2"/>
    <x v="22"/>
    <x v="4"/>
    <n v="7863"/>
    <n v="15000000"/>
    <n v="1907"/>
    <n v="4"/>
    <n v="3"/>
    <n v="16"/>
    <s v="North"/>
    <s v="Elevator; Gym; Security; Garden"/>
    <n v="4"/>
    <n v="4"/>
    <n v="49474"/>
    <n v="3.96"/>
    <s v="Premium"/>
    <n v="0.44789999999999996"/>
    <d v="2025-03-29T00:00:00"/>
    <n v="365"/>
    <x v="0"/>
    <n v="155"/>
    <x v="1"/>
    <b v="1"/>
    <n v="30000"/>
  </r>
  <r>
    <s v="PROP00053"/>
    <x v="5"/>
    <x v="14"/>
    <x v="3"/>
    <n v="2538"/>
    <n v="40000000"/>
    <n v="15760"/>
    <n v="4"/>
    <n v="3"/>
    <n v="19"/>
    <s v="South-West"/>
    <s v="Elevator; AC; Playground; Garden; Security; Concierge; Parking; Pool"/>
    <n v="8"/>
    <n v="10"/>
    <n v="146785"/>
    <n v="4.4000000000000004"/>
    <s v="Luxury"/>
    <n v="0.47020000000000001"/>
    <d v="2024-07-13T00:00:00"/>
    <n v="111"/>
    <x v="2"/>
    <n v="171"/>
    <x v="1"/>
    <b v="0"/>
    <n v="80000"/>
  </r>
  <r>
    <s v="PROP00054"/>
    <x v="2"/>
    <x v="22"/>
    <x v="1"/>
    <n v="454"/>
    <n v="15000000"/>
    <n v="33039"/>
    <n v="1"/>
    <n v="1"/>
    <n v="10"/>
    <s v="South"/>
    <s v="Playground; Security; Elevator; Pool; Concierge; Garden"/>
    <n v="6"/>
    <n v="9"/>
    <n v="39634"/>
    <n v="3.17"/>
    <s v="Premium"/>
    <n v="0.40850000000000003"/>
    <d v="2025-02-26T00:00:00"/>
    <n v="67"/>
    <x v="0"/>
    <n v="125"/>
    <x v="0"/>
    <b v="0"/>
    <n v="30000"/>
  </r>
  <r>
    <s v="PROP00055"/>
    <x v="2"/>
    <x v="22"/>
    <x v="1"/>
    <n v="276"/>
    <n v="15000000"/>
    <n v="54347"/>
    <n v="1"/>
    <n v="2"/>
    <n v="11"/>
    <s v="East"/>
    <s v="Elevator; AC; Garden"/>
    <n v="3"/>
    <n v="8"/>
    <n v="43106"/>
    <n v="3.45"/>
    <s v="Premium"/>
    <n v="0.4224"/>
    <d v="2026-01-24T00:00:00"/>
    <n v="59"/>
    <x v="0"/>
    <n v="124"/>
    <x v="1"/>
    <b v="1"/>
    <n v="0"/>
  </r>
  <r>
    <s v="PROP00056"/>
    <x v="4"/>
    <x v="12"/>
    <x v="4"/>
    <n v="8529"/>
    <n v="12000000"/>
    <n v="1406"/>
    <n v="6"/>
    <n v="3"/>
    <n v="19"/>
    <s v="North"/>
    <s v="Security; Gym; Parking; Concierge; Playground; Library; Elevator; Pool"/>
    <n v="8"/>
    <n v="5"/>
    <n v="32865"/>
    <n v="3.29"/>
    <s v="Premium"/>
    <n v="0.4143"/>
    <d v="2024-07-10T00:00:00"/>
    <n v="47"/>
    <x v="0"/>
    <n v="37"/>
    <x v="0"/>
    <b v="0"/>
    <n v="0"/>
  </r>
  <r>
    <s v="PROP00057"/>
    <x v="2"/>
    <x v="22"/>
    <x v="3"/>
    <n v="5031"/>
    <n v="15000000"/>
    <n v="2981"/>
    <n v="5"/>
    <n v="3"/>
    <n v="24"/>
    <s v="South"/>
    <s v="Elevator; Pool; Gym; AC; Library; Security; Concierge"/>
    <n v="7"/>
    <n v="7"/>
    <n v="54048"/>
    <n v="4.32"/>
    <s v="Premium"/>
    <n v="0.46619999999999995"/>
    <d v="2025-01-02T00:00:00"/>
    <n v="111"/>
    <x v="2"/>
    <n v="99"/>
    <x v="0"/>
    <b v="0"/>
    <n v="0"/>
  </r>
  <r>
    <s v="PROP00058"/>
    <x v="1"/>
    <x v="24"/>
    <x v="4"/>
    <n v="6986"/>
    <n v="50000000"/>
    <n v="7157"/>
    <n v="6"/>
    <n v="4"/>
    <n v="1"/>
    <s v="North-East"/>
    <s v="Library; Gym; AC; Pool"/>
    <n v="4"/>
    <n v="4"/>
    <n v="188945"/>
    <n v="4.53"/>
    <s v="Luxury"/>
    <n v="0.47670000000000001"/>
    <d v="2025-08-26T00:00:00"/>
    <n v="255"/>
    <x v="0"/>
    <n v="31"/>
    <x v="1"/>
    <b v="1"/>
    <n v="100000"/>
  </r>
  <r>
    <s v="PROP00059"/>
    <x v="2"/>
    <x v="25"/>
    <x v="3"/>
    <n v="6098"/>
    <n v="15000000"/>
    <n v="2459"/>
    <n v="5"/>
    <n v="2"/>
    <n v="12"/>
    <s v="South-West"/>
    <s v="Gym; Library; Elevator; Garden; Concierge; Parking; AC; Security"/>
    <n v="8"/>
    <n v="6"/>
    <n v="47942"/>
    <n v="3.84"/>
    <s v="Premium"/>
    <n v="0.44179999999999997"/>
    <d v="2026-01-17T00:00:00"/>
    <n v="317"/>
    <x v="0"/>
    <n v="73"/>
    <x v="1"/>
    <b v="0"/>
    <n v="30000"/>
  </r>
  <r>
    <s v="PROP00060"/>
    <x v="2"/>
    <x v="26"/>
    <x v="3"/>
    <n v="5569"/>
    <n v="15000000"/>
    <n v="2693"/>
    <n v="6"/>
    <n v="3"/>
    <n v="12"/>
    <s v="South"/>
    <s v="Playground; Garden; Elevator; Library; Pool"/>
    <n v="5"/>
    <n v="10"/>
    <n v="40350"/>
    <n v="3.23"/>
    <s v="Premium"/>
    <n v="0.41139999999999999"/>
    <d v="2024-12-08T00:00:00"/>
    <n v="180"/>
    <x v="0"/>
    <n v="119"/>
    <x v="0"/>
    <b v="1"/>
    <n v="30000"/>
  </r>
  <r>
    <s v="PROP00061"/>
    <x v="3"/>
    <x v="3"/>
    <x v="3"/>
    <n v="3421"/>
    <n v="30000000"/>
    <n v="8769"/>
    <n v="4"/>
    <n v="2"/>
    <n v="5"/>
    <s v="South-East"/>
    <s v="Concierge; Elevator; AC; Playground; Security; Library; Parking; Garden"/>
    <n v="8"/>
    <n v="10"/>
    <n v="78414"/>
    <n v="3.14"/>
    <s v="Luxury"/>
    <n v="0.40679999999999999"/>
    <d v="2025-02-16T00:00:00"/>
    <n v="303"/>
    <x v="2"/>
    <n v="100"/>
    <x v="0"/>
    <b v="0"/>
    <n v="60000"/>
  </r>
  <r>
    <s v="PROP00062"/>
    <x v="5"/>
    <x v="16"/>
    <x v="1"/>
    <n v="269"/>
    <n v="26688946"/>
    <n v="99215"/>
    <n v="0"/>
    <n v="2"/>
    <n v="26"/>
    <s v="North"/>
    <s v="Pool; Elevator; Library; Garden; Security"/>
    <n v="5"/>
    <n v="8"/>
    <n v="102744"/>
    <n v="4.62"/>
    <s v="Luxury"/>
    <n v="0.48100000000000004"/>
    <d v="2024-07-16T00:00:00"/>
    <n v="257"/>
    <x v="0"/>
    <n v="151"/>
    <x v="0"/>
    <b v="1"/>
    <n v="0"/>
  </r>
  <r>
    <s v="PROP00063"/>
    <x v="1"/>
    <x v="24"/>
    <x v="0"/>
    <n v="2466"/>
    <n v="50000000"/>
    <n v="20275"/>
    <n v="2"/>
    <n v="1"/>
    <n v="7"/>
    <s v="South-East"/>
    <s v="Concierge; Elevator; Parking; AC; Library; Playground; Garden; Pool"/>
    <n v="8"/>
    <n v="4"/>
    <n v="129363"/>
    <n v="3.1"/>
    <s v="Luxury"/>
    <n v="0.4052"/>
    <d v="2024-08-06T00:00:00"/>
    <n v="49"/>
    <x v="2"/>
    <n v="114"/>
    <x v="1"/>
    <b v="0"/>
    <n v="0"/>
  </r>
  <r>
    <s v="PROP00064"/>
    <x v="0"/>
    <x v="7"/>
    <x v="4"/>
    <n v="4231"/>
    <n v="10000000"/>
    <n v="2363"/>
    <n v="5"/>
    <n v="2"/>
    <n v="18"/>
    <s v="South"/>
    <s v="Parking; Playground; Security; AC; Library; Garden; Pool; Elevator"/>
    <n v="8"/>
    <n v="9"/>
    <n v="31277"/>
    <n v="3.75"/>
    <s v="Premium"/>
    <n v="0.43770000000000003"/>
    <d v="2025-06-12T00:00:00"/>
    <n v="48"/>
    <x v="2"/>
    <n v="164"/>
    <x v="1"/>
    <b v="0"/>
    <n v="20000"/>
  </r>
  <r>
    <s v="PROP00065"/>
    <x v="5"/>
    <x v="13"/>
    <x v="3"/>
    <n v="3754"/>
    <n v="40000000"/>
    <n v="10655"/>
    <n v="5"/>
    <n v="3"/>
    <n v="6"/>
    <s v="South"/>
    <s v="Parking; Elevator; Pool; AC"/>
    <n v="4"/>
    <n v="6"/>
    <n v="135984"/>
    <n v="4.08"/>
    <s v="Luxury"/>
    <n v="0.45399999999999996"/>
    <d v="2024-11-21T00:00:00"/>
    <n v="306"/>
    <x v="0"/>
    <n v="63"/>
    <x v="1"/>
    <b v="1"/>
    <n v="80000"/>
  </r>
  <r>
    <s v="PROP00066"/>
    <x v="3"/>
    <x v="27"/>
    <x v="4"/>
    <n v="9627"/>
    <n v="30000000"/>
    <n v="3116"/>
    <n v="4"/>
    <n v="3"/>
    <n v="1"/>
    <s v="West"/>
    <s v="Playground; Garden; Concierge; Security; Parking; AC"/>
    <n v="6"/>
    <n v="5"/>
    <n v="90473"/>
    <n v="3.62"/>
    <s v="Luxury"/>
    <n v="0.43090000000000006"/>
    <d v="2025-01-19T00:00:00"/>
    <n v="348"/>
    <x v="1"/>
    <n v="124"/>
    <x v="1"/>
    <b v="0"/>
    <n v="0"/>
  </r>
  <r>
    <s v="PROP00067"/>
    <x v="2"/>
    <x v="25"/>
    <x v="4"/>
    <n v="6429"/>
    <n v="15000000"/>
    <n v="2333"/>
    <n v="4"/>
    <n v="2"/>
    <n v="25"/>
    <s v="South"/>
    <s v="Parking; Security; Gym; Playground; Garden; Elevator; Concierge"/>
    <n v="7"/>
    <n v="8"/>
    <n v="56577"/>
    <n v="4.53"/>
    <s v="Premium"/>
    <n v="0.4763"/>
    <d v="2025-08-08T00:00:00"/>
    <n v="224"/>
    <x v="0"/>
    <n v="67"/>
    <x v="0"/>
    <b v="1"/>
    <n v="0"/>
  </r>
  <r>
    <s v="PROP00068"/>
    <x v="5"/>
    <x v="11"/>
    <x v="1"/>
    <n v="277"/>
    <n v="33263634"/>
    <n v="120085"/>
    <n v="1"/>
    <n v="2"/>
    <n v="7"/>
    <s v="South-East"/>
    <s v="Pool; Playground; Garden; Gym; Parking; Library"/>
    <n v="6"/>
    <n v="7"/>
    <n v="90787"/>
    <n v="3.28"/>
    <s v="Luxury"/>
    <n v="0.4138"/>
    <d v="2025-07-25T00:00:00"/>
    <n v="362"/>
    <x v="1"/>
    <n v="65"/>
    <x v="1"/>
    <b v="0"/>
    <n v="66527"/>
  </r>
  <r>
    <s v="PROP00069"/>
    <x v="1"/>
    <x v="28"/>
    <x v="2"/>
    <n v="2383"/>
    <n v="50000000"/>
    <n v="20981"/>
    <n v="3"/>
    <n v="2"/>
    <n v="3"/>
    <s v="South-West"/>
    <s v="Garden; Security; Pool; Gym; Concierge"/>
    <n v="5"/>
    <n v="7"/>
    <n v="176900"/>
    <n v="4.25"/>
    <s v="Luxury"/>
    <n v="0.46229999999999999"/>
    <d v="2026-03-11T00:00:00"/>
    <n v="9"/>
    <x v="0"/>
    <n v="167"/>
    <x v="0"/>
    <b v="1"/>
    <n v="0"/>
  </r>
  <r>
    <s v="PROP00070"/>
    <x v="2"/>
    <x v="26"/>
    <x v="4"/>
    <n v="5890"/>
    <n v="15000000"/>
    <n v="2546"/>
    <n v="4"/>
    <n v="3"/>
    <n v="5"/>
    <s v="North-West"/>
    <s v="Pool; AC; Playground; Gym; Security; Concierge; Library; Elevator"/>
    <n v="8"/>
    <n v="4"/>
    <n v="47172"/>
    <n v="3.77"/>
    <s v="Premium"/>
    <n v="0.43869999999999998"/>
    <d v="2025-04-27T00:00:00"/>
    <n v="35"/>
    <x v="0"/>
    <n v="121"/>
    <x v="1"/>
    <b v="1"/>
    <n v="30000"/>
  </r>
  <r>
    <s v="PROP00071"/>
    <x v="4"/>
    <x v="29"/>
    <x v="2"/>
    <n v="2046"/>
    <n v="12000000"/>
    <n v="5865"/>
    <n v="2"/>
    <n v="2"/>
    <n v="17"/>
    <s v="East"/>
    <s v="Parking; Concierge; AC; Playground; Pool"/>
    <n v="5"/>
    <n v="5"/>
    <n v="45523"/>
    <n v="4.55"/>
    <s v="Premium"/>
    <n v="0.47759999999999997"/>
    <d v="2025-01-31T00:00:00"/>
    <n v="103"/>
    <x v="0"/>
    <n v="41"/>
    <x v="0"/>
    <b v="0"/>
    <n v="0"/>
  </r>
  <r>
    <s v="PROP00072"/>
    <x v="4"/>
    <x v="30"/>
    <x v="4"/>
    <n v="6878"/>
    <n v="12000000"/>
    <n v="1744"/>
    <n v="5"/>
    <n v="2"/>
    <n v="24"/>
    <s v="South-East"/>
    <s v="Garden; Security; Playground; Library; Gym; Parking; AC; Concierge"/>
    <n v="8"/>
    <n v="7"/>
    <n v="38000"/>
    <n v="3.8"/>
    <s v="Premium"/>
    <n v="0.44"/>
    <d v="2025-02-18T00:00:00"/>
    <n v="96"/>
    <x v="1"/>
    <n v="116"/>
    <x v="1"/>
    <b v="0"/>
    <n v="0"/>
  </r>
  <r>
    <s v="PROP00073"/>
    <x v="4"/>
    <x v="31"/>
    <x v="0"/>
    <n v="2138"/>
    <n v="12000000"/>
    <n v="5612"/>
    <n v="1"/>
    <n v="2"/>
    <n v="19"/>
    <s v="South"/>
    <s v="AC; Security; Playground; Gym"/>
    <n v="4"/>
    <n v="7"/>
    <n v="35912"/>
    <n v="3.59"/>
    <s v="Premium"/>
    <n v="0.42959999999999998"/>
    <d v="2025-02-12T00:00:00"/>
    <n v="354"/>
    <x v="2"/>
    <n v="72"/>
    <x v="1"/>
    <b v="0"/>
    <n v="0"/>
  </r>
  <r>
    <s v="PROP00074"/>
    <x v="1"/>
    <x v="23"/>
    <x v="2"/>
    <n v="4018"/>
    <n v="50000000"/>
    <n v="12444"/>
    <n v="5"/>
    <n v="3"/>
    <n v="20"/>
    <s v="East"/>
    <s v="Pool; Library; Playground"/>
    <n v="3"/>
    <n v="7"/>
    <n v="136898"/>
    <n v="3.29"/>
    <s v="Luxury"/>
    <n v="0.4143"/>
    <d v="2024-08-30T00:00:00"/>
    <n v="65"/>
    <x v="2"/>
    <n v="38"/>
    <x v="0"/>
    <b v="1"/>
    <n v="0"/>
  </r>
  <r>
    <s v="PROP00075"/>
    <x v="5"/>
    <x v="16"/>
    <x v="4"/>
    <n v="3265"/>
    <n v="40000000"/>
    <n v="12251"/>
    <n v="6"/>
    <n v="3"/>
    <n v="21"/>
    <s v="East"/>
    <s v="Playground; Elevator; Concierge; Library; Gym; Security"/>
    <n v="6"/>
    <n v="4"/>
    <n v="126535"/>
    <n v="3.8"/>
    <s v="Luxury"/>
    <n v="0.43979999999999997"/>
    <d v="2024-07-18T00:00:00"/>
    <n v="96"/>
    <x v="0"/>
    <n v="36"/>
    <x v="1"/>
    <b v="0"/>
    <n v="80000"/>
  </r>
  <r>
    <s v="PROP00076"/>
    <x v="5"/>
    <x v="13"/>
    <x v="1"/>
    <n v="359"/>
    <n v="40000000"/>
    <n v="111420"/>
    <n v="1"/>
    <n v="2"/>
    <n v="6"/>
    <s v="East"/>
    <s v="Parking; Pool; Concierge"/>
    <n v="3"/>
    <n v="10"/>
    <n v="129674"/>
    <n v="3.89"/>
    <s v="Luxury"/>
    <n v="0.44450000000000001"/>
    <d v="2026-02-14T00:00:00"/>
    <n v="342"/>
    <x v="2"/>
    <n v="111"/>
    <x v="1"/>
    <b v="1"/>
    <n v="0"/>
  </r>
  <r>
    <s v="PROP00077"/>
    <x v="5"/>
    <x v="10"/>
    <x v="3"/>
    <n v="4961"/>
    <n v="40000000"/>
    <n v="8062"/>
    <n v="4"/>
    <n v="2"/>
    <n v="6"/>
    <s v="South-East"/>
    <s v="Garden; Concierge; Gym; Parking"/>
    <n v="4"/>
    <n v="4"/>
    <n v="165534"/>
    <n v="4.97"/>
    <s v="Luxury"/>
    <n v="0.49829999999999997"/>
    <d v="2026-01-02T00:00:00"/>
    <n v="159"/>
    <x v="2"/>
    <n v="46"/>
    <x v="1"/>
    <b v="0"/>
    <n v="0"/>
  </r>
  <r>
    <s v="PROP00078"/>
    <x v="2"/>
    <x v="25"/>
    <x v="0"/>
    <n v="913"/>
    <n v="15000000"/>
    <n v="16429"/>
    <n v="3"/>
    <n v="1"/>
    <n v="14"/>
    <s v="East"/>
    <s v="AC; Playground; Parking; Library; Security; Elevator"/>
    <n v="6"/>
    <n v="4"/>
    <n v="40725"/>
    <n v="3.26"/>
    <s v="Premium"/>
    <n v="0.41289999999999999"/>
    <d v="2024-12-16T00:00:00"/>
    <n v="266"/>
    <x v="1"/>
    <n v="61"/>
    <x v="0"/>
    <b v="0"/>
    <n v="30000"/>
  </r>
  <r>
    <s v="PROP00079"/>
    <x v="3"/>
    <x v="3"/>
    <x v="3"/>
    <n v="4834"/>
    <n v="30000000"/>
    <n v="6206"/>
    <n v="5"/>
    <n v="2"/>
    <n v="8"/>
    <s v="North-East"/>
    <s v="AC; Security; Parking; Playground"/>
    <n v="4"/>
    <n v="8"/>
    <n v="79671"/>
    <n v="3.19"/>
    <s v="Luxury"/>
    <n v="0.4093"/>
    <d v="2024-07-27T00:00:00"/>
    <n v="88"/>
    <x v="0"/>
    <n v="69"/>
    <x v="1"/>
    <b v="1"/>
    <n v="60000"/>
  </r>
  <r>
    <s v="PROP00080"/>
    <x v="1"/>
    <x v="28"/>
    <x v="4"/>
    <n v="5168"/>
    <n v="50000000"/>
    <n v="9674"/>
    <n v="6"/>
    <n v="3"/>
    <n v="24"/>
    <s v="North-West"/>
    <s v="Library; Gym; Concierge; Playground; Security; Parking; Elevator"/>
    <n v="7"/>
    <n v="4"/>
    <n v="192279"/>
    <n v="4.6100000000000003"/>
    <s v="Luxury"/>
    <n v="0.48070000000000002"/>
    <d v="2025-03-25T00:00:00"/>
    <n v="81"/>
    <x v="0"/>
    <n v="45"/>
    <x v="1"/>
    <b v="0"/>
    <n v="0"/>
  </r>
  <r>
    <s v="PROP00081"/>
    <x v="2"/>
    <x v="32"/>
    <x v="2"/>
    <n v="3984"/>
    <n v="15000000"/>
    <n v="3765"/>
    <n v="3"/>
    <n v="2"/>
    <n v="27"/>
    <s v="West"/>
    <s v="Playground; Elevator; Library; Pool; Parking; Security; Gym; Concierge"/>
    <n v="8"/>
    <n v="4"/>
    <n v="44186"/>
    <n v="3.53"/>
    <s v="Premium"/>
    <n v="0.42670000000000002"/>
    <d v="2025-09-03T00:00:00"/>
    <n v="197"/>
    <x v="0"/>
    <n v="104"/>
    <x v="1"/>
    <b v="1"/>
    <n v="30000"/>
  </r>
  <r>
    <s v="PROP00082"/>
    <x v="5"/>
    <x v="14"/>
    <x v="2"/>
    <n v="2277"/>
    <n v="40000000"/>
    <n v="17566"/>
    <n v="3"/>
    <n v="2"/>
    <n v="16"/>
    <s v="North-West"/>
    <s v="Concierge; Security; Elevator; Gym; Library; Garden"/>
    <n v="6"/>
    <n v="6"/>
    <n v="114342"/>
    <n v="3.43"/>
    <s v="Luxury"/>
    <n v="0.42149999999999999"/>
    <d v="2025-05-18T00:00:00"/>
    <n v="306"/>
    <x v="0"/>
    <n v="156"/>
    <x v="1"/>
    <b v="0"/>
    <n v="80000"/>
  </r>
  <r>
    <s v="PROP00083"/>
    <x v="1"/>
    <x v="21"/>
    <x v="3"/>
    <n v="4166"/>
    <n v="50000000"/>
    <n v="12001"/>
    <n v="5"/>
    <n v="3"/>
    <n v="11"/>
    <s v="South-East"/>
    <s v="Library; Gym; Garden"/>
    <n v="3"/>
    <n v="8"/>
    <n v="131127"/>
    <n v="3.15"/>
    <s v="Luxury"/>
    <n v="0.40740000000000004"/>
    <d v="2024-12-14T00:00:00"/>
    <n v="320"/>
    <x v="0"/>
    <n v="101"/>
    <x v="0"/>
    <b v="1"/>
    <n v="100000"/>
  </r>
  <r>
    <s v="PROP00084"/>
    <x v="2"/>
    <x v="22"/>
    <x v="2"/>
    <n v="3784"/>
    <n v="15000000"/>
    <n v="3964"/>
    <n v="4"/>
    <n v="2"/>
    <n v="6"/>
    <s v="North-West"/>
    <s v="AC; Library; Gym; Concierge; Elevator; Pool; Parking"/>
    <n v="7"/>
    <n v="8"/>
    <n v="41223"/>
    <n v="3.3"/>
    <s v="Premium"/>
    <n v="0.41490000000000005"/>
    <d v="2024-12-03T00:00:00"/>
    <n v="84"/>
    <x v="0"/>
    <n v="111"/>
    <x v="1"/>
    <b v="0"/>
    <n v="0"/>
  </r>
  <r>
    <s v="PROP00085"/>
    <x v="4"/>
    <x v="12"/>
    <x v="4"/>
    <n v="7012"/>
    <n v="12000000"/>
    <n v="1711"/>
    <n v="6"/>
    <n v="4"/>
    <n v="15"/>
    <s v="South-West"/>
    <s v="Playground; Elevator; Pool"/>
    <n v="3"/>
    <n v="8"/>
    <n v="45935"/>
    <n v="4.59"/>
    <s v="Premium"/>
    <n v="0.47970000000000002"/>
    <d v="2024-06-09T00:00:00"/>
    <n v="136"/>
    <x v="2"/>
    <n v="151"/>
    <x v="0"/>
    <b v="1"/>
    <n v="0"/>
  </r>
  <r>
    <s v="PROP00086"/>
    <x v="3"/>
    <x v="5"/>
    <x v="4"/>
    <n v="9345"/>
    <n v="30000000"/>
    <n v="3210"/>
    <n v="5"/>
    <n v="2"/>
    <n v="26"/>
    <s v="East"/>
    <s v="Garden; Gym; Pool; Concierge; AC; Elevator; Parking; Library"/>
    <n v="8"/>
    <n v="7"/>
    <n v="85194"/>
    <n v="3.41"/>
    <s v="Luxury"/>
    <n v="0.4204"/>
    <d v="2024-12-17T00:00:00"/>
    <n v="362"/>
    <x v="2"/>
    <n v="45"/>
    <x v="0"/>
    <b v="1"/>
    <n v="0"/>
  </r>
  <r>
    <s v="PROP00087"/>
    <x v="0"/>
    <x v="8"/>
    <x v="4"/>
    <n v="6086"/>
    <n v="10000000"/>
    <n v="1643"/>
    <n v="5"/>
    <n v="2"/>
    <n v="14"/>
    <s v="West"/>
    <s v="Playground; AC; Elevator; Concierge; Library; Parking; Garden"/>
    <n v="7"/>
    <n v="6"/>
    <n v="29650"/>
    <n v="3.56"/>
    <s v="Premium"/>
    <n v="0.4279"/>
    <d v="2025-07-13T00:00:00"/>
    <n v="361"/>
    <x v="0"/>
    <n v="103"/>
    <x v="0"/>
    <b v="0"/>
    <n v="0"/>
  </r>
  <r>
    <s v="PROP00088"/>
    <x v="2"/>
    <x v="22"/>
    <x v="4"/>
    <n v="9515"/>
    <n v="15000000"/>
    <n v="1576"/>
    <n v="6"/>
    <n v="4"/>
    <n v="9"/>
    <s v="South-West"/>
    <s v="Elevator; AC; Library"/>
    <n v="3"/>
    <n v="6"/>
    <n v="61365"/>
    <n v="4.91"/>
    <s v="Premium"/>
    <n v="0.4955"/>
    <d v="2025-12-16T00:00:00"/>
    <n v="178"/>
    <x v="0"/>
    <n v="50"/>
    <x v="1"/>
    <b v="0"/>
    <n v="0"/>
  </r>
  <r>
    <s v="PROP00089"/>
    <x v="3"/>
    <x v="15"/>
    <x v="4"/>
    <n v="5221"/>
    <n v="30000000"/>
    <n v="5746"/>
    <n v="6"/>
    <n v="4"/>
    <n v="4"/>
    <s v="North"/>
    <s v="Elevator; Garden; AC"/>
    <n v="3"/>
    <n v="4"/>
    <n v="101552"/>
    <n v="4.0599999999999996"/>
    <s v="Luxury"/>
    <n v="0.4531"/>
    <d v="2024-07-30T00:00:00"/>
    <n v="170"/>
    <x v="0"/>
    <n v="135"/>
    <x v="1"/>
    <b v="1"/>
    <n v="60000"/>
  </r>
  <r>
    <s v="PROP00090"/>
    <x v="1"/>
    <x v="20"/>
    <x v="3"/>
    <n v="5333"/>
    <n v="50000000"/>
    <n v="9375"/>
    <n v="6"/>
    <n v="4"/>
    <n v="20"/>
    <s v="North"/>
    <s v="Security; Playground; Elevator; AC"/>
    <n v="4"/>
    <n v="9"/>
    <n v="132455"/>
    <n v="3.18"/>
    <s v="Luxury"/>
    <n v="0.40889999999999999"/>
    <d v="2024-10-04T00:00:00"/>
    <n v="90"/>
    <x v="0"/>
    <n v="39"/>
    <x v="1"/>
    <b v="1"/>
    <n v="100000"/>
  </r>
  <r>
    <s v="PROP00091"/>
    <x v="2"/>
    <x v="2"/>
    <x v="3"/>
    <n v="4371"/>
    <n v="15000000"/>
    <n v="3431"/>
    <n v="3"/>
    <n v="1"/>
    <n v="9"/>
    <s v="East"/>
    <s v="Elevator; Pool; Playground; Parking; Garden; Security; Concierge"/>
    <n v="7"/>
    <n v="6"/>
    <n v="49200"/>
    <n v="3.94"/>
    <s v="Premium"/>
    <n v="0.44679999999999997"/>
    <d v="2025-10-29T00:00:00"/>
    <n v="235"/>
    <x v="2"/>
    <n v="71"/>
    <x v="1"/>
    <b v="1"/>
    <n v="30000"/>
  </r>
  <r>
    <s v="PROP00092"/>
    <x v="0"/>
    <x v="18"/>
    <x v="2"/>
    <n v="3825"/>
    <n v="10000000"/>
    <n v="2614"/>
    <n v="3"/>
    <n v="1"/>
    <n v="19"/>
    <s v="North-West"/>
    <s v="Library; Elevator; Playground; Gym; Garden; AC; Pool; Security"/>
    <n v="8"/>
    <n v="7"/>
    <n v="29134"/>
    <n v="3.5"/>
    <s v="Premium"/>
    <n v="0.42479999999999996"/>
    <d v="2025-08-20T00:00:00"/>
    <n v="169"/>
    <x v="0"/>
    <n v="98"/>
    <x v="1"/>
    <b v="1"/>
    <n v="0"/>
  </r>
  <r>
    <s v="PROP00093"/>
    <x v="0"/>
    <x v="18"/>
    <x v="3"/>
    <n v="2508"/>
    <n v="10000000"/>
    <n v="3987"/>
    <n v="3"/>
    <n v="2"/>
    <n v="9"/>
    <s v="South"/>
    <s v="Library; AC; Security; Playground"/>
    <n v="4"/>
    <n v="5"/>
    <n v="40677"/>
    <n v="4.88"/>
    <s v="Premium"/>
    <n v="0.49409999999999998"/>
    <d v="2025-05-03T00:00:00"/>
    <n v="245"/>
    <x v="2"/>
    <n v="64"/>
    <x v="0"/>
    <b v="0"/>
    <n v="0"/>
  </r>
  <r>
    <s v="PROP00094"/>
    <x v="2"/>
    <x v="33"/>
    <x v="4"/>
    <n v="6857"/>
    <n v="15000000"/>
    <n v="2187"/>
    <n v="6"/>
    <n v="3"/>
    <n v="24"/>
    <s v="South-East"/>
    <s v="Elevator; Pool; Concierge; Security"/>
    <n v="4"/>
    <n v="8"/>
    <n v="51604"/>
    <n v="4.13"/>
    <s v="Premium"/>
    <n v="0.45640000000000003"/>
    <d v="2026-03-12T00:00:00"/>
    <n v="294"/>
    <x v="2"/>
    <n v="81"/>
    <x v="0"/>
    <b v="1"/>
    <n v="0"/>
  </r>
  <r>
    <s v="PROP00095"/>
    <x v="4"/>
    <x v="30"/>
    <x v="0"/>
    <n v="1241"/>
    <n v="12000000"/>
    <n v="9669"/>
    <n v="4"/>
    <n v="2"/>
    <n v="28"/>
    <s v="North"/>
    <s v="Concierge; Gym; Elevator; Pool; Security; Garden; Playground"/>
    <n v="7"/>
    <n v="7"/>
    <n v="43455"/>
    <n v="4.3499999999999996"/>
    <s v="Premium"/>
    <n v="0.46729999999999999"/>
    <d v="2025-07-03T00:00:00"/>
    <n v="2"/>
    <x v="2"/>
    <n v="95"/>
    <x v="0"/>
    <b v="1"/>
    <n v="24000"/>
  </r>
  <r>
    <s v="PROP00096"/>
    <x v="2"/>
    <x v="22"/>
    <x v="0"/>
    <n v="2616"/>
    <n v="15000000"/>
    <n v="5733"/>
    <n v="1"/>
    <n v="1"/>
    <n v="29"/>
    <s v="South-East"/>
    <s v="Gym; Security; Library; Pool; Concierge; Garden"/>
    <n v="6"/>
    <n v="9"/>
    <n v="47061"/>
    <n v="3.76"/>
    <s v="Premium"/>
    <n v="0.43819999999999998"/>
    <d v="2025-04-23T00:00:00"/>
    <n v="69"/>
    <x v="0"/>
    <n v="168"/>
    <x v="1"/>
    <b v="1"/>
    <n v="30000"/>
  </r>
  <r>
    <s v="PROP00097"/>
    <x v="4"/>
    <x v="30"/>
    <x v="4"/>
    <n v="4043"/>
    <n v="12000000"/>
    <n v="2968"/>
    <n v="6"/>
    <n v="3"/>
    <n v="26"/>
    <s v="South-West"/>
    <s v="Gym; Security; Concierge"/>
    <n v="3"/>
    <n v="5"/>
    <n v="46467"/>
    <n v="4.6500000000000004"/>
    <s v="Premium"/>
    <n v="0.48229999999999995"/>
    <d v="2025-09-03T00:00:00"/>
    <n v="97"/>
    <x v="0"/>
    <n v="100"/>
    <x v="0"/>
    <b v="1"/>
    <n v="0"/>
  </r>
  <r>
    <s v="PROP00098"/>
    <x v="4"/>
    <x v="4"/>
    <x v="3"/>
    <n v="3688"/>
    <n v="12000000"/>
    <n v="3253"/>
    <n v="3"/>
    <n v="1"/>
    <n v="19"/>
    <s v="North"/>
    <s v="Concierge; Gym; Garden"/>
    <n v="3"/>
    <n v="10"/>
    <n v="34686"/>
    <n v="3.47"/>
    <s v="Premium"/>
    <n v="0.42340000000000005"/>
    <d v="2025-10-04T00:00:00"/>
    <n v="72"/>
    <x v="2"/>
    <n v="44"/>
    <x v="1"/>
    <b v="1"/>
    <n v="0"/>
  </r>
  <r>
    <s v="PROP00099"/>
    <x v="4"/>
    <x v="12"/>
    <x v="2"/>
    <n v="2470"/>
    <n v="12000000"/>
    <n v="4858"/>
    <n v="4"/>
    <n v="2"/>
    <n v="21"/>
    <s v="South-West"/>
    <s v="Garden; Library; Security; Parking; Gym; Concierge; Pool"/>
    <n v="7"/>
    <n v="9"/>
    <n v="30937"/>
    <n v="3.09"/>
    <s v="Premium"/>
    <n v="0.4047"/>
    <d v="2025-05-27T00:00:00"/>
    <n v="269"/>
    <x v="1"/>
    <n v="127"/>
    <x v="1"/>
    <b v="0"/>
    <n v="0"/>
  </r>
  <r>
    <s v="PROP00100"/>
    <x v="3"/>
    <x v="3"/>
    <x v="1"/>
    <n v="344"/>
    <n v="30000000"/>
    <n v="87209"/>
    <n v="1"/>
    <n v="1"/>
    <n v="27"/>
    <s v="South-West"/>
    <s v="Security; Parking; Concierge; Gym"/>
    <n v="4"/>
    <n v="6"/>
    <n v="102864"/>
    <n v="4.1100000000000003"/>
    <s v="Luxury"/>
    <n v="0.45569999999999999"/>
    <d v="2025-12-28T00:00:00"/>
    <n v="170"/>
    <x v="0"/>
    <n v="82"/>
    <x v="0"/>
    <b v="0"/>
    <n v="0"/>
  </r>
  <r>
    <s v="PROP00101"/>
    <x v="1"/>
    <x v="20"/>
    <x v="3"/>
    <n v="2422"/>
    <n v="50000000"/>
    <n v="20644"/>
    <n v="5"/>
    <n v="3"/>
    <n v="21"/>
    <s v="North-West"/>
    <s v="Elevator; Gym; Pool; Concierge; Security; Playground; Library"/>
    <n v="7"/>
    <n v="4"/>
    <n v="200586"/>
    <n v="4.8099999999999996"/>
    <s v="Luxury"/>
    <n v="0.49070000000000003"/>
    <d v="2025-07-08T00:00:00"/>
    <n v="98"/>
    <x v="1"/>
    <n v="84"/>
    <x v="0"/>
    <b v="0"/>
    <n v="100000"/>
  </r>
  <r>
    <s v="PROP00102"/>
    <x v="0"/>
    <x v="9"/>
    <x v="3"/>
    <n v="5249"/>
    <n v="10000000"/>
    <n v="1905"/>
    <n v="4"/>
    <n v="3"/>
    <n v="24"/>
    <s v="South-East"/>
    <s v="Library; Concierge; Playground; Parking; Elevator"/>
    <n v="5"/>
    <n v="9"/>
    <n v="33287"/>
    <n v="3.99"/>
    <s v="Premium"/>
    <n v="0.44969999999999999"/>
    <d v="2026-02-03T00:00:00"/>
    <n v="164"/>
    <x v="2"/>
    <n v="150"/>
    <x v="0"/>
    <b v="0"/>
    <n v="0"/>
  </r>
  <r>
    <s v="PROP00103"/>
    <x v="2"/>
    <x v="26"/>
    <x v="4"/>
    <n v="4812"/>
    <n v="15000000"/>
    <n v="3117"/>
    <n v="6"/>
    <n v="3"/>
    <n v="0"/>
    <s v="South-East"/>
    <s v="AC; Library; Security; Pool; Elevator"/>
    <n v="5"/>
    <n v="9"/>
    <n v="51744"/>
    <n v="4.1399999999999997"/>
    <s v="Premium"/>
    <n v="0.45700000000000002"/>
    <d v="2025-09-05T00:00:00"/>
    <n v="132"/>
    <x v="0"/>
    <n v="116"/>
    <x v="1"/>
    <b v="0"/>
    <n v="0"/>
  </r>
  <r>
    <s v="PROP00104"/>
    <x v="3"/>
    <x v="27"/>
    <x v="2"/>
    <n v="2193"/>
    <n v="30000000"/>
    <n v="13679"/>
    <n v="3"/>
    <n v="2"/>
    <n v="5"/>
    <s v="South-West"/>
    <s v="Gym; AC; Elevator; Library; Concierge; Playground; Security"/>
    <n v="7"/>
    <n v="4"/>
    <n v="106535"/>
    <n v="4.26"/>
    <s v="Luxury"/>
    <n v="0.46310000000000001"/>
    <d v="2026-03-06T00:00:00"/>
    <n v="259"/>
    <x v="2"/>
    <n v="85"/>
    <x v="1"/>
    <b v="0"/>
    <n v="60000"/>
  </r>
  <r>
    <s v="PROP00105"/>
    <x v="4"/>
    <x v="29"/>
    <x v="4"/>
    <n v="6958"/>
    <n v="12000000"/>
    <n v="1724"/>
    <n v="6"/>
    <n v="4"/>
    <n v="0"/>
    <s v="North"/>
    <s v="AC; Elevator; Library"/>
    <n v="3"/>
    <n v="4"/>
    <n v="44443"/>
    <n v="4.4400000000000004"/>
    <s v="Premium"/>
    <n v="0.47220000000000001"/>
    <d v="2024-11-12T00:00:00"/>
    <n v="358"/>
    <x v="1"/>
    <n v="158"/>
    <x v="1"/>
    <b v="1"/>
    <n v="24000"/>
  </r>
  <r>
    <s v="PROP00106"/>
    <x v="1"/>
    <x v="20"/>
    <x v="3"/>
    <n v="3974"/>
    <n v="50000000"/>
    <n v="12581"/>
    <n v="4"/>
    <n v="3"/>
    <n v="26"/>
    <s v="North-West"/>
    <s v="Security; Library; Pool; Parking; Garden"/>
    <n v="5"/>
    <n v="10"/>
    <n v="207519"/>
    <n v="4.9800000000000004"/>
    <s v="Luxury"/>
    <n v="0.499"/>
    <d v="2025-09-25T00:00:00"/>
    <n v="335"/>
    <x v="0"/>
    <n v="50"/>
    <x v="0"/>
    <b v="1"/>
    <n v="0"/>
  </r>
  <r>
    <s v="PROP00107"/>
    <x v="2"/>
    <x v="2"/>
    <x v="4"/>
    <n v="6899"/>
    <n v="15000000"/>
    <n v="2174"/>
    <n v="4"/>
    <n v="2"/>
    <n v="22"/>
    <s v="South-East"/>
    <s v="Pool; Concierge; Library; Playground"/>
    <n v="4"/>
    <n v="4"/>
    <n v="58949"/>
    <n v="4.72"/>
    <s v="Premium"/>
    <n v="0.48580000000000001"/>
    <d v="2026-02-06T00:00:00"/>
    <n v="109"/>
    <x v="1"/>
    <n v="88"/>
    <x v="1"/>
    <b v="0"/>
    <n v="30000"/>
  </r>
  <r>
    <s v="PROP00108"/>
    <x v="1"/>
    <x v="23"/>
    <x v="2"/>
    <n v="3724"/>
    <n v="50000000"/>
    <n v="13426"/>
    <n v="2"/>
    <n v="1"/>
    <n v="29"/>
    <s v="South-West"/>
    <s v="Gym; Garden; Parking; Library; Playground"/>
    <n v="5"/>
    <n v="10"/>
    <n v="149939"/>
    <n v="3.6"/>
    <s v="Luxury"/>
    <n v="0.4299"/>
    <d v="2024-10-14T00:00:00"/>
    <n v="347"/>
    <x v="0"/>
    <n v="129"/>
    <x v="1"/>
    <b v="0"/>
    <n v="100000"/>
  </r>
  <r>
    <s v="PROP00109"/>
    <x v="0"/>
    <x v="7"/>
    <x v="0"/>
    <n v="2451"/>
    <n v="10000000"/>
    <n v="4079"/>
    <n v="3"/>
    <n v="1"/>
    <n v="3"/>
    <s v="South-West"/>
    <s v="Garden; Pool; Playground; Security; Library; Concierge"/>
    <n v="6"/>
    <n v="7"/>
    <n v="30439"/>
    <n v="3.65"/>
    <s v="Premium"/>
    <n v="0.43259999999999998"/>
    <d v="2024-08-03T00:00:00"/>
    <n v="117"/>
    <x v="0"/>
    <n v="155"/>
    <x v="1"/>
    <b v="0"/>
    <n v="0"/>
  </r>
  <r>
    <s v="PROP00110"/>
    <x v="3"/>
    <x v="27"/>
    <x v="4"/>
    <n v="8412"/>
    <n v="30000000"/>
    <n v="3566"/>
    <n v="5"/>
    <n v="2"/>
    <n v="24"/>
    <s v="East"/>
    <s v="Security; Garden; Pool; Gym; Parking; Concierge; AC"/>
    <n v="7"/>
    <n v="6"/>
    <n v="90833"/>
    <n v="3.63"/>
    <s v="Luxury"/>
    <n v="0.43170000000000003"/>
    <d v="2026-01-25T00:00:00"/>
    <n v="185"/>
    <x v="0"/>
    <n v="143"/>
    <x v="1"/>
    <b v="1"/>
    <n v="60000"/>
  </r>
  <r>
    <s v="PROP00111"/>
    <x v="1"/>
    <x v="1"/>
    <x v="1"/>
    <n v="479"/>
    <n v="50000000"/>
    <n v="104384"/>
    <n v="1"/>
    <n v="1"/>
    <n v="0"/>
    <s v="South-East"/>
    <s v="Playground; AC; Pool"/>
    <n v="3"/>
    <n v="4"/>
    <n v="126028"/>
    <n v="3.02"/>
    <s v="Luxury"/>
    <n v="0.4012"/>
    <d v="2025-03-17T00:00:00"/>
    <n v="125"/>
    <x v="0"/>
    <n v="173"/>
    <x v="0"/>
    <b v="0"/>
    <n v="100000"/>
  </r>
  <r>
    <s v="PROP00112"/>
    <x v="3"/>
    <x v="3"/>
    <x v="2"/>
    <n v="2599"/>
    <n v="30000000"/>
    <n v="11542"/>
    <n v="5"/>
    <n v="2"/>
    <n v="2"/>
    <s v="North-West"/>
    <s v="Library; Security; Elevator; Parking"/>
    <n v="4"/>
    <n v="7"/>
    <n v="93056"/>
    <n v="3.72"/>
    <s v="Luxury"/>
    <n v="0.43609999999999999"/>
    <d v="2025-09-04T00:00:00"/>
    <n v="235"/>
    <x v="2"/>
    <n v="80"/>
    <x v="0"/>
    <b v="1"/>
    <n v="0"/>
  </r>
  <r>
    <s v="PROP00113"/>
    <x v="1"/>
    <x v="21"/>
    <x v="2"/>
    <n v="4947"/>
    <n v="50000000"/>
    <n v="10107"/>
    <n v="5"/>
    <n v="3"/>
    <n v="14"/>
    <s v="West"/>
    <s v="Library; Parking; Security; AC; Concierge"/>
    <n v="5"/>
    <n v="6"/>
    <n v="139803"/>
    <n v="3.36"/>
    <s v="Luxury"/>
    <n v="0.4178"/>
    <d v="2025-04-02T00:00:00"/>
    <n v="295"/>
    <x v="1"/>
    <n v="155"/>
    <x v="0"/>
    <b v="0"/>
    <n v="0"/>
  </r>
  <r>
    <s v="PROP00114"/>
    <x v="5"/>
    <x v="16"/>
    <x v="2"/>
    <n v="1966"/>
    <n v="40000000"/>
    <n v="20345"/>
    <n v="3"/>
    <n v="1"/>
    <n v="21"/>
    <s v="North-West"/>
    <s v="Gym; Concierge; Garden; AC; Parking; Elevator; Library"/>
    <n v="7"/>
    <n v="9"/>
    <n v="120188"/>
    <n v="3.61"/>
    <s v="Luxury"/>
    <n v="0.43030000000000002"/>
    <d v="2025-08-29T00:00:00"/>
    <n v="194"/>
    <x v="2"/>
    <n v="138"/>
    <x v="0"/>
    <b v="0"/>
    <n v="0"/>
  </r>
  <r>
    <s v="PROP00115"/>
    <x v="4"/>
    <x v="30"/>
    <x v="4"/>
    <n v="7150"/>
    <n v="12000000"/>
    <n v="1678"/>
    <n v="6"/>
    <n v="4"/>
    <n v="17"/>
    <s v="South"/>
    <s v="Playground; AC; Pool"/>
    <n v="3"/>
    <n v="8"/>
    <n v="43152"/>
    <n v="4.32"/>
    <s v="Premium"/>
    <n v="0.46579999999999999"/>
    <d v="2025-05-16T00:00:00"/>
    <n v="289"/>
    <x v="0"/>
    <n v="41"/>
    <x v="1"/>
    <b v="0"/>
    <n v="0"/>
  </r>
  <r>
    <s v="PROP00116"/>
    <x v="1"/>
    <x v="28"/>
    <x v="0"/>
    <n v="1459"/>
    <n v="50000000"/>
    <n v="34270"/>
    <n v="2"/>
    <n v="1"/>
    <n v="14"/>
    <s v="North-West"/>
    <s v="Library; Concierge; Parking; AC; Gym"/>
    <n v="5"/>
    <n v="9"/>
    <n v="159664"/>
    <n v="3.83"/>
    <s v="Luxury"/>
    <n v="0.44159999999999999"/>
    <d v="2026-02-16T00:00:00"/>
    <n v="179"/>
    <x v="0"/>
    <n v="66"/>
    <x v="1"/>
    <b v="0"/>
    <n v="0"/>
  </r>
  <r>
    <s v="PROP00117"/>
    <x v="3"/>
    <x v="5"/>
    <x v="1"/>
    <n v="428"/>
    <n v="30000000"/>
    <n v="70093"/>
    <n v="1"/>
    <n v="1"/>
    <n v="14"/>
    <s v="South"/>
    <s v="Concierge; Playground; Pool; Parking; Gym; AC; Security; Elevator"/>
    <n v="8"/>
    <n v="8"/>
    <n v="83217"/>
    <n v="3.33"/>
    <s v="Luxury"/>
    <n v="0.41639999999999999"/>
    <d v="2025-09-07T00:00:00"/>
    <n v="170"/>
    <x v="0"/>
    <n v="70"/>
    <x v="1"/>
    <b v="0"/>
    <n v="60000"/>
  </r>
  <r>
    <s v="PROP00118"/>
    <x v="2"/>
    <x v="33"/>
    <x v="3"/>
    <n v="3526"/>
    <n v="15000000"/>
    <n v="4254"/>
    <n v="6"/>
    <n v="4"/>
    <n v="0"/>
    <s v="West"/>
    <s v="Elevator; Garden; Concierge; Security; AC; Playground; Gym; Parking"/>
    <n v="8"/>
    <n v="10"/>
    <n v="56308"/>
    <n v="4.5"/>
    <s v="Premium"/>
    <n v="0.47520000000000001"/>
    <d v="2026-03-11T00:00:00"/>
    <n v="96"/>
    <x v="0"/>
    <n v="167"/>
    <x v="1"/>
    <b v="0"/>
    <n v="30000"/>
  </r>
  <r>
    <s v="PROP00119"/>
    <x v="2"/>
    <x v="26"/>
    <x v="2"/>
    <n v="4247"/>
    <n v="15000000"/>
    <n v="3531"/>
    <n v="5"/>
    <n v="3"/>
    <n v="19"/>
    <s v="East"/>
    <s v="Elevator; Library; Pool; Parking; AC; Garden"/>
    <n v="6"/>
    <n v="8"/>
    <n v="55149"/>
    <n v="4.41"/>
    <s v="Premium"/>
    <n v="0.47060000000000002"/>
    <d v="2025-07-14T00:00:00"/>
    <n v="345"/>
    <x v="1"/>
    <n v="51"/>
    <x v="0"/>
    <b v="0"/>
    <n v="30000"/>
  </r>
  <r>
    <s v="PROP00120"/>
    <x v="3"/>
    <x v="3"/>
    <x v="0"/>
    <n v="1149"/>
    <n v="30000000"/>
    <n v="26109"/>
    <n v="3"/>
    <n v="1"/>
    <n v="16"/>
    <s v="East"/>
    <s v="Library; Parking; Elevator; Garden; Pool; Concierge"/>
    <n v="6"/>
    <n v="10"/>
    <n v="99482"/>
    <n v="3.98"/>
    <s v="Luxury"/>
    <n v="0.44900000000000001"/>
    <d v="2025-12-22T00:00:00"/>
    <n v="318"/>
    <x v="0"/>
    <n v="145"/>
    <x v="0"/>
    <b v="0"/>
    <n v="60000"/>
  </r>
  <r>
    <s v="PROP00121"/>
    <x v="2"/>
    <x v="32"/>
    <x v="3"/>
    <n v="5145"/>
    <n v="15000000"/>
    <n v="2915"/>
    <n v="6"/>
    <n v="4"/>
    <n v="21"/>
    <s v="North"/>
    <s v="Library; Concierge; AC; Pool; Gym; Security"/>
    <n v="6"/>
    <n v="8"/>
    <n v="43013"/>
    <n v="3.44"/>
    <s v="Premium"/>
    <n v="0.42210000000000003"/>
    <d v="2026-04-11T00:00:00"/>
    <n v="87"/>
    <x v="0"/>
    <n v="103"/>
    <x v="1"/>
    <b v="0"/>
    <n v="30000"/>
  </r>
  <r>
    <s v="PROP00122"/>
    <x v="4"/>
    <x v="4"/>
    <x v="2"/>
    <n v="4674"/>
    <n v="12000000"/>
    <n v="2567"/>
    <n v="4"/>
    <n v="2"/>
    <n v="24"/>
    <s v="North-West"/>
    <s v="Concierge; AC; Garden; Elevator; Gym; Pool; Parking; Playground"/>
    <n v="8"/>
    <n v="4"/>
    <n v="47243"/>
    <n v="4.72"/>
    <s v="Premium"/>
    <n v="0.48619999999999997"/>
    <d v="2026-02-14T00:00:00"/>
    <n v="108"/>
    <x v="0"/>
    <n v="90"/>
    <x v="1"/>
    <b v="0"/>
    <n v="24000"/>
  </r>
  <r>
    <s v="PROP00123"/>
    <x v="4"/>
    <x v="6"/>
    <x v="3"/>
    <n v="3695"/>
    <n v="12000000"/>
    <n v="3247"/>
    <n v="3"/>
    <n v="2"/>
    <n v="17"/>
    <s v="North-East"/>
    <s v="Elevator; AC; Parking; Concierge; Playground"/>
    <n v="5"/>
    <n v="9"/>
    <n v="35346"/>
    <n v="3.53"/>
    <s v="Premium"/>
    <n v="0.42670000000000002"/>
    <d v="2024-12-04T00:00:00"/>
    <n v="70"/>
    <x v="1"/>
    <n v="54"/>
    <x v="1"/>
    <b v="1"/>
    <n v="0"/>
  </r>
  <r>
    <s v="PROP00124"/>
    <x v="0"/>
    <x v="34"/>
    <x v="3"/>
    <n v="4045"/>
    <n v="10000000"/>
    <n v="2472"/>
    <n v="4"/>
    <n v="3"/>
    <n v="26"/>
    <s v="North-East"/>
    <s v="Library; Concierge; Parking; Security"/>
    <n v="4"/>
    <n v="10"/>
    <n v="31252"/>
    <n v="3.75"/>
    <s v="Premium"/>
    <n v="0.4375"/>
    <d v="2026-02-26T00:00:00"/>
    <n v="207"/>
    <x v="2"/>
    <n v="53"/>
    <x v="1"/>
    <b v="0"/>
    <n v="0"/>
  </r>
  <r>
    <s v="PROP00125"/>
    <x v="2"/>
    <x v="22"/>
    <x v="4"/>
    <n v="3020"/>
    <n v="15000000"/>
    <n v="4966"/>
    <n v="6"/>
    <n v="3"/>
    <n v="23"/>
    <s v="North-West"/>
    <s v="Playground; Pool; Library; AC; Garden; Concierge"/>
    <n v="6"/>
    <n v="5"/>
    <n v="58208"/>
    <n v="4.66"/>
    <s v="Premium"/>
    <n v="0.48280000000000001"/>
    <d v="2025-06-03T00:00:00"/>
    <n v="249"/>
    <x v="0"/>
    <n v="174"/>
    <x v="1"/>
    <b v="1"/>
    <n v="30000"/>
  </r>
  <r>
    <s v="PROP00126"/>
    <x v="1"/>
    <x v="23"/>
    <x v="1"/>
    <n v="258"/>
    <n v="43113726"/>
    <n v="167107"/>
    <n v="0"/>
    <n v="1"/>
    <n v="14"/>
    <s v="East"/>
    <s v="Gym; Library; Garden; Playground; Pool; Parking"/>
    <n v="6"/>
    <n v="6"/>
    <n v="170773"/>
    <n v="4.75"/>
    <s v="Luxury"/>
    <n v="0.48770000000000002"/>
    <d v="2026-02-08T00:00:00"/>
    <n v="191"/>
    <x v="2"/>
    <n v="51"/>
    <x v="0"/>
    <b v="1"/>
    <n v="0"/>
  </r>
  <r>
    <s v="PROP00127"/>
    <x v="0"/>
    <x v="18"/>
    <x v="3"/>
    <n v="5516"/>
    <n v="10000000"/>
    <n v="1812"/>
    <n v="3"/>
    <n v="1"/>
    <n v="0"/>
    <s v="West"/>
    <s v="Concierge; Pool; Parking; Security"/>
    <n v="4"/>
    <n v="10"/>
    <n v="32417"/>
    <n v="3.89"/>
    <s v="Premium"/>
    <n v="0.44450000000000001"/>
    <d v="2026-05-06T00:00:00"/>
    <n v="217"/>
    <x v="2"/>
    <n v="60"/>
    <x v="0"/>
    <b v="0"/>
    <n v="20000"/>
  </r>
  <r>
    <s v="PROP00128"/>
    <x v="3"/>
    <x v="17"/>
    <x v="0"/>
    <n v="819"/>
    <n v="30000000"/>
    <n v="36630"/>
    <n v="1"/>
    <n v="2"/>
    <n v="11"/>
    <s v="East"/>
    <s v="Parking; Library; Elevator; Playground; AC"/>
    <n v="5"/>
    <n v="7"/>
    <n v="103164"/>
    <n v="4.13"/>
    <s v="Luxury"/>
    <n v="0.45630000000000004"/>
    <d v="2024-08-28T00:00:00"/>
    <n v="110"/>
    <x v="2"/>
    <n v="119"/>
    <x v="0"/>
    <b v="0"/>
    <n v="0"/>
  </r>
  <r>
    <s v="PROP00129"/>
    <x v="3"/>
    <x v="35"/>
    <x v="0"/>
    <n v="973"/>
    <n v="30000000"/>
    <n v="30832"/>
    <n v="1"/>
    <n v="2"/>
    <n v="11"/>
    <s v="West"/>
    <s v="Playground; Parking; Garden; AC; Elevator; Gym"/>
    <n v="6"/>
    <n v="9"/>
    <n v="105000"/>
    <n v="4.2"/>
    <s v="Luxury"/>
    <n v="0.46"/>
    <d v="2024-08-30T00:00:00"/>
    <n v="338"/>
    <x v="0"/>
    <n v="36"/>
    <x v="1"/>
    <b v="1"/>
    <n v="60000"/>
  </r>
  <r>
    <s v="PROP00130"/>
    <x v="0"/>
    <x v="8"/>
    <x v="2"/>
    <n v="4146"/>
    <n v="10000000"/>
    <n v="2411"/>
    <n v="2"/>
    <n v="1"/>
    <n v="15"/>
    <s v="North"/>
    <s v="Pool; Garden; Concierge; Playground; Security; Gym"/>
    <n v="6"/>
    <n v="10"/>
    <n v="40565"/>
    <n v="4.87"/>
    <s v="Premium"/>
    <n v="0.49340000000000006"/>
    <d v="2025-12-30T00:00:00"/>
    <n v="216"/>
    <x v="0"/>
    <n v="175"/>
    <x v="1"/>
    <b v="1"/>
    <n v="0"/>
  </r>
  <r>
    <s v="PROP00131"/>
    <x v="1"/>
    <x v="28"/>
    <x v="4"/>
    <n v="3553"/>
    <n v="50000000"/>
    <n v="14072"/>
    <n v="4"/>
    <n v="3"/>
    <n v="6"/>
    <s v="South-West"/>
    <s v="Gym; Library; Security"/>
    <n v="3"/>
    <n v="8"/>
    <n v="158523"/>
    <n v="3.8"/>
    <s v="Luxury"/>
    <n v="0.44020000000000004"/>
    <d v="2024-07-28T00:00:00"/>
    <n v="143"/>
    <x v="0"/>
    <n v="69"/>
    <x v="0"/>
    <b v="0"/>
    <n v="100000"/>
  </r>
  <r>
    <s v="PROP00132"/>
    <x v="4"/>
    <x v="6"/>
    <x v="3"/>
    <n v="6394"/>
    <n v="12000000"/>
    <n v="1876"/>
    <n v="5"/>
    <n v="3"/>
    <n v="18"/>
    <s v="South-West"/>
    <s v="Pool; Security; Library; Playground; Elevator; Gym; Concierge; AC"/>
    <n v="8"/>
    <n v="9"/>
    <n v="42245"/>
    <n v="4.22"/>
    <s v="Premium"/>
    <n v="0.4612"/>
    <d v="2026-03-19T00:00:00"/>
    <n v="62"/>
    <x v="0"/>
    <n v="74"/>
    <x v="0"/>
    <b v="1"/>
    <n v="24000"/>
  </r>
  <r>
    <s v="PROP00133"/>
    <x v="3"/>
    <x v="17"/>
    <x v="2"/>
    <n v="3642"/>
    <n v="30000000"/>
    <n v="8237"/>
    <n v="4"/>
    <n v="2"/>
    <n v="11"/>
    <s v="South-West"/>
    <s v="Security; Pool; Gym; Parking"/>
    <n v="4"/>
    <n v="9"/>
    <n v="78193"/>
    <n v="3.13"/>
    <s v="Luxury"/>
    <n v="0.40639999999999998"/>
    <d v="2024-05-15T00:00:00"/>
    <n v="255"/>
    <x v="1"/>
    <n v="49"/>
    <x v="1"/>
    <b v="0"/>
    <n v="60000"/>
  </r>
  <r>
    <s v="PROP00134"/>
    <x v="2"/>
    <x v="25"/>
    <x v="3"/>
    <n v="5012"/>
    <n v="15000000"/>
    <n v="2992"/>
    <n v="4"/>
    <n v="3"/>
    <n v="24"/>
    <s v="North"/>
    <s v="Elevator; Pool; Garden"/>
    <n v="3"/>
    <n v="6"/>
    <n v="59073"/>
    <n v="4.7300000000000004"/>
    <s v="Premium"/>
    <n v="0.48630000000000001"/>
    <d v="2025-09-06T00:00:00"/>
    <n v="77"/>
    <x v="0"/>
    <n v="128"/>
    <x v="0"/>
    <b v="1"/>
    <n v="0"/>
  </r>
  <r>
    <s v="PROP00135"/>
    <x v="3"/>
    <x v="3"/>
    <x v="3"/>
    <n v="5409"/>
    <n v="30000000"/>
    <n v="5546"/>
    <n v="5"/>
    <n v="3"/>
    <n v="26"/>
    <s v="North"/>
    <s v="Elevator; Playground; Pool"/>
    <n v="3"/>
    <n v="4"/>
    <n v="115216"/>
    <n v="4.6100000000000003"/>
    <s v="Luxury"/>
    <n v="0.48039999999999999"/>
    <d v="2026-03-28T00:00:00"/>
    <n v="145"/>
    <x v="1"/>
    <n v="149"/>
    <x v="1"/>
    <b v="0"/>
    <n v="60000"/>
  </r>
  <r>
    <s v="PROP00136"/>
    <x v="4"/>
    <x v="30"/>
    <x v="0"/>
    <n v="1911"/>
    <n v="12000000"/>
    <n v="6279"/>
    <n v="2"/>
    <n v="2"/>
    <n v="18"/>
    <s v="North-West"/>
    <s v="Elevator; Garden; Concierge; Parking; Security"/>
    <n v="5"/>
    <n v="5"/>
    <n v="45517"/>
    <n v="4.55"/>
    <s v="Premium"/>
    <n v="0.47759999999999997"/>
    <d v="2024-11-01T00:00:00"/>
    <n v="4"/>
    <x v="2"/>
    <n v="68"/>
    <x v="1"/>
    <b v="1"/>
    <n v="24000"/>
  </r>
  <r>
    <s v="PROP00137"/>
    <x v="4"/>
    <x v="31"/>
    <x v="0"/>
    <n v="1772"/>
    <n v="12000000"/>
    <n v="6772"/>
    <n v="1"/>
    <n v="2"/>
    <n v="27"/>
    <s v="East"/>
    <s v="Security; Pool; Garden; Elevator; AC; Concierge; Library; Gym"/>
    <n v="8"/>
    <n v="8"/>
    <n v="31860"/>
    <n v="3.19"/>
    <s v="Premium"/>
    <n v="0.4093"/>
    <d v="2025-09-19T00:00:00"/>
    <n v="359"/>
    <x v="1"/>
    <n v="135"/>
    <x v="1"/>
    <b v="0"/>
    <n v="24000"/>
  </r>
  <r>
    <s v="PROP00138"/>
    <x v="4"/>
    <x v="4"/>
    <x v="4"/>
    <n v="4093"/>
    <n v="12000000"/>
    <n v="2931"/>
    <n v="6"/>
    <n v="4"/>
    <n v="2"/>
    <s v="North-East"/>
    <s v="Elevator; Gym; Library; Playground; Pool; Concierge; Parking"/>
    <n v="7"/>
    <n v="9"/>
    <n v="48520"/>
    <n v="4.8499999999999996"/>
    <s v="Premium"/>
    <n v="0.49259999999999998"/>
    <d v="2025-04-07T00:00:00"/>
    <n v="163"/>
    <x v="2"/>
    <n v="113"/>
    <x v="1"/>
    <b v="0"/>
    <n v="24000"/>
  </r>
  <r>
    <s v="PROP00139"/>
    <x v="1"/>
    <x v="1"/>
    <x v="3"/>
    <n v="6789"/>
    <n v="50000000"/>
    <n v="7364"/>
    <n v="3"/>
    <n v="1"/>
    <n v="3"/>
    <s v="South"/>
    <s v="Concierge; Elevator; Playground; Garden"/>
    <n v="4"/>
    <n v="7"/>
    <n v="205386"/>
    <n v="4.93"/>
    <s v="Luxury"/>
    <n v="0.4965"/>
    <d v="2025-10-14T00:00:00"/>
    <n v="62"/>
    <x v="0"/>
    <n v="97"/>
    <x v="0"/>
    <b v="1"/>
    <n v="0"/>
  </r>
  <r>
    <s v="PROP00140"/>
    <x v="0"/>
    <x v="7"/>
    <x v="4"/>
    <n v="3330"/>
    <n v="10000000"/>
    <n v="3003"/>
    <n v="4"/>
    <n v="3"/>
    <n v="4"/>
    <s v="North"/>
    <s v="Garden; Playground; Library"/>
    <n v="3"/>
    <n v="7"/>
    <n v="29336"/>
    <n v="3.52"/>
    <s v="Premium"/>
    <n v="0.42599999999999999"/>
    <d v="2025-11-17T00:00:00"/>
    <n v="285"/>
    <x v="0"/>
    <n v="145"/>
    <x v="0"/>
    <b v="1"/>
    <n v="0"/>
  </r>
  <r>
    <s v="PROP00141"/>
    <x v="1"/>
    <x v="1"/>
    <x v="0"/>
    <n v="448"/>
    <n v="50000000"/>
    <n v="111607"/>
    <n v="1"/>
    <n v="1"/>
    <n v="4"/>
    <s v="North-East"/>
    <s v="Library; Playground; Pool; Security"/>
    <n v="4"/>
    <n v="9"/>
    <n v="131248"/>
    <n v="3.15"/>
    <s v="Luxury"/>
    <n v="0.40749999999999997"/>
    <d v="2026-03-09T00:00:00"/>
    <n v="66"/>
    <x v="0"/>
    <n v="143"/>
    <x v="0"/>
    <b v="0"/>
    <n v="100000"/>
  </r>
  <r>
    <s v="PROP00142"/>
    <x v="1"/>
    <x v="21"/>
    <x v="0"/>
    <n v="1088"/>
    <n v="50000000"/>
    <n v="45955"/>
    <n v="4"/>
    <n v="3"/>
    <n v="15"/>
    <s v="South-East"/>
    <s v="Library; Elevator; Parking"/>
    <n v="3"/>
    <n v="5"/>
    <n v="140595"/>
    <n v="3.37"/>
    <s v="Luxury"/>
    <n v="0.41869999999999996"/>
    <d v="2025-08-01T00:00:00"/>
    <n v="315"/>
    <x v="0"/>
    <n v="38"/>
    <x v="0"/>
    <b v="0"/>
    <n v="0"/>
  </r>
  <r>
    <s v="PROP00143"/>
    <x v="2"/>
    <x v="25"/>
    <x v="1"/>
    <n v="281"/>
    <n v="15000000"/>
    <n v="53380"/>
    <n v="0"/>
    <n v="2"/>
    <n v="12"/>
    <s v="North"/>
    <s v="Library; Garden; AC; Playground"/>
    <n v="4"/>
    <n v="10"/>
    <n v="57047"/>
    <n v="4.5599999999999996"/>
    <s v="Premium"/>
    <n v="0.47820000000000001"/>
    <d v="2025-05-12T00:00:00"/>
    <n v="177"/>
    <x v="0"/>
    <n v="154"/>
    <x v="1"/>
    <b v="0"/>
    <n v="0"/>
  </r>
  <r>
    <s v="PROP00144"/>
    <x v="3"/>
    <x v="35"/>
    <x v="2"/>
    <n v="3945"/>
    <n v="30000000"/>
    <n v="7604"/>
    <n v="3"/>
    <n v="1"/>
    <n v="28"/>
    <s v="West"/>
    <s v="Gym; Concierge; Playground; Library; Security"/>
    <n v="5"/>
    <n v="8"/>
    <n v="80006"/>
    <n v="3.2"/>
    <s v="Luxury"/>
    <n v="0.41"/>
    <d v="2024-07-11T00:00:00"/>
    <n v="113"/>
    <x v="0"/>
    <n v="44"/>
    <x v="1"/>
    <b v="0"/>
    <n v="60000"/>
  </r>
  <r>
    <s v="PROP00145"/>
    <x v="3"/>
    <x v="15"/>
    <x v="4"/>
    <n v="5605"/>
    <n v="30000000"/>
    <n v="5352"/>
    <n v="6"/>
    <n v="4"/>
    <n v="29"/>
    <s v="East"/>
    <s v="Gym; Playground; Parking; Security; Pool; Garden; Concierge"/>
    <n v="7"/>
    <n v="4"/>
    <n v="79512"/>
    <n v="3.18"/>
    <s v="Luxury"/>
    <n v="0.40899999999999997"/>
    <d v="2025-09-18T00:00:00"/>
    <n v="245"/>
    <x v="2"/>
    <n v="164"/>
    <x v="0"/>
    <b v="0"/>
    <n v="60000"/>
  </r>
  <r>
    <s v="PROP00146"/>
    <x v="3"/>
    <x v="3"/>
    <x v="3"/>
    <n v="4650"/>
    <n v="30000000"/>
    <n v="6451"/>
    <n v="3"/>
    <n v="1"/>
    <n v="4"/>
    <s v="South-East"/>
    <s v="Parking; Pool; Playground; Gym; Elevator; Garden; Library"/>
    <n v="7"/>
    <n v="7"/>
    <n v="81822"/>
    <n v="3.27"/>
    <s v="Luxury"/>
    <n v="0.41359999999999997"/>
    <d v="2025-12-04T00:00:00"/>
    <n v="333"/>
    <x v="2"/>
    <n v="154"/>
    <x v="1"/>
    <b v="1"/>
    <n v="0"/>
  </r>
  <r>
    <s v="PROP00147"/>
    <x v="3"/>
    <x v="27"/>
    <x v="4"/>
    <n v="9672"/>
    <n v="30000000"/>
    <n v="3101"/>
    <n v="4"/>
    <n v="3"/>
    <n v="9"/>
    <s v="North"/>
    <s v="Security; Parking; AC; Playground; Gym; Elevator; Garden; Concierge"/>
    <n v="8"/>
    <n v="8"/>
    <n v="90910"/>
    <n v="3.64"/>
    <s v="Luxury"/>
    <n v="0.43180000000000002"/>
    <d v="2024-08-26T00:00:00"/>
    <n v="255"/>
    <x v="0"/>
    <n v="56"/>
    <x v="0"/>
    <b v="0"/>
    <n v="60000"/>
  </r>
  <r>
    <s v="PROP00148"/>
    <x v="3"/>
    <x v="3"/>
    <x v="2"/>
    <n v="2187"/>
    <n v="30000000"/>
    <n v="13717"/>
    <n v="2"/>
    <n v="2"/>
    <n v="14"/>
    <s v="South"/>
    <s v="Security; Garden; AC"/>
    <n v="3"/>
    <n v="7"/>
    <n v="114351"/>
    <n v="4.57"/>
    <s v="Luxury"/>
    <n v="0.47869999999999996"/>
    <d v="2026-05-13T00:00:00"/>
    <n v="86"/>
    <x v="0"/>
    <n v="137"/>
    <x v="1"/>
    <b v="0"/>
    <n v="0"/>
  </r>
  <r>
    <s v="PROP00149"/>
    <x v="5"/>
    <x v="14"/>
    <x v="1"/>
    <n v="301"/>
    <n v="30567155"/>
    <n v="101552"/>
    <n v="1"/>
    <n v="1"/>
    <n v="5"/>
    <s v="South"/>
    <s v="Pool; Gym; Security; AC; Parking; Playground"/>
    <n v="6"/>
    <n v="4"/>
    <n v="85083"/>
    <n v="3.34"/>
    <s v="Luxury"/>
    <n v="0.41700000000000004"/>
    <d v="2025-04-25T00:00:00"/>
    <n v="48"/>
    <x v="0"/>
    <n v="170"/>
    <x v="1"/>
    <b v="0"/>
    <n v="61134"/>
  </r>
  <r>
    <s v="PROP00150"/>
    <x v="2"/>
    <x v="33"/>
    <x v="3"/>
    <n v="6975"/>
    <n v="15000000"/>
    <n v="2150"/>
    <n v="6"/>
    <n v="3"/>
    <n v="1"/>
    <s v="South-West"/>
    <s v="Playground; Garden; AC"/>
    <n v="3"/>
    <n v="6"/>
    <n v="55550"/>
    <n v="4.4400000000000004"/>
    <s v="Premium"/>
    <n v="0.47220000000000001"/>
    <d v="2024-11-07T00:00:00"/>
    <n v="122"/>
    <x v="0"/>
    <n v="106"/>
    <x v="0"/>
    <b v="1"/>
    <n v="0"/>
  </r>
  <r>
    <s v="PROP00151"/>
    <x v="4"/>
    <x v="12"/>
    <x v="1"/>
    <n v="328"/>
    <n v="12000000"/>
    <n v="36585"/>
    <n v="0"/>
    <n v="2"/>
    <n v="0"/>
    <s v="West"/>
    <s v="Pool; Security; Concierge; Elevator; Gym; Playground"/>
    <n v="6"/>
    <n v="4"/>
    <n v="35836"/>
    <n v="3.58"/>
    <s v="Premium"/>
    <n v="0.42920000000000003"/>
    <d v="2026-02-20T00:00:00"/>
    <n v="204"/>
    <x v="0"/>
    <n v="108"/>
    <x v="1"/>
    <b v="0"/>
    <n v="0"/>
  </r>
  <r>
    <s v="PROP00152"/>
    <x v="1"/>
    <x v="23"/>
    <x v="4"/>
    <n v="6174"/>
    <n v="50000000"/>
    <n v="8098"/>
    <n v="4"/>
    <n v="3"/>
    <n v="28"/>
    <s v="North-West"/>
    <s v="Playground; Parking; Concierge; Gym; AC; Garden"/>
    <n v="6"/>
    <n v="10"/>
    <n v="194756"/>
    <n v="4.67"/>
    <s v="Luxury"/>
    <n v="0.48369999999999996"/>
    <d v="2024-10-14T00:00:00"/>
    <n v="44"/>
    <x v="0"/>
    <n v="54"/>
    <x v="1"/>
    <b v="0"/>
    <n v="100000"/>
  </r>
  <r>
    <s v="PROP00153"/>
    <x v="4"/>
    <x v="4"/>
    <x v="1"/>
    <n v="517"/>
    <n v="12000000"/>
    <n v="23210"/>
    <n v="1"/>
    <n v="2"/>
    <n v="18"/>
    <s v="North"/>
    <s v="Concierge; Security; Pool; Garden"/>
    <n v="4"/>
    <n v="8"/>
    <n v="48009"/>
    <n v="4.8"/>
    <s v="Premium"/>
    <n v="0.49"/>
    <d v="2024-10-06T00:00:00"/>
    <n v="62"/>
    <x v="2"/>
    <n v="67"/>
    <x v="1"/>
    <b v="1"/>
    <n v="24000"/>
  </r>
  <r>
    <s v="PROP00154"/>
    <x v="3"/>
    <x v="15"/>
    <x v="3"/>
    <n v="2349"/>
    <n v="30000000"/>
    <n v="12771"/>
    <n v="6"/>
    <n v="3"/>
    <n v="21"/>
    <s v="South"/>
    <s v="Garden; Parking; Security; AC; Playground; Gym"/>
    <n v="6"/>
    <n v="8"/>
    <n v="94867"/>
    <n v="3.79"/>
    <s v="Luxury"/>
    <n v="0.43969999999999998"/>
    <d v="2025-06-15T00:00:00"/>
    <n v="7"/>
    <x v="1"/>
    <n v="147"/>
    <x v="1"/>
    <b v="1"/>
    <n v="0"/>
  </r>
  <r>
    <s v="PROP00155"/>
    <x v="3"/>
    <x v="15"/>
    <x v="4"/>
    <n v="7816"/>
    <n v="30000000"/>
    <n v="3838"/>
    <n v="6"/>
    <n v="3"/>
    <n v="29"/>
    <s v="South-East"/>
    <s v="Elevator; Pool; Security"/>
    <n v="3"/>
    <n v="8"/>
    <n v="88206"/>
    <n v="3.53"/>
    <s v="Luxury"/>
    <n v="0.4264"/>
    <d v="2024-07-13T00:00:00"/>
    <n v="20"/>
    <x v="0"/>
    <n v="151"/>
    <x v="0"/>
    <b v="0"/>
    <n v="0"/>
  </r>
  <r>
    <s v="PROP00156"/>
    <x v="3"/>
    <x v="5"/>
    <x v="4"/>
    <n v="8577"/>
    <n v="30000000"/>
    <n v="3497"/>
    <n v="6"/>
    <n v="4"/>
    <n v="1"/>
    <s v="South-East"/>
    <s v="Playground; Garden; Gym; Elevator; AC; Parking"/>
    <n v="6"/>
    <n v="10"/>
    <n v="115869"/>
    <n v="4.63"/>
    <s v="Luxury"/>
    <n v="0.48170000000000002"/>
    <d v="2025-07-08T00:00:00"/>
    <n v="357"/>
    <x v="0"/>
    <n v="155"/>
    <x v="0"/>
    <b v="1"/>
    <n v="60000"/>
  </r>
  <r>
    <s v="PROP00157"/>
    <x v="5"/>
    <x v="19"/>
    <x v="1"/>
    <n v="414"/>
    <n v="40000000"/>
    <n v="96618"/>
    <n v="1"/>
    <n v="2"/>
    <n v="19"/>
    <s v="East"/>
    <s v="Pool; Garden; Concierge; Elevator; AC; Playground; Parking; Gym"/>
    <n v="8"/>
    <n v="10"/>
    <n v="147304"/>
    <n v="4.42"/>
    <s v="Luxury"/>
    <n v="0.47100000000000003"/>
    <d v="2025-03-27T00:00:00"/>
    <n v="292"/>
    <x v="0"/>
    <n v="164"/>
    <x v="0"/>
    <b v="1"/>
    <n v="80000"/>
  </r>
  <r>
    <s v="PROP00158"/>
    <x v="3"/>
    <x v="35"/>
    <x v="3"/>
    <n v="2270"/>
    <n v="30000000"/>
    <n v="13215"/>
    <n v="6"/>
    <n v="3"/>
    <n v="29"/>
    <s v="South-West"/>
    <s v="Garden; Security; Playground; Library; Elevator"/>
    <n v="5"/>
    <n v="7"/>
    <n v="81193"/>
    <n v="3.25"/>
    <s v="Luxury"/>
    <n v="0.41240000000000004"/>
    <d v="2026-04-13T00:00:00"/>
    <n v="91"/>
    <x v="0"/>
    <n v="144"/>
    <x v="1"/>
    <b v="0"/>
    <n v="0"/>
  </r>
  <r>
    <s v="PROP00159"/>
    <x v="3"/>
    <x v="3"/>
    <x v="0"/>
    <n v="1567"/>
    <n v="30000000"/>
    <n v="19144"/>
    <n v="1"/>
    <n v="2"/>
    <n v="1"/>
    <s v="West"/>
    <s v="Elevator; Garden; AC; Playground"/>
    <n v="4"/>
    <n v="10"/>
    <n v="88454"/>
    <n v="3.54"/>
    <s v="Luxury"/>
    <n v="0.4269"/>
    <d v="2025-03-21T00:00:00"/>
    <n v="243"/>
    <x v="0"/>
    <n v="32"/>
    <x v="0"/>
    <b v="1"/>
    <n v="60000"/>
  </r>
  <r>
    <s v="PROP00160"/>
    <x v="3"/>
    <x v="3"/>
    <x v="4"/>
    <n v="9595"/>
    <n v="30000000"/>
    <n v="3126"/>
    <n v="5"/>
    <n v="3"/>
    <n v="13"/>
    <s v="South-West"/>
    <s v="Playground; Concierge; Security; Pool; Garden; Parking"/>
    <n v="6"/>
    <n v="10"/>
    <n v="75367"/>
    <n v="3.01"/>
    <s v="Luxury"/>
    <n v="0.4007"/>
    <d v="2024-07-05T00:00:00"/>
    <n v="288"/>
    <x v="1"/>
    <n v="125"/>
    <x v="1"/>
    <b v="0"/>
    <n v="60000"/>
  </r>
  <r>
    <s v="PROP00161"/>
    <x v="2"/>
    <x v="26"/>
    <x v="2"/>
    <n v="2632"/>
    <n v="15000000"/>
    <n v="5699"/>
    <n v="4"/>
    <n v="3"/>
    <n v="8"/>
    <s v="South-East"/>
    <s v="Security; Garden; Parking; Elevator; Pool; Gym; AC; Concierge"/>
    <n v="8"/>
    <n v="6"/>
    <n v="55532"/>
    <n v="4.4400000000000004"/>
    <s v="Premium"/>
    <n v="0.47210000000000002"/>
    <d v="2024-07-12T00:00:00"/>
    <n v="215"/>
    <x v="0"/>
    <n v="96"/>
    <x v="1"/>
    <b v="0"/>
    <n v="30000"/>
  </r>
  <r>
    <s v="PROP00162"/>
    <x v="4"/>
    <x v="29"/>
    <x v="4"/>
    <n v="9684"/>
    <n v="12000000"/>
    <n v="1239"/>
    <n v="4"/>
    <n v="3"/>
    <n v="23"/>
    <s v="East"/>
    <s v="Garden; AC; Concierge; Playground; Parking; Security; Library; Gym"/>
    <n v="8"/>
    <n v="8"/>
    <n v="39415"/>
    <n v="3.94"/>
    <s v="Premium"/>
    <n v="0.4471"/>
    <d v="2025-08-23T00:00:00"/>
    <n v="349"/>
    <x v="2"/>
    <n v="76"/>
    <x v="1"/>
    <b v="1"/>
    <n v="24000"/>
  </r>
  <r>
    <s v="PROP00163"/>
    <x v="5"/>
    <x v="10"/>
    <x v="2"/>
    <n v="3222"/>
    <n v="40000000"/>
    <n v="12414"/>
    <n v="4"/>
    <n v="3"/>
    <n v="8"/>
    <s v="North-West"/>
    <s v="Security; Concierge; Pool; Garden; Gym; Elevator; Playground"/>
    <n v="7"/>
    <n v="6"/>
    <n v="133365"/>
    <n v="4"/>
    <s v="Luxury"/>
    <n v="0.45"/>
    <d v="2024-06-16T00:00:00"/>
    <n v="28"/>
    <x v="0"/>
    <n v="135"/>
    <x v="0"/>
    <b v="1"/>
    <n v="80000"/>
  </r>
  <r>
    <s v="PROP00164"/>
    <x v="5"/>
    <x v="16"/>
    <x v="4"/>
    <n v="6748"/>
    <n v="40000000"/>
    <n v="5927"/>
    <n v="4"/>
    <n v="3"/>
    <n v="27"/>
    <s v="North"/>
    <s v="Parking; Pool; Concierge; Elevator; Playground; AC; Library; Garden"/>
    <n v="8"/>
    <n v="5"/>
    <n v="118235"/>
    <n v="3.55"/>
    <s v="Luxury"/>
    <n v="0.4274"/>
    <d v="2025-11-23T00:00:00"/>
    <n v="46"/>
    <x v="0"/>
    <n v="155"/>
    <x v="0"/>
    <b v="0"/>
    <n v="0"/>
  </r>
  <r>
    <s v="PROP00165"/>
    <x v="2"/>
    <x v="2"/>
    <x v="1"/>
    <n v="446"/>
    <n v="15000000"/>
    <n v="33632"/>
    <n v="0"/>
    <n v="1"/>
    <n v="17"/>
    <s v="West"/>
    <s v="Playground; Gym; Elevator; Library"/>
    <n v="4"/>
    <n v="6"/>
    <n v="37603"/>
    <n v="3.01"/>
    <s v="Premium"/>
    <n v="0.40039999999999998"/>
    <d v="2025-09-02T00:00:00"/>
    <n v="67"/>
    <x v="0"/>
    <n v="109"/>
    <x v="0"/>
    <b v="0"/>
    <n v="0"/>
  </r>
  <r>
    <s v="PROP00166"/>
    <x v="3"/>
    <x v="35"/>
    <x v="0"/>
    <n v="1621"/>
    <n v="30000000"/>
    <n v="18507"/>
    <n v="3"/>
    <n v="2"/>
    <n v="23"/>
    <s v="North-West"/>
    <s v="Elevator; AC; Playground; Garden; Concierge; Pool; Parking"/>
    <n v="7"/>
    <n v="5"/>
    <n v="84421"/>
    <n v="3.38"/>
    <s v="Luxury"/>
    <n v="0.41880000000000001"/>
    <d v="2025-03-27T00:00:00"/>
    <n v="109"/>
    <x v="0"/>
    <n v="63"/>
    <x v="0"/>
    <b v="1"/>
    <n v="60000"/>
  </r>
  <r>
    <s v="PROP00167"/>
    <x v="5"/>
    <x v="19"/>
    <x v="0"/>
    <n v="1936"/>
    <n v="40000000"/>
    <n v="20661"/>
    <n v="3"/>
    <n v="1"/>
    <n v="19"/>
    <s v="South"/>
    <s v="Pool; Gym; AC"/>
    <n v="3"/>
    <n v="9"/>
    <n v="125350"/>
    <n v="3.76"/>
    <s v="Luxury"/>
    <n v="0.43799999999999994"/>
    <d v="2024-10-31T00:00:00"/>
    <n v="106"/>
    <x v="0"/>
    <n v="69"/>
    <x v="0"/>
    <b v="0"/>
    <n v="0"/>
  </r>
  <r>
    <s v="PROP00168"/>
    <x v="0"/>
    <x v="0"/>
    <x v="4"/>
    <n v="5211"/>
    <n v="10000000"/>
    <n v="1919"/>
    <n v="6"/>
    <n v="3"/>
    <n v="13"/>
    <s v="South"/>
    <s v="AC; Pool; Security"/>
    <n v="3"/>
    <n v="6"/>
    <n v="33295"/>
    <n v="4"/>
    <s v="Premium"/>
    <n v="0.44979999999999998"/>
    <d v="2024-08-29T00:00:00"/>
    <n v="104"/>
    <x v="0"/>
    <n v="163"/>
    <x v="1"/>
    <b v="0"/>
    <n v="0"/>
  </r>
  <r>
    <s v="PROP00169"/>
    <x v="3"/>
    <x v="35"/>
    <x v="4"/>
    <n v="7066"/>
    <n v="30000000"/>
    <n v="4245"/>
    <n v="4"/>
    <n v="3"/>
    <n v="10"/>
    <s v="North-West"/>
    <s v="Gym; Elevator; Pool; AC"/>
    <n v="4"/>
    <n v="9"/>
    <n v="79504"/>
    <n v="3.18"/>
    <s v="Luxury"/>
    <n v="0.40899999999999997"/>
    <d v="2024-12-07T00:00:00"/>
    <n v="132"/>
    <x v="0"/>
    <n v="55"/>
    <x v="0"/>
    <b v="0"/>
    <n v="0"/>
  </r>
  <r>
    <s v="PROP00170"/>
    <x v="5"/>
    <x v="16"/>
    <x v="0"/>
    <n v="808"/>
    <n v="40000000"/>
    <n v="49504"/>
    <n v="2"/>
    <n v="1"/>
    <n v="27"/>
    <s v="South"/>
    <s v="Playground; Elevator; Library; AC; Gym"/>
    <n v="5"/>
    <n v="9"/>
    <n v="159352"/>
    <n v="4.78"/>
    <s v="Luxury"/>
    <n v="0.48899999999999999"/>
    <d v="2026-05-05T00:00:00"/>
    <n v="169"/>
    <x v="1"/>
    <n v="73"/>
    <x v="1"/>
    <b v="0"/>
    <n v="0"/>
  </r>
  <r>
    <s v="PROP00171"/>
    <x v="0"/>
    <x v="0"/>
    <x v="2"/>
    <n v="4838"/>
    <n v="10000000"/>
    <n v="2066"/>
    <n v="4"/>
    <n v="2"/>
    <n v="3"/>
    <s v="South-West"/>
    <s v="Library; Concierge; Security; Elevator; Garden; Playground"/>
    <n v="6"/>
    <n v="9"/>
    <n v="38281"/>
    <n v="4.59"/>
    <s v="Premium"/>
    <n v="0.47970000000000002"/>
    <d v="2026-01-19T00:00:00"/>
    <n v="82"/>
    <x v="0"/>
    <n v="45"/>
    <x v="0"/>
    <b v="0"/>
    <n v="0"/>
  </r>
  <r>
    <s v="PROP00172"/>
    <x v="4"/>
    <x v="29"/>
    <x v="1"/>
    <n v="342"/>
    <n v="12000000"/>
    <n v="35087"/>
    <n v="1"/>
    <n v="2"/>
    <n v="19"/>
    <s v="South"/>
    <s v="Parking; Concierge; AC"/>
    <n v="3"/>
    <n v="6"/>
    <n v="38813"/>
    <n v="3.88"/>
    <s v="Premium"/>
    <n v="0.44409999999999994"/>
    <d v="2026-03-11T00:00:00"/>
    <n v="361"/>
    <x v="0"/>
    <n v="33"/>
    <x v="0"/>
    <b v="0"/>
    <n v="24000"/>
  </r>
  <r>
    <s v="PROP00173"/>
    <x v="2"/>
    <x v="33"/>
    <x v="3"/>
    <n v="5947"/>
    <n v="15000000"/>
    <n v="2522"/>
    <n v="5"/>
    <n v="3"/>
    <n v="4"/>
    <s v="North-West"/>
    <s v="Elevator; Gym; AC; Playground; Pool; Security; Garden"/>
    <n v="7"/>
    <n v="6"/>
    <n v="39371"/>
    <n v="3.15"/>
    <s v="Premium"/>
    <n v="0.40749999999999997"/>
    <d v="2024-12-27T00:00:00"/>
    <n v="26"/>
    <x v="0"/>
    <n v="101"/>
    <x v="0"/>
    <b v="0"/>
    <n v="0"/>
  </r>
  <r>
    <s v="PROP00174"/>
    <x v="3"/>
    <x v="35"/>
    <x v="1"/>
    <n v="477"/>
    <n v="30000000"/>
    <n v="62893"/>
    <n v="1"/>
    <n v="1"/>
    <n v="27"/>
    <s v="South"/>
    <s v="Concierge; Playground; Pool; Garden; AC; Gym"/>
    <n v="6"/>
    <n v="4"/>
    <n v="76791"/>
    <n v="3.07"/>
    <s v="Luxury"/>
    <n v="0.40360000000000001"/>
    <d v="2024-10-29T00:00:00"/>
    <n v="261"/>
    <x v="0"/>
    <n v="107"/>
    <x v="0"/>
    <b v="0"/>
    <n v="0"/>
  </r>
  <r>
    <s v="PROP00175"/>
    <x v="5"/>
    <x v="11"/>
    <x v="3"/>
    <n v="5722"/>
    <n v="40000000"/>
    <n v="6990"/>
    <n v="5"/>
    <n v="3"/>
    <n v="22"/>
    <s v="South-East"/>
    <s v="Playground; Concierge; Pool; Gym; Elevator; AC; Library; Security"/>
    <n v="8"/>
    <n v="6"/>
    <n v="164295"/>
    <n v="4.93"/>
    <s v="Luxury"/>
    <n v="0.49640000000000001"/>
    <d v="2025-07-20T00:00:00"/>
    <n v="24"/>
    <x v="0"/>
    <n v="57"/>
    <x v="0"/>
    <b v="0"/>
    <n v="80000"/>
  </r>
  <r>
    <s v="PROP00176"/>
    <x v="0"/>
    <x v="7"/>
    <x v="1"/>
    <n v="304"/>
    <n v="10000000"/>
    <n v="32894"/>
    <n v="1"/>
    <n v="1"/>
    <n v="6"/>
    <s v="West"/>
    <s v="Library; Garden; Concierge"/>
    <n v="3"/>
    <n v="9"/>
    <n v="26796"/>
    <n v="3.22"/>
    <s v="Premium"/>
    <n v="0.4108"/>
    <d v="2025-03-16T00:00:00"/>
    <n v="64"/>
    <x v="0"/>
    <n v="180"/>
    <x v="1"/>
    <b v="0"/>
    <n v="20000"/>
  </r>
  <r>
    <s v="PROP00177"/>
    <x v="2"/>
    <x v="26"/>
    <x v="4"/>
    <n v="9031"/>
    <n v="15000000"/>
    <n v="1660"/>
    <n v="4"/>
    <n v="3"/>
    <n v="26"/>
    <s v="South"/>
    <s v="Concierge; AC; Parking; Playground; Security; Pool; Library"/>
    <n v="7"/>
    <n v="7"/>
    <n v="52513"/>
    <n v="4.2"/>
    <s v="Premium"/>
    <n v="0.46009999999999995"/>
    <d v="2025-06-19T00:00:00"/>
    <n v="312"/>
    <x v="0"/>
    <n v="137"/>
    <x v="0"/>
    <b v="0"/>
    <n v="0"/>
  </r>
  <r>
    <s v="PROP00178"/>
    <x v="5"/>
    <x v="13"/>
    <x v="1"/>
    <n v="318"/>
    <n v="33863478"/>
    <n v="106488"/>
    <n v="0"/>
    <n v="2"/>
    <n v="19"/>
    <s v="West"/>
    <s v="AC; Security; Playground; Concierge; Library; Elevator; Pool; Gym"/>
    <n v="8"/>
    <n v="5"/>
    <n v="101058"/>
    <n v="3.58"/>
    <s v="Luxury"/>
    <n v="0.42909999999999998"/>
    <d v="2025-05-26T00:00:00"/>
    <n v="258"/>
    <x v="1"/>
    <n v="75"/>
    <x v="1"/>
    <b v="1"/>
    <n v="0"/>
  </r>
  <r>
    <s v="PROP00179"/>
    <x v="4"/>
    <x v="30"/>
    <x v="4"/>
    <n v="7674"/>
    <n v="12000000"/>
    <n v="1563"/>
    <n v="6"/>
    <n v="4"/>
    <n v="21"/>
    <s v="South-West"/>
    <s v="AC; Security; Library; Concierge; Gym; Elevator; Playground; Garden"/>
    <n v="8"/>
    <n v="10"/>
    <n v="43405"/>
    <n v="4.34"/>
    <s v="Premium"/>
    <n v="0.46700000000000003"/>
    <d v="2025-10-22T00:00:00"/>
    <n v="147"/>
    <x v="0"/>
    <n v="71"/>
    <x v="1"/>
    <b v="1"/>
    <n v="24000"/>
  </r>
  <r>
    <s v="PROP00180"/>
    <x v="0"/>
    <x v="18"/>
    <x v="3"/>
    <n v="6433"/>
    <n v="10000000"/>
    <n v="1554"/>
    <n v="3"/>
    <n v="2"/>
    <n v="26"/>
    <s v="South-West"/>
    <s v="Pool; AC; Garden; Playground; Library; Security"/>
    <n v="6"/>
    <n v="9"/>
    <n v="38071"/>
    <n v="4.57"/>
    <s v="Premium"/>
    <n v="0.47840000000000005"/>
    <d v="2024-06-01T00:00:00"/>
    <n v="196"/>
    <x v="0"/>
    <n v="42"/>
    <x v="1"/>
    <b v="0"/>
    <n v="0"/>
  </r>
  <r>
    <s v="PROP00181"/>
    <x v="4"/>
    <x v="4"/>
    <x v="0"/>
    <n v="1429"/>
    <n v="12000000"/>
    <n v="8397"/>
    <n v="2"/>
    <n v="2"/>
    <n v="26"/>
    <s v="West"/>
    <s v="Playground; AC; Garden; Library"/>
    <n v="4"/>
    <n v="5"/>
    <n v="33548"/>
    <n v="3.35"/>
    <s v="Premium"/>
    <n v="0.41770000000000002"/>
    <d v="2024-06-14T00:00:00"/>
    <n v="62"/>
    <x v="0"/>
    <n v="161"/>
    <x v="1"/>
    <b v="1"/>
    <n v="0"/>
  </r>
  <r>
    <s v="PROP00182"/>
    <x v="5"/>
    <x v="14"/>
    <x v="2"/>
    <n v="2032"/>
    <n v="40000000"/>
    <n v="19685"/>
    <n v="3"/>
    <n v="2"/>
    <n v="0"/>
    <s v="North"/>
    <s v="Concierge; Parking; Gym; Pool; AC"/>
    <n v="5"/>
    <n v="10"/>
    <n v="141691"/>
    <n v="4.25"/>
    <s v="Luxury"/>
    <n v="0.46250000000000002"/>
    <d v="2024-07-06T00:00:00"/>
    <n v="282"/>
    <x v="0"/>
    <n v="176"/>
    <x v="1"/>
    <b v="1"/>
    <n v="0"/>
  </r>
  <r>
    <s v="PROP00183"/>
    <x v="4"/>
    <x v="6"/>
    <x v="3"/>
    <n v="6264"/>
    <n v="12000000"/>
    <n v="1915"/>
    <n v="3"/>
    <n v="1"/>
    <n v="13"/>
    <s v="South-East"/>
    <s v="AC; Library; Pool; Parking; Concierge; Playground; Elevator"/>
    <n v="7"/>
    <n v="8"/>
    <n v="34368"/>
    <n v="3.44"/>
    <s v="Premium"/>
    <n v="0.42180000000000001"/>
    <d v="2024-08-19T00:00:00"/>
    <n v="59"/>
    <x v="0"/>
    <n v="32"/>
    <x v="1"/>
    <b v="0"/>
    <n v="24000"/>
  </r>
  <r>
    <s v="PROP00184"/>
    <x v="0"/>
    <x v="9"/>
    <x v="4"/>
    <n v="4997"/>
    <n v="10000000"/>
    <n v="2001"/>
    <n v="4"/>
    <n v="3"/>
    <n v="12"/>
    <s v="North"/>
    <s v="Library; Security; AC"/>
    <n v="3"/>
    <n v="8"/>
    <n v="38701"/>
    <n v="4.6399999999999997"/>
    <s v="Premium"/>
    <n v="0.48219999999999996"/>
    <d v="2025-04-26T00:00:00"/>
    <n v="250"/>
    <x v="0"/>
    <n v="144"/>
    <x v="0"/>
    <b v="0"/>
    <n v="20000"/>
  </r>
  <r>
    <s v="PROP00185"/>
    <x v="5"/>
    <x v="14"/>
    <x v="0"/>
    <n v="793"/>
    <n v="40000000"/>
    <n v="50441"/>
    <n v="2"/>
    <n v="1"/>
    <n v="20"/>
    <s v="South"/>
    <s v="Garden; Elevator; Library"/>
    <n v="3"/>
    <n v="4"/>
    <n v="155249"/>
    <n v="4.66"/>
    <s v="Luxury"/>
    <n v="0.4829"/>
    <d v="2025-02-23T00:00:00"/>
    <n v="13"/>
    <x v="2"/>
    <n v="69"/>
    <x v="1"/>
    <b v="0"/>
    <n v="80000"/>
  </r>
  <r>
    <s v="PROP00186"/>
    <x v="1"/>
    <x v="28"/>
    <x v="0"/>
    <n v="1129"/>
    <n v="50000000"/>
    <n v="44286"/>
    <n v="3"/>
    <n v="1"/>
    <n v="18"/>
    <s v="South-West"/>
    <s v="Security; Library; AC; Garden"/>
    <n v="4"/>
    <n v="4"/>
    <n v="126407"/>
    <n v="3.03"/>
    <s v="Luxury"/>
    <n v="0.4017"/>
    <d v="2024-06-24T00:00:00"/>
    <n v="300"/>
    <x v="0"/>
    <n v="46"/>
    <x v="0"/>
    <b v="1"/>
    <n v="0"/>
  </r>
  <r>
    <s v="PROP00187"/>
    <x v="4"/>
    <x v="4"/>
    <x v="2"/>
    <n v="4723"/>
    <n v="12000000"/>
    <n v="2540"/>
    <n v="4"/>
    <n v="2"/>
    <n v="9"/>
    <s v="West"/>
    <s v="Library; Elevator; Gym; Garden; Pool; Security"/>
    <n v="6"/>
    <n v="9"/>
    <n v="37819"/>
    <n v="3.78"/>
    <s v="Premium"/>
    <n v="0.43909999999999999"/>
    <d v="2024-11-02T00:00:00"/>
    <n v="153"/>
    <x v="0"/>
    <n v="66"/>
    <x v="1"/>
    <b v="1"/>
    <n v="24000"/>
  </r>
  <r>
    <s v="PROP00188"/>
    <x v="1"/>
    <x v="28"/>
    <x v="0"/>
    <n v="2745"/>
    <n v="50000000"/>
    <n v="18214"/>
    <n v="4"/>
    <n v="2"/>
    <n v="9"/>
    <s v="East"/>
    <s v="Playground; Garden; Library; Elevator"/>
    <n v="4"/>
    <n v="5"/>
    <n v="143398"/>
    <n v="3.44"/>
    <s v="Luxury"/>
    <n v="0.42210000000000003"/>
    <d v="2025-08-29T00:00:00"/>
    <n v="28"/>
    <x v="0"/>
    <n v="175"/>
    <x v="1"/>
    <b v="1"/>
    <n v="0"/>
  </r>
  <r>
    <s v="PROP00189"/>
    <x v="0"/>
    <x v="0"/>
    <x v="2"/>
    <n v="1902"/>
    <n v="10000000"/>
    <n v="5257"/>
    <n v="3"/>
    <n v="2"/>
    <n v="30"/>
    <s v="South"/>
    <s v="Playground; Parking; Garden; Gym; AC"/>
    <n v="5"/>
    <n v="9"/>
    <n v="30296"/>
    <n v="3.64"/>
    <s v="Premium"/>
    <n v="0.43180000000000002"/>
    <d v="2025-02-07T00:00:00"/>
    <n v="356"/>
    <x v="0"/>
    <n v="108"/>
    <x v="0"/>
    <b v="0"/>
    <n v="0"/>
  </r>
  <r>
    <s v="PROP00190"/>
    <x v="2"/>
    <x v="32"/>
    <x v="0"/>
    <n v="1682"/>
    <n v="15000000"/>
    <n v="8917"/>
    <n v="2"/>
    <n v="1"/>
    <n v="22"/>
    <s v="North-West"/>
    <s v="Library; Security; Playground; Pool; Concierge; Parking; Garden; Elevator"/>
    <n v="8"/>
    <n v="9"/>
    <n v="45136"/>
    <n v="3.61"/>
    <s v="Premium"/>
    <n v="0.43049999999999999"/>
    <d v="2024-10-27T00:00:00"/>
    <n v="144"/>
    <x v="0"/>
    <n v="50"/>
    <x v="0"/>
    <b v="1"/>
    <n v="0"/>
  </r>
  <r>
    <s v="PROP00191"/>
    <x v="0"/>
    <x v="7"/>
    <x v="0"/>
    <n v="708"/>
    <n v="10000000"/>
    <n v="14124"/>
    <n v="1"/>
    <n v="1"/>
    <n v="26"/>
    <s v="East"/>
    <s v="Elevator; Library; Garden; Gym; Security; Parking; Concierge"/>
    <n v="7"/>
    <n v="6"/>
    <n v="28721"/>
    <n v="3.45"/>
    <s v="Premium"/>
    <n v="0.42229999999999995"/>
    <d v="2024-09-18T00:00:00"/>
    <n v="238"/>
    <x v="2"/>
    <n v="64"/>
    <x v="0"/>
    <b v="0"/>
    <n v="0"/>
  </r>
  <r>
    <s v="PROP00192"/>
    <x v="4"/>
    <x v="4"/>
    <x v="3"/>
    <n v="7030"/>
    <n v="12000000"/>
    <n v="1706"/>
    <n v="4"/>
    <n v="2"/>
    <n v="14"/>
    <s v="North"/>
    <s v="Parking; Elevator; Concierge; AC"/>
    <n v="4"/>
    <n v="5"/>
    <n v="39752"/>
    <n v="3.98"/>
    <s v="Premium"/>
    <n v="0.44880000000000003"/>
    <d v="2026-03-11T00:00:00"/>
    <n v="343"/>
    <x v="0"/>
    <n v="40"/>
    <x v="0"/>
    <b v="0"/>
    <n v="0"/>
  </r>
  <r>
    <s v="PROP00193"/>
    <x v="2"/>
    <x v="2"/>
    <x v="0"/>
    <n v="563"/>
    <n v="15000000"/>
    <n v="26642"/>
    <n v="3"/>
    <n v="1"/>
    <n v="22"/>
    <s v="South"/>
    <s v="Security; Elevator; Parking; Garden; Playground; Library; Concierge"/>
    <n v="7"/>
    <n v="6"/>
    <n v="46908"/>
    <n v="3.75"/>
    <s v="Premium"/>
    <n v="0.43759999999999999"/>
    <d v="2025-09-28T00:00:00"/>
    <n v="250"/>
    <x v="0"/>
    <n v="118"/>
    <x v="1"/>
    <b v="1"/>
    <n v="30000"/>
  </r>
  <r>
    <s v="PROP00194"/>
    <x v="2"/>
    <x v="32"/>
    <x v="3"/>
    <n v="2631"/>
    <n v="15000000"/>
    <n v="5701"/>
    <n v="5"/>
    <n v="2"/>
    <n v="4"/>
    <s v="West"/>
    <s v="Parking; Playground; Pool; AC"/>
    <n v="4"/>
    <n v="7"/>
    <n v="45755"/>
    <n v="3.66"/>
    <s v="Premium"/>
    <n v="0.433"/>
    <d v="2026-01-18T00:00:00"/>
    <n v="108"/>
    <x v="0"/>
    <n v="152"/>
    <x v="0"/>
    <b v="0"/>
    <n v="30000"/>
  </r>
  <r>
    <s v="PROP00195"/>
    <x v="3"/>
    <x v="35"/>
    <x v="3"/>
    <n v="6698"/>
    <n v="30000000"/>
    <n v="4478"/>
    <n v="4"/>
    <n v="2"/>
    <n v="20"/>
    <s v="North"/>
    <s v="Gym; Parking; Elevator; Pool; AC; Library; Garden"/>
    <n v="7"/>
    <n v="5"/>
    <n v="111398"/>
    <n v="4.46"/>
    <s v="Luxury"/>
    <n v="0.4728"/>
    <d v="2025-07-28T00:00:00"/>
    <n v="311"/>
    <x v="1"/>
    <n v="144"/>
    <x v="1"/>
    <b v="0"/>
    <n v="60000"/>
  </r>
  <r>
    <s v="PROP00196"/>
    <x v="3"/>
    <x v="17"/>
    <x v="4"/>
    <n v="4169"/>
    <n v="30000000"/>
    <n v="7195"/>
    <n v="6"/>
    <n v="3"/>
    <n v="19"/>
    <s v="South"/>
    <s v="AC; Security; Parking; Playground; Library; Concierge; Garden; Elevator"/>
    <n v="8"/>
    <n v="8"/>
    <n v="94273"/>
    <n v="3.77"/>
    <s v="Luxury"/>
    <n v="0.4385"/>
    <d v="2026-01-23T00:00:00"/>
    <n v="351"/>
    <x v="0"/>
    <n v="159"/>
    <x v="1"/>
    <b v="1"/>
    <n v="60000"/>
  </r>
  <r>
    <s v="PROP00197"/>
    <x v="3"/>
    <x v="17"/>
    <x v="4"/>
    <n v="7913"/>
    <n v="30000000"/>
    <n v="3791"/>
    <n v="4"/>
    <n v="2"/>
    <n v="2"/>
    <s v="South-West"/>
    <s v="Parking; AC; Gym; Library; Playground; Garden"/>
    <n v="6"/>
    <n v="10"/>
    <n v="77171"/>
    <n v="3.09"/>
    <s v="Luxury"/>
    <n v="0.40429999999999999"/>
    <d v="2024-11-18T00:00:00"/>
    <n v="196"/>
    <x v="0"/>
    <n v="153"/>
    <x v="1"/>
    <b v="1"/>
    <n v="0"/>
  </r>
  <r>
    <s v="PROP00198"/>
    <x v="3"/>
    <x v="3"/>
    <x v="1"/>
    <n v="369"/>
    <n v="30000000"/>
    <n v="81300"/>
    <n v="0"/>
    <n v="2"/>
    <n v="19"/>
    <s v="North"/>
    <s v="Library; Security; Garden; Gym; Playground; Elevator; AC"/>
    <n v="7"/>
    <n v="4"/>
    <n v="85270"/>
    <n v="3.41"/>
    <s v="Luxury"/>
    <n v="0.42049999999999998"/>
    <d v="2025-06-25T00:00:00"/>
    <n v="219"/>
    <x v="0"/>
    <n v="69"/>
    <x v="1"/>
    <b v="0"/>
    <n v="0"/>
  </r>
  <r>
    <s v="PROP00199"/>
    <x v="4"/>
    <x v="31"/>
    <x v="4"/>
    <n v="5257"/>
    <n v="12000000"/>
    <n v="2282"/>
    <n v="6"/>
    <n v="4"/>
    <n v="24"/>
    <s v="South-East"/>
    <s v="Library; AC; Concierge; Pool"/>
    <n v="4"/>
    <n v="10"/>
    <n v="39675"/>
    <n v="3.97"/>
    <s v="Premium"/>
    <n v="0.44840000000000002"/>
    <d v="2025-07-04T00:00:00"/>
    <n v="71"/>
    <x v="0"/>
    <n v="131"/>
    <x v="0"/>
    <b v="1"/>
    <n v="0"/>
  </r>
  <r>
    <s v="PROP00200"/>
    <x v="0"/>
    <x v="34"/>
    <x v="0"/>
    <n v="1278"/>
    <n v="10000000"/>
    <n v="7824"/>
    <n v="4"/>
    <n v="3"/>
    <n v="25"/>
    <s v="East"/>
    <s v="Elevator; Gym; Parking; Garden; Playground; AC; Security"/>
    <n v="7"/>
    <n v="5"/>
    <n v="35004"/>
    <n v="4.2"/>
    <s v="Premium"/>
    <n v="0.46"/>
    <d v="2026-02-13T00:00:00"/>
    <n v="41"/>
    <x v="0"/>
    <n v="124"/>
    <x v="0"/>
    <b v="0"/>
    <n v="0"/>
  </r>
  <r>
    <s v="PROP00201"/>
    <x v="4"/>
    <x v="29"/>
    <x v="4"/>
    <n v="5346"/>
    <n v="12000000"/>
    <n v="2244"/>
    <n v="6"/>
    <n v="3"/>
    <n v="30"/>
    <s v="North-East"/>
    <s v="Concierge; Elevator; Gym; Pool"/>
    <n v="4"/>
    <n v="5"/>
    <n v="45679"/>
    <n v="4.57"/>
    <s v="Premium"/>
    <n v="0.47840000000000005"/>
    <d v="2024-12-08T00:00:00"/>
    <n v="346"/>
    <x v="0"/>
    <n v="73"/>
    <x v="0"/>
    <b v="0"/>
    <n v="24000"/>
  </r>
  <r>
    <s v="PROP00202"/>
    <x v="0"/>
    <x v="0"/>
    <x v="3"/>
    <n v="2711"/>
    <n v="10000000"/>
    <n v="3688"/>
    <n v="5"/>
    <n v="3"/>
    <n v="11"/>
    <s v="North-East"/>
    <s v="Library; Elevator; Garden; Security; Gym; Playground; AC; Parking"/>
    <n v="8"/>
    <n v="10"/>
    <n v="34318"/>
    <n v="4.12"/>
    <s v="Premium"/>
    <n v="0.45590000000000003"/>
    <d v="2024-09-25T00:00:00"/>
    <n v="116"/>
    <x v="0"/>
    <n v="100"/>
    <x v="0"/>
    <b v="0"/>
    <n v="0"/>
  </r>
  <r>
    <s v="PROP00203"/>
    <x v="4"/>
    <x v="4"/>
    <x v="2"/>
    <n v="2216"/>
    <n v="12000000"/>
    <n v="5415"/>
    <n v="5"/>
    <n v="2"/>
    <n v="17"/>
    <s v="South"/>
    <s v="AC; Security; Playground"/>
    <n v="3"/>
    <n v="8"/>
    <n v="49134"/>
    <n v="4.91"/>
    <s v="Premium"/>
    <n v="0.49570000000000003"/>
    <d v="2024-11-10T00:00:00"/>
    <n v="356"/>
    <x v="2"/>
    <n v="94"/>
    <x v="1"/>
    <b v="0"/>
    <n v="0"/>
  </r>
  <r>
    <s v="PROP00204"/>
    <x v="3"/>
    <x v="3"/>
    <x v="1"/>
    <n v="598"/>
    <n v="30000000"/>
    <n v="50167"/>
    <n v="1"/>
    <n v="1"/>
    <n v="15"/>
    <s v="West"/>
    <s v="Security; Pool; Library"/>
    <n v="3"/>
    <n v="6"/>
    <n v="86496"/>
    <n v="3.46"/>
    <s v="Luxury"/>
    <n v="0.42299999999999999"/>
    <d v="2025-06-25T00:00:00"/>
    <n v="275"/>
    <x v="0"/>
    <n v="162"/>
    <x v="0"/>
    <b v="0"/>
    <n v="60000"/>
  </r>
  <r>
    <s v="PROP00205"/>
    <x v="5"/>
    <x v="11"/>
    <x v="1"/>
    <n v="594"/>
    <n v="40000000"/>
    <n v="67340"/>
    <n v="1"/>
    <n v="1"/>
    <n v="17"/>
    <s v="North-East"/>
    <s v="Concierge; Playground; AC; Pool"/>
    <n v="4"/>
    <n v="5"/>
    <n v="149743"/>
    <n v="4.49"/>
    <s v="Luxury"/>
    <n v="0.47460000000000002"/>
    <d v="2025-11-01T00:00:00"/>
    <n v="124"/>
    <x v="0"/>
    <n v="90"/>
    <x v="1"/>
    <b v="1"/>
    <n v="80000"/>
  </r>
  <r>
    <s v="PROP00206"/>
    <x v="3"/>
    <x v="15"/>
    <x v="4"/>
    <n v="5916"/>
    <n v="30000000"/>
    <n v="5070"/>
    <n v="4"/>
    <n v="2"/>
    <n v="3"/>
    <s v="North-West"/>
    <s v="Concierge; Gym; AC"/>
    <n v="3"/>
    <n v="7"/>
    <n v="90770"/>
    <n v="3.63"/>
    <s v="Luxury"/>
    <n v="0.43149999999999999"/>
    <d v="2024-10-03T00:00:00"/>
    <n v="262"/>
    <x v="1"/>
    <n v="76"/>
    <x v="1"/>
    <b v="0"/>
    <n v="60000"/>
  </r>
  <r>
    <s v="PROP00207"/>
    <x v="4"/>
    <x v="6"/>
    <x v="0"/>
    <n v="2553"/>
    <n v="12000000"/>
    <n v="4700"/>
    <n v="4"/>
    <n v="3"/>
    <n v="30"/>
    <s v="South"/>
    <s v="Gym; AC; Playground; Garden; Concierge; Pool; Library"/>
    <n v="7"/>
    <n v="9"/>
    <n v="39201"/>
    <n v="3.92"/>
    <s v="Premium"/>
    <n v="0.44600000000000001"/>
    <d v="2024-06-08T00:00:00"/>
    <n v="195"/>
    <x v="0"/>
    <n v="83"/>
    <x v="0"/>
    <b v="0"/>
    <n v="0"/>
  </r>
  <r>
    <s v="PROP00208"/>
    <x v="4"/>
    <x v="31"/>
    <x v="3"/>
    <n v="6493"/>
    <n v="12000000"/>
    <n v="1848"/>
    <n v="5"/>
    <n v="2"/>
    <n v="8"/>
    <s v="West"/>
    <s v="Elevator; Playground; AC; Pool; Garden; Concierge"/>
    <n v="6"/>
    <n v="6"/>
    <n v="45043"/>
    <n v="4.5"/>
    <s v="Premium"/>
    <n v="0.47520000000000001"/>
    <d v="2025-05-06T00:00:00"/>
    <n v="93"/>
    <x v="1"/>
    <n v="145"/>
    <x v="0"/>
    <b v="1"/>
    <n v="24000"/>
  </r>
  <r>
    <s v="PROP00209"/>
    <x v="0"/>
    <x v="18"/>
    <x v="3"/>
    <n v="6549"/>
    <n v="10000000"/>
    <n v="1526"/>
    <n v="6"/>
    <n v="4"/>
    <n v="6"/>
    <s v="South-West"/>
    <s v="Parking; Concierge; Gym; Pool"/>
    <n v="4"/>
    <n v="9"/>
    <n v="41592"/>
    <n v="4.99"/>
    <s v="Premium"/>
    <n v="0.49959999999999999"/>
    <d v="2024-08-07T00:00:00"/>
    <n v="250"/>
    <x v="0"/>
    <n v="110"/>
    <x v="1"/>
    <b v="0"/>
    <n v="20000"/>
  </r>
  <r>
    <s v="PROP00210"/>
    <x v="2"/>
    <x v="26"/>
    <x v="3"/>
    <n v="2491"/>
    <n v="15000000"/>
    <n v="6021"/>
    <n v="4"/>
    <n v="3"/>
    <n v="15"/>
    <s v="North"/>
    <s v="Pool; Concierge; Playground; Parking; Library; AC; Security; Elevator"/>
    <n v="8"/>
    <n v="5"/>
    <n v="46277"/>
    <n v="3.7"/>
    <s v="Premium"/>
    <n v="0.43509999999999999"/>
    <d v="2024-06-18T00:00:00"/>
    <n v="295"/>
    <x v="1"/>
    <n v="177"/>
    <x v="0"/>
    <b v="0"/>
    <n v="0"/>
  </r>
  <r>
    <s v="PROP00211"/>
    <x v="5"/>
    <x v="19"/>
    <x v="4"/>
    <n v="6993"/>
    <n v="40000000"/>
    <n v="5720"/>
    <n v="6"/>
    <n v="4"/>
    <n v="28"/>
    <s v="East"/>
    <s v="Library; Security; Concierge"/>
    <n v="3"/>
    <n v="8"/>
    <n v="142705"/>
    <n v="4.28"/>
    <s v="Luxury"/>
    <n v="0.46409999999999996"/>
    <d v="2025-06-03T00:00:00"/>
    <n v="208"/>
    <x v="0"/>
    <n v="176"/>
    <x v="0"/>
    <b v="1"/>
    <n v="80000"/>
  </r>
  <r>
    <s v="PROP00212"/>
    <x v="5"/>
    <x v="10"/>
    <x v="2"/>
    <n v="2797"/>
    <n v="40000000"/>
    <n v="14301"/>
    <n v="4"/>
    <n v="3"/>
    <n v="19"/>
    <s v="East"/>
    <s v="Library; Security; Concierge; Elevator; Parking; AC; Garden; Pool"/>
    <n v="8"/>
    <n v="9"/>
    <n v="101540"/>
    <n v="3.05"/>
    <s v="Luxury"/>
    <n v="0.40229999999999999"/>
    <d v="2025-09-16T00:00:00"/>
    <n v="108"/>
    <x v="2"/>
    <n v="50"/>
    <x v="0"/>
    <b v="0"/>
    <n v="80000"/>
  </r>
  <r>
    <s v="PROP00213"/>
    <x v="1"/>
    <x v="28"/>
    <x v="1"/>
    <n v="530"/>
    <n v="50000000"/>
    <n v="94339"/>
    <n v="0"/>
    <n v="1"/>
    <n v="24"/>
    <s v="South"/>
    <s v="AC; Pool; Elevator; Parking; Security; Concierge"/>
    <n v="6"/>
    <n v="9"/>
    <n v="198789"/>
    <n v="4.7699999999999996"/>
    <s v="Luxury"/>
    <n v="0.48849999999999999"/>
    <d v="2025-07-02T00:00:00"/>
    <n v="227"/>
    <x v="0"/>
    <n v="102"/>
    <x v="0"/>
    <b v="1"/>
    <n v="100000"/>
  </r>
  <r>
    <s v="PROP00214"/>
    <x v="1"/>
    <x v="28"/>
    <x v="2"/>
    <n v="2832"/>
    <n v="50000000"/>
    <n v="17655"/>
    <n v="5"/>
    <n v="3"/>
    <n v="27"/>
    <s v="North-West"/>
    <s v="Security; AC; Concierge; Pool; Playground; Elevator; Library"/>
    <n v="7"/>
    <n v="9"/>
    <n v="177987"/>
    <n v="4.2699999999999996"/>
    <s v="Luxury"/>
    <n v="0.46360000000000001"/>
    <d v="2024-10-14T00:00:00"/>
    <n v="159"/>
    <x v="0"/>
    <n v="166"/>
    <x v="1"/>
    <b v="0"/>
    <n v="100000"/>
  </r>
  <r>
    <s v="PROP00215"/>
    <x v="1"/>
    <x v="21"/>
    <x v="2"/>
    <n v="2998"/>
    <n v="50000000"/>
    <n v="16677"/>
    <n v="5"/>
    <n v="3"/>
    <n v="4"/>
    <s v="North-West"/>
    <s v="Gym; Elevator; Parking; Concierge; Library"/>
    <n v="5"/>
    <n v="7"/>
    <n v="182314"/>
    <n v="4.38"/>
    <s v="Luxury"/>
    <n v="0.46880000000000005"/>
    <d v="2024-12-27T00:00:00"/>
    <n v="5"/>
    <x v="1"/>
    <n v="106"/>
    <x v="1"/>
    <b v="0"/>
    <n v="100000"/>
  </r>
  <r>
    <s v="PROP00216"/>
    <x v="1"/>
    <x v="20"/>
    <x v="2"/>
    <n v="2272"/>
    <n v="50000000"/>
    <n v="22007"/>
    <n v="5"/>
    <n v="3"/>
    <n v="12"/>
    <s v="North-East"/>
    <s v="Parking; Library; AC; Pool"/>
    <n v="4"/>
    <n v="8"/>
    <n v="177110"/>
    <n v="4.25"/>
    <s v="Luxury"/>
    <n v="0.46250000000000002"/>
    <d v="2024-12-01T00:00:00"/>
    <n v="146"/>
    <x v="2"/>
    <n v="99"/>
    <x v="1"/>
    <b v="0"/>
    <n v="100000"/>
  </r>
  <r>
    <s v="PROP00217"/>
    <x v="1"/>
    <x v="1"/>
    <x v="3"/>
    <n v="4372"/>
    <n v="50000000"/>
    <n v="11436"/>
    <n v="3"/>
    <n v="2"/>
    <n v="19"/>
    <s v="North"/>
    <s v="Security; Concierge; Garden; Parking; Gym; Pool"/>
    <n v="6"/>
    <n v="5"/>
    <n v="126844"/>
    <n v="3.04"/>
    <s v="Luxury"/>
    <n v="0.4022"/>
    <d v="2026-01-30T00:00:00"/>
    <n v="5"/>
    <x v="0"/>
    <n v="142"/>
    <x v="0"/>
    <b v="1"/>
    <n v="100000"/>
  </r>
  <r>
    <s v="PROP00218"/>
    <x v="1"/>
    <x v="21"/>
    <x v="3"/>
    <n v="4800"/>
    <n v="50000000"/>
    <n v="10416"/>
    <n v="6"/>
    <n v="4"/>
    <n v="25"/>
    <s v="North"/>
    <s v="Playground; Concierge; Gym; Parking; AC; Pool"/>
    <n v="6"/>
    <n v="5"/>
    <n v="157701"/>
    <n v="3.78"/>
    <s v="Luxury"/>
    <n v="0.43920000000000003"/>
    <d v="2024-11-04T00:00:00"/>
    <n v="196"/>
    <x v="0"/>
    <n v="94"/>
    <x v="0"/>
    <b v="1"/>
    <n v="100000"/>
  </r>
  <r>
    <s v="PROP00219"/>
    <x v="2"/>
    <x v="2"/>
    <x v="3"/>
    <n v="2274"/>
    <n v="15000000"/>
    <n v="6596"/>
    <n v="4"/>
    <n v="3"/>
    <n v="23"/>
    <s v="South-West"/>
    <s v="AC; Garden; Concierge"/>
    <n v="3"/>
    <n v="9"/>
    <n v="45302"/>
    <n v="3.62"/>
    <s v="Premium"/>
    <n v="0.43119999999999997"/>
    <d v="2025-06-18T00:00:00"/>
    <n v="282"/>
    <x v="0"/>
    <n v="40"/>
    <x v="0"/>
    <b v="0"/>
    <n v="0"/>
  </r>
  <r>
    <s v="PROP00220"/>
    <x v="0"/>
    <x v="18"/>
    <x v="3"/>
    <n v="4952"/>
    <n v="10000000"/>
    <n v="2019"/>
    <n v="3"/>
    <n v="1"/>
    <n v="3"/>
    <s v="North-East"/>
    <s v="Library; Playground; Gym; Pool"/>
    <n v="4"/>
    <n v="4"/>
    <n v="31596"/>
    <n v="3.79"/>
    <s v="Premium"/>
    <n v="0.43959999999999999"/>
    <d v="2025-09-08T00:00:00"/>
    <n v="354"/>
    <x v="0"/>
    <n v="178"/>
    <x v="1"/>
    <b v="1"/>
    <n v="0"/>
  </r>
  <r>
    <s v="PROP00221"/>
    <x v="1"/>
    <x v="1"/>
    <x v="3"/>
    <n v="6095"/>
    <n v="50000000"/>
    <n v="8203"/>
    <n v="3"/>
    <n v="2"/>
    <n v="29"/>
    <s v="North-West"/>
    <s v="Gym; Elevator; Playground; Concierge; Pool; Security; AC; Garden"/>
    <n v="8"/>
    <n v="10"/>
    <n v="206806"/>
    <n v="4.96"/>
    <s v="Luxury"/>
    <n v="0.49819999999999998"/>
    <d v="2024-07-23T00:00:00"/>
    <n v="99"/>
    <x v="2"/>
    <n v="142"/>
    <x v="0"/>
    <b v="0"/>
    <n v="0"/>
  </r>
  <r>
    <s v="PROP00222"/>
    <x v="0"/>
    <x v="34"/>
    <x v="2"/>
    <n v="1661"/>
    <n v="10000000"/>
    <n v="6020"/>
    <n v="5"/>
    <n v="3"/>
    <n v="17"/>
    <s v="South-East"/>
    <s v="AC; Concierge; Garden; Security; Pool"/>
    <n v="5"/>
    <n v="8"/>
    <n v="32806"/>
    <n v="3.94"/>
    <s v="Premium"/>
    <n v="0.44679999999999997"/>
    <d v="2024-09-08T00:00:00"/>
    <n v="36"/>
    <x v="1"/>
    <n v="71"/>
    <x v="0"/>
    <b v="0"/>
    <n v="0"/>
  </r>
  <r>
    <s v="PROP00223"/>
    <x v="5"/>
    <x v="14"/>
    <x v="2"/>
    <n v="3359"/>
    <n v="40000000"/>
    <n v="11908"/>
    <n v="2"/>
    <n v="2"/>
    <n v="23"/>
    <s v="South"/>
    <s v="Gym; Playground; Garden; Parking"/>
    <n v="4"/>
    <n v="9"/>
    <n v="135930"/>
    <n v="4.08"/>
    <s v="Luxury"/>
    <n v="0.45390000000000003"/>
    <d v="2025-04-13T00:00:00"/>
    <n v="283"/>
    <x v="0"/>
    <n v="157"/>
    <x v="0"/>
    <b v="0"/>
    <n v="0"/>
  </r>
  <r>
    <s v="PROP00224"/>
    <x v="2"/>
    <x v="33"/>
    <x v="2"/>
    <n v="1952"/>
    <n v="15000000"/>
    <n v="7684"/>
    <n v="2"/>
    <n v="1"/>
    <n v="1"/>
    <s v="North-West"/>
    <s v="Parking; Gym; Garden; AC"/>
    <n v="4"/>
    <n v="9"/>
    <n v="38295"/>
    <n v="3.06"/>
    <s v="Premium"/>
    <n v="0.4032"/>
    <d v="2024-07-26T00:00:00"/>
    <n v="270"/>
    <x v="2"/>
    <n v="155"/>
    <x v="1"/>
    <b v="1"/>
    <n v="0"/>
  </r>
  <r>
    <s v="PROP00225"/>
    <x v="3"/>
    <x v="5"/>
    <x v="0"/>
    <n v="453"/>
    <n v="30000000"/>
    <n v="66225"/>
    <n v="2"/>
    <n v="2"/>
    <n v="29"/>
    <s v="South-West"/>
    <s v="Concierge; Gym; Playground"/>
    <n v="3"/>
    <n v="6"/>
    <n v="114712"/>
    <n v="4.59"/>
    <s v="Luxury"/>
    <n v="0.47939999999999999"/>
    <d v="2026-03-16T00:00:00"/>
    <n v="21"/>
    <x v="2"/>
    <n v="165"/>
    <x v="0"/>
    <b v="0"/>
    <n v="60000"/>
  </r>
  <r>
    <s v="PROP00226"/>
    <x v="3"/>
    <x v="5"/>
    <x v="0"/>
    <n v="814"/>
    <n v="30000000"/>
    <n v="36855"/>
    <n v="2"/>
    <n v="2"/>
    <n v="6"/>
    <s v="South-West"/>
    <s v="AC; Garden; Parking; Security"/>
    <n v="4"/>
    <n v="7"/>
    <n v="113314"/>
    <n v="4.53"/>
    <s v="Luxury"/>
    <n v="0.47659999999999997"/>
    <d v="2024-10-01T00:00:00"/>
    <n v="54"/>
    <x v="0"/>
    <n v="139"/>
    <x v="0"/>
    <b v="1"/>
    <n v="0"/>
  </r>
  <r>
    <s v="PROP00227"/>
    <x v="4"/>
    <x v="31"/>
    <x v="3"/>
    <n v="6373"/>
    <n v="12000000"/>
    <n v="1882"/>
    <n v="6"/>
    <n v="4"/>
    <n v="28"/>
    <s v="South-West"/>
    <s v="AC; Playground; Elevator; Garden; Concierge"/>
    <n v="5"/>
    <n v="5"/>
    <n v="36469"/>
    <n v="3.65"/>
    <s v="Premium"/>
    <n v="0.43229999999999996"/>
    <d v="2025-09-10T00:00:00"/>
    <n v="282"/>
    <x v="0"/>
    <n v="126"/>
    <x v="1"/>
    <b v="0"/>
    <n v="0"/>
  </r>
  <r>
    <s v="PROP00228"/>
    <x v="2"/>
    <x v="2"/>
    <x v="0"/>
    <n v="541"/>
    <n v="15000000"/>
    <n v="27726"/>
    <n v="3"/>
    <n v="1"/>
    <n v="16"/>
    <s v="West"/>
    <s v="Security; Gym; Elevator; Pool"/>
    <n v="4"/>
    <n v="8"/>
    <n v="38042"/>
    <n v="3.04"/>
    <s v="Premium"/>
    <n v="0.4022"/>
    <d v="2024-06-07T00:00:00"/>
    <n v="285"/>
    <x v="2"/>
    <n v="160"/>
    <x v="0"/>
    <b v="1"/>
    <n v="30000"/>
  </r>
  <r>
    <s v="PROP00229"/>
    <x v="2"/>
    <x v="22"/>
    <x v="3"/>
    <n v="3133"/>
    <n v="15000000"/>
    <n v="4787"/>
    <n v="5"/>
    <n v="3"/>
    <n v="28"/>
    <s v="West"/>
    <s v="Garden; Elevator; Security; Library; Parking; Gym; AC"/>
    <n v="7"/>
    <n v="10"/>
    <n v="55589"/>
    <n v="4.45"/>
    <s v="Premium"/>
    <n v="0.47240000000000004"/>
    <d v="2025-01-05T00:00:00"/>
    <n v="49"/>
    <x v="0"/>
    <n v="177"/>
    <x v="1"/>
    <b v="1"/>
    <n v="0"/>
  </r>
  <r>
    <s v="PROP00230"/>
    <x v="1"/>
    <x v="28"/>
    <x v="2"/>
    <n v="2925"/>
    <n v="50000000"/>
    <n v="17094"/>
    <n v="5"/>
    <n v="3"/>
    <n v="29"/>
    <s v="North"/>
    <s v="Garden; Gym; Library"/>
    <n v="3"/>
    <n v="6"/>
    <n v="128431"/>
    <n v="3.08"/>
    <s v="Luxury"/>
    <n v="0.40409999999999996"/>
    <d v="2024-11-08T00:00:00"/>
    <n v="358"/>
    <x v="0"/>
    <n v="158"/>
    <x v="0"/>
    <b v="1"/>
    <n v="100000"/>
  </r>
  <r>
    <s v="PROP00231"/>
    <x v="0"/>
    <x v="7"/>
    <x v="1"/>
    <n v="478"/>
    <n v="10000000"/>
    <n v="20920"/>
    <n v="0"/>
    <n v="1"/>
    <n v="13"/>
    <s v="North-West"/>
    <s v="Library; Parking; AC; Concierge; Gym"/>
    <n v="5"/>
    <n v="7"/>
    <n v="25821"/>
    <n v="3.1"/>
    <s v="Premium"/>
    <n v="0.40490000000000004"/>
    <d v="2025-04-01T00:00:00"/>
    <n v="223"/>
    <x v="0"/>
    <n v="158"/>
    <x v="0"/>
    <b v="1"/>
    <n v="0"/>
  </r>
  <r>
    <s v="PROP00232"/>
    <x v="4"/>
    <x v="6"/>
    <x v="1"/>
    <n v="452"/>
    <n v="12000000"/>
    <n v="26548"/>
    <n v="0"/>
    <n v="1"/>
    <n v="7"/>
    <s v="South"/>
    <s v="Security; Library; Playground"/>
    <n v="3"/>
    <n v="6"/>
    <n v="38271"/>
    <n v="3.83"/>
    <s v="Premium"/>
    <n v="0.44140000000000001"/>
    <d v="2025-05-05T00:00:00"/>
    <n v="305"/>
    <x v="0"/>
    <n v="118"/>
    <x v="0"/>
    <b v="0"/>
    <n v="24000"/>
  </r>
  <r>
    <s v="PROP00233"/>
    <x v="5"/>
    <x v="14"/>
    <x v="1"/>
    <n v="569"/>
    <n v="40000000"/>
    <n v="70298"/>
    <n v="0"/>
    <n v="2"/>
    <n v="1"/>
    <s v="South"/>
    <s v="Garden; Playground; Parking; Library"/>
    <n v="4"/>
    <n v="10"/>
    <n v="103635"/>
    <n v="3.11"/>
    <s v="Luxury"/>
    <n v="0.40549999999999997"/>
    <d v="2024-08-17T00:00:00"/>
    <n v="8"/>
    <x v="1"/>
    <n v="103"/>
    <x v="1"/>
    <b v="1"/>
    <n v="0"/>
  </r>
  <r>
    <s v="PROP00234"/>
    <x v="2"/>
    <x v="2"/>
    <x v="0"/>
    <n v="1759"/>
    <n v="15000000"/>
    <n v="8527"/>
    <n v="2"/>
    <n v="1"/>
    <n v="6"/>
    <s v="South-West"/>
    <s v="AC; Security; Concierge; Elevator; Playground; Pool; Gym"/>
    <n v="7"/>
    <n v="4"/>
    <n v="54088"/>
    <n v="4.33"/>
    <s v="Premium"/>
    <n v="0.46639999999999998"/>
    <d v="2026-03-31T00:00:00"/>
    <n v="103"/>
    <x v="0"/>
    <n v="102"/>
    <x v="1"/>
    <b v="1"/>
    <n v="0"/>
  </r>
  <r>
    <s v="PROP00235"/>
    <x v="0"/>
    <x v="0"/>
    <x v="0"/>
    <n v="1991"/>
    <n v="10000000"/>
    <n v="5022"/>
    <n v="3"/>
    <n v="2"/>
    <n v="27"/>
    <s v="West"/>
    <s v="Gym; Security; Library"/>
    <n v="3"/>
    <n v="6"/>
    <n v="33475"/>
    <n v="4.0199999999999996"/>
    <s v="Premium"/>
    <n v="0.45079999999999998"/>
    <d v="2024-05-18T00:00:00"/>
    <n v="306"/>
    <x v="0"/>
    <n v="154"/>
    <x v="0"/>
    <b v="1"/>
    <n v="20000"/>
  </r>
  <r>
    <s v="PROP00236"/>
    <x v="4"/>
    <x v="30"/>
    <x v="4"/>
    <n v="8836"/>
    <n v="12000000"/>
    <n v="1358"/>
    <n v="4"/>
    <n v="2"/>
    <n v="7"/>
    <s v="South-East"/>
    <s v="Security; Playground; Concierge; Garden; AC; Pool; Gym"/>
    <n v="7"/>
    <n v="8"/>
    <n v="37107"/>
    <n v="3.71"/>
    <s v="Premium"/>
    <n v="0.4355"/>
    <d v="2025-07-09T00:00:00"/>
    <n v="32"/>
    <x v="0"/>
    <n v="100"/>
    <x v="1"/>
    <b v="0"/>
    <n v="24000"/>
  </r>
  <r>
    <s v="PROP00237"/>
    <x v="4"/>
    <x v="31"/>
    <x v="3"/>
    <n v="3242"/>
    <n v="12000000"/>
    <n v="3701"/>
    <n v="5"/>
    <n v="3"/>
    <n v="21"/>
    <s v="West"/>
    <s v="Pool; Library; Garden; Concierge"/>
    <n v="4"/>
    <n v="6"/>
    <n v="38529"/>
    <n v="3.85"/>
    <s v="Premium"/>
    <n v="0.44259999999999999"/>
    <d v="2025-06-29T00:00:00"/>
    <n v="278"/>
    <x v="1"/>
    <n v="144"/>
    <x v="0"/>
    <b v="1"/>
    <n v="24000"/>
  </r>
  <r>
    <s v="PROP00238"/>
    <x v="4"/>
    <x v="12"/>
    <x v="3"/>
    <n v="3131"/>
    <n v="12000000"/>
    <n v="3832"/>
    <n v="5"/>
    <n v="2"/>
    <n v="13"/>
    <s v="South"/>
    <s v="Elevator; Parking; Playground; Gym"/>
    <n v="4"/>
    <n v="10"/>
    <n v="46790"/>
    <n v="4.68"/>
    <s v="Premium"/>
    <n v="0.4839"/>
    <d v="2025-12-16T00:00:00"/>
    <n v="212"/>
    <x v="2"/>
    <n v="111"/>
    <x v="1"/>
    <b v="0"/>
    <n v="0"/>
  </r>
  <r>
    <s v="PROP00239"/>
    <x v="0"/>
    <x v="7"/>
    <x v="2"/>
    <n v="2122"/>
    <n v="10000000"/>
    <n v="4712"/>
    <n v="3"/>
    <n v="1"/>
    <n v="4"/>
    <s v="West"/>
    <s v="Gym; Security; Garden; AC"/>
    <n v="4"/>
    <n v="7"/>
    <n v="25434"/>
    <n v="3.05"/>
    <s v="Premium"/>
    <n v="0.40259999999999996"/>
    <d v="2026-02-22T00:00:00"/>
    <n v="258"/>
    <x v="2"/>
    <n v="64"/>
    <x v="1"/>
    <b v="0"/>
    <n v="20000"/>
  </r>
  <r>
    <s v="PROP00240"/>
    <x v="2"/>
    <x v="2"/>
    <x v="1"/>
    <n v="320"/>
    <n v="15000000"/>
    <n v="46875"/>
    <n v="0"/>
    <n v="1"/>
    <n v="7"/>
    <s v="South-West"/>
    <s v="Library; Gym; Security"/>
    <n v="3"/>
    <n v="4"/>
    <n v="54283"/>
    <n v="4.34"/>
    <s v="Premium"/>
    <n v="0.46710000000000002"/>
    <d v="2025-10-19T00:00:00"/>
    <n v="225"/>
    <x v="2"/>
    <n v="75"/>
    <x v="1"/>
    <b v="0"/>
    <n v="0"/>
  </r>
  <r>
    <s v="PROP00241"/>
    <x v="3"/>
    <x v="17"/>
    <x v="1"/>
    <n v="271"/>
    <n v="28198675"/>
    <n v="104054"/>
    <n v="1"/>
    <n v="2"/>
    <n v="12"/>
    <s v="North"/>
    <s v="Elevator; AC; Gym; Security; Concierge; Garden; Library"/>
    <n v="7"/>
    <n v="9"/>
    <n v="82045"/>
    <n v="3.49"/>
    <s v="Luxury"/>
    <n v="0.42460000000000003"/>
    <d v="2024-11-10T00:00:00"/>
    <n v="286"/>
    <x v="0"/>
    <n v="40"/>
    <x v="1"/>
    <b v="1"/>
    <n v="56397"/>
  </r>
  <r>
    <s v="PROP00242"/>
    <x v="5"/>
    <x v="16"/>
    <x v="1"/>
    <n v="405"/>
    <n v="40000000"/>
    <n v="98765"/>
    <n v="1"/>
    <n v="2"/>
    <n v="5"/>
    <s v="South"/>
    <s v="Security; Gym; Parking; Garden; Playground; Library"/>
    <n v="6"/>
    <n v="9"/>
    <n v="107544"/>
    <n v="3.23"/>
    <s v="Luxury"/>
    <n v="0.4113"/>
    <d v="2024-09-22T00:00:00"/>
    <n v="70"/>
    <x v="1"/>
    <n v="169"/>
    <x v="1"/>
    <b v="0"/>
    <n v="0"/>
  </r>
  <r>
    <s v="PROP00243"/>
    <x v="2"/>
    <x v="26"/>
    <x v="3"/>
    <n v="5716"/>
    <n v="15000000"/>
    <n v="2624"/>
    <n v="4"/>
    <n v="3"/>
    <n v="2"/>
    <s v="North-West"/>
    <s v="Playground; Parking; Pool; Gym; Library"/>
    <n v="5"/>
    <n v="10"/>
    <n v="39632"/>
    <n v="3.17"/>
    <s v="Premium"/>
    <n v="0.40850000000000003"/>
    <d v="2024-05-20T00:00:00"/>
    <n v="314"/>
    <x v="0"/>
    <n v="160"/>
    <x v="0"/>
    <b v="0"/>
    <n v="0"/>
  </r>
  <r>
    <s v="PROP00244"/>
    <x v="1"/>
    <x v="1"/>
    <x v="2"/>
    <n v="3816"/>
    <n v="50000000"/>
    <n v="13102"/>
    <n v="3"/>
    <n v="1"/>
    <n v="27"/>
    <s v="North-East"/>
    <s v="Parking; Gym; Library; Elevator"/>
    <n v="4"/>
    <n v="4"/>
    <n v="205080"/>
    <n v="4.92"/>
    <s v="Luxury"/>
    <n v="0.49609999999999999"/>
    <d v="2025-07-23T00:00:00"/>
    <n v="104"/>
    <x v="2"/>
    <n v="63"/>
    <x v="0"/>
    <b v="0"/>
    <n v="100000"/>
  </r>
  <r>
    <s v="PROP00245"/>
    <x v="2"/>
    <x v="2"/>
    <x v="1"/>
    <n v="528"/>
    <n v="15000000"/>
    <n v="28409"/>
    <n v="0"/>
    <n v="2"/>
    <n v="7"/>
    <s v="North-West"/>
    <s v="Elevator; Concierge; AC; Garden"/>
    <n v="4"/>
    <n v="6"/>
    <n v="52502"/>
    <n v="4.2"/>
    <s v="Premium"/>
    <n v="0.46"/>
    <d v="2025-09-06T00:00:00"/>
    <n v="107"/>
    <x v="1"/>
    <n v="172"/>
    <x v="0"/>
    <b v="1"/>
    <n v="30000"/>
  </r>
  <r>
    <s v="PROP00246"/>
    <x v="1"/>
    <x v="23"/>
    <x v="2"/>
    <n v="1650"/>
    <n v="50000000"/>
    <n v="30303"/>
    <n v="3"/>
    <n v="1"/>
    <n v="21"/>
    <s v="East"/>
    <s v="Elevator; Security; Playground; Gym; Library; Concierge; Garden"/>
    <n v="7"/>
    <n v="8"/>
    <n v="148698"/>
    <n v="3.57"/>
    <s v="Luxury"/>
    <n v="0.42840000000000006"/>
    <d v="2024-07-07T00:00:00"/>
    <n v="288"/>
    <x v="2"/>
    <n v="176"/>
    <x v="0"/>
    <b v="0"/>
    <n v="0"/>
  </r>
  <r>
    <s v="PROP00247"/>
    <x v="1"/>
    <x v="28"/>
    <x v="2"/>
    <n v="2822"/>
    <n v="50000000"/>
    <n v="17717"/>
    <n v="4"/>
    <n v="3"/>
    <n v="26"/>
    <s v="North-East"/>
    <s v="Library; AC; Pool"/>
    <n v="3"/>
    <n v="7"/>
    <n v="135168"/>
    <n v="3.24"/>
    <s v="Luxury"/>
    <n v="0.41220000000000001"/>
    <d v="2025-08-06T00:00:00"/>
    <n v="108"/>
    <x v="0"/>
    <n v="164"/>
    <x v="0"/>
    <b v="1"/>
    <n v="100000"/>
  </r>
  <r>
    <s v="PROP00248"/>
    <x v="4"/>
    <x v="29"/>
    <x v="4"/>
    <n v="3718"/>
    <n v="12000000"/>
    <n v="3227"/>
    <n v="5"/>
    <n v="3"/>
    <n v="13"/>
    <s v="North-West"/>
    <s v="Playground; Security; Elevator; Pool; AC; Concierge; Garden"/>
    <n v="7"/>
    <n v="6"/>
    <n v="33598"/>
    <n v="3.36"/>
    <s v="Premium"/>
    <n v="0.41799999999999998"/>
    <d v="2024-08-28T00:00:00"/>
    <n v="1"/>
    <x v="0"/>
    <n v="79"/>
    <x v="0"/>
    <b v="1"/>
    <n v="0"/>
  </r>
  <r>
    <s v="PROP00249"/>
    <x v="0"/>
    <x v="0"/>
    <x v="3"/>
    <n v="7040"/>
    <n v="10000000"/>
    <n v="1420"/>
    <n v="6"/>
    <n v="4"/>
    <n v="1"/>
    <s v="West"/>
    <s v="Playground; AC; Garden; Gym; Elevator"/>
    <n v="5"/>
    <n v="8"/>
    <n v="29240"/>
    <n v="3.51"/>
    <s v="Premium"/>
    <n v="0.4254"/>
    <d v="2026-03-06T00:00:00"/>
    <n v="166"/>
    <x v="0"/>
    <n v="170"/>
    <x v="0"/>
    <b v="1"/>
    <n v="0"/>
  </r>
  <r>
    <s v="PROP00250"/>
    <x v="5"/>
    <x v="16"/>
    <x v="4"/>
    <n v="8046"/>
    <n v="40000000"/>
    <n v="4971"/>
    <n v="4"/>
    <n v="2"/>
    <n v="6"/>
    <s v="East"/>
    <s v="Playground; Concierge; AC; Library; Gym"/>
    <n v="5"/>
    <n v="7"/>
    <n v="141813"/>
    <n v="4.25"/>
    <s v="Luxury"/>
    <n v="0.46270000000000006"/>
    <d v="2024-11-11T00:00:00"/>
    <n v="29"/>
    <x v="1"/>
    <n v="135"/>
    <x v="1"/>
    <b v="0"/>
    <n v="80000"/>
  </r>
  <r>
    <s v="PROP00251"/>
    <x v="3"/>
    <x v="5"/>
    <x v="2"/>
    <n v="4774"/>
    <n v="30000000"/>
    <n v="6284"/>
    <n v="4"/>
    <n v="2"/>
    <n v="4"/>
    <s v="East"/>
    <s v="Gym; Playground; Library; AC; Security"/>
    <n v="5"/>
    <n v="10"/>
    <n v="94478"/>
    <n v="3.78"/>
    <s v="Luxury"/>
    <n v="0.439"/>
    <d v="2024-09-12T00:00:00"/>
    <n v="362"/>
    <x v="0"/>
    <n v="108"/>
    <x v="1"/>
    <b v="1"/>
    <n v="0"/>
  </r>
  <r>
    <s v="PROP00252"/>
    <x v="2"/>
    <x v="26"/>
    <x v="1"/>
    <n v="371"/>
    <n v="15000000"/>
    <n v="40431"/>
    <n v="1"/>
    <n v="2"/>
    <n v="26"/>
    <s v="South-East"/>
    <s v="Garden; AC; Security; Pool; Gym"/>
    <n v="5"/>
    <n v="4"/>
    <n v="56944"/>
    <n v="4.5599999999999996"/>
    <s v="Premium"/>
    <n v="0.4778"/>
    <d v="2026-02-09T00:00:00"/>
    <n v="257"/>
    <x v="0"/>
    <n v="153"/>
    <x v="0"/>
    <b v="1"/>
    <n v="0"/>
  </r>
  <r>
    <s v="PROP00253"/>
    <x v="2"/>
    <x v="33"/>
    <x v="4"/>
    <n v="5542"/>
    <n v="15000000"/>
    <n v="2706"/>
    <n v="5"/>
    <n v="2"/>
    <n v="24"/>
    <s v="North"/>
    <s v="AC; Parking; Garden"/>
    <n v="3"/>
    <n v="6"/>
    <n v="55341"/>
    <n v="4.43"/>
    <s v="Premium"/>
    <n v="0.47139999999999999"/>
    <d v="2024-11-26T00:00:00"/>
    <n v="352"/>
    <x v="0"/>
    <n v="41"/>
    <x v="0"/>
    <b v="0"/>
    <n v="0"/>
  </r>
  <r>
    <s v="PROP00254"/>
    <x v="1"/>
    <x v="28"/>
    <x v="4"/>
    <n v="9276"/>
    <n v="50000000"/>
    <n v="5390"/>
    <n v="6"/>
    <n v="4"/>
    <n v="0"/>
    <s v="South-East"/>
    <s v="Security; Garden; Playground; Pool; Library; Parking; Elevator"/>
    <n v="7"/>
    <n v="6"/>
    <n v="180927"/>
    <n v="4.34"/>
    <s v="Luxury"/>
    <n v="0.46710000000000002"/>
    <d v="2025-08-08T00:00:00"/>
    <n v="8"/>
    <x v="0"/>
    <n v="59"/>
    <x v="0"/>
    <b v="1"/>
    <n v="0"/>
  </r>
  <r>
    <s v="PROP00255"/>
    <x v="4"/>
    <x v="31"/>
    <x v="2"/>
    <n v="2079"/>
    <n v="12000000"/>
    <n v="5772"/>
    <n v="4"/>
    <n v="2"/>
    <n v="5"/>
    <s v="North"/>
    <s v="Security; Playground; Concierge"/>
    <n v="3"/>
    <n v="7"/>
    <n v="39414"/>
    <n v="3.94"/>
    <s v="Premium"/>
    <n v="0.4471"/>
    <d v="2024-06-22T00:00:00"/>
    <n v="45"/>
    <x v="0"/>
    <n v="43"/>
    <x v="1"/>
    <b v="0"/>
    <n v="24000"/>
  </r>
  <r>
    <s v="PROP00256"/>
    <x v="0"/>
    <x v="9"/>
    <x v="4"/>
    <n v="8156"/>
    <n v="10000000"/>
    <n v="1226"/>
    <n v="6"/>
    <n v="4"/>
    <n v="19"/>
    <s v="South"/>
    <s v="Security; Playground; Garden; AC; Library"/>
    <n v="5"/>
    <n v="4"/>
    <n v="37595"/>
    <n v="4.51"/>
    <s v="Premium"/>
    <n v="0.47560000000000002"/>
    <d v="2025-01-23T00:00:00"/>
    <n v="50"/>
    <x v="0"/>
    <n v="149"/>
    <x v="1"/>
    <b v="0"/>
    <n v="0"/>
  </r>
  <r>
    <s v="PROP00257"/>
    <x v="2"/>
    <x v="32"/>
    <x v="3"/>
    <n v="3177"/>
    <n v="15000000"/>
    <n v="4721"/>
    <n v="5"/>
    <n v="3"/>
    <n v="12"/>
    <s v="North"/>
    <s v="Playground; Elevator; Concierge; Garden"/>
    <n v="4"/>
    <n v="5"/>
    <n v="40322"/>
    <n v="3.23"/>
    <s v="Premium"/>
    <n v="0.4113"/>
    <d v="2025-01-09T00:00:00"/>
    <n v="179"/>
    <x v="0"/>
    <n v="102"/>
    <x v="0"/>
    <b v="1"/>
    <n v="0"/>
  </r>
  <r>
    <s v="PROP00258"/>
    <x v="0"/>
    <x v="0"/>
    <x v="2"/>
    <n v="3777"/>
    <n v="10000000"/>
    <n v="2647"/>
    <n v="2"/>
    <n v="2"/>
    <n v="17"/>
    <s v="East"/>
    <s v="Library; Elevator; Garden; Security; Pool; AC"/>
    <n v="6"/>
    <n v="9"/>
    <n v="31396"/>
    <n v="3.77"/>
    <s v="Premium"/>
    <n v="0.43840000000000001"/>
    <d v="2025-05-31T00:00:00"/>
    <n v="223"/>
    <x v="0"/>
    <n v="140"/>
    <x v="1"/>
    <b v="1"/>
    <n v="20000"/>
  </r>
  <r>
    <s v="PROP00259"/>
    <x v="0"/>
    <x v="7"/>
    <x v="0"/>
    <n v="2751"/>
    <n v="10000000"/>
    <n v="3635"/>
    <n v="4"/>
    <n v="2"/>
    <n v="18"/>
    <s v="South-West"/>
    <s v="Concierge; Playground; Pool; Library; Garden; Elevator; Parking"/>
    <n v="7"/>
    <n v="7"/>
    <n v="26812"/>
    <n v="3.22"/>
    <s v="Premium"/>
    <n v="0.41090000000000004"/>
    <d v="2024-09-11T00:00:00"/>
    <n v="254"/>
    <x v="2"/>
    <n v="113"/>
    <x v="0"/>
    <b v="1"/>
    <n v="20000"/>
  </r>
  <r>
    <s v="PROP00260"/>
    <x v="3"/>
    <x v="5"/>
    <x v="0"/>
    <n v="1000"/>
    <n v="30000000"/>
    <n v="30000"/>
    <n v="2"/>
    <n v="2"/>
    <n v="17"/>
    <s v="South-East"/>
    <s v="Library; Concierge; Garden; Pool; Playground"/>
    <n v="5"/>
    <n v="7"/>
    <n v="114717"/>
    <n v="4.59"/>
    <s v="Luxury"/>
    <n v="0.47939999999999999"/>
    <d v="2024-06-18T00:00:00"/>
    <n v="46"/>
    <x v="0"/>
    <n v="118"/>
    <x v="0"/>
    <b v="0"/>
    <n v="60000"/>
  </r>
  <r>
    <s v="PROP00261"/>
    <x v="5"/>
    <x v="11"/>
    <x v="2"/>
    <n v="3748"/>
    <n v="40000000"/>
    <n v="10672"/>
    <n v="2"/>
    <n v="1"/>
    <n v="22"/>
    <s v="South-West"/>
    <s v="Playground; Pool; Security; Library; Gym; AC; Garden"/>
    <n v="7"/>
    <n v="8"/>
    <n v="147451"/>
    <n v="4.42"/>
    <s v="Luxury"/>
    <n v="0.47119999999999995"/>
    <d v="2025-03-25T00:00:00"/>
    <n v="340"/>
    <x v="0"/>
    <n v="84"/>
    <x v="0"/>
    <b v="0"/>
    <n v="80000"/>
  </r>
  <r>
    <s v="PROP00262"/>
    <x v="3"/>
    <x v="5"/>
    <x v="1"/>
    <n v="434"/>
    <n v="30000000"/>
    <n v="69124"/>
    <n v="1"/>
    <n v="1"/>
    <n v="9"/>
    <s v="North-West"/>
    <s v="Parking; Elevator; Gym; Concierge; Playground; Library; Pool; AC"/>
    <n v="8"/>
    <n v="9"/>
    <n v="123748"/>
    <n v="4.95"/>
    <s v="Luxury"/>
    <n v="0.4975"/>
    <d v="2025-12-26T00:00:00"/>
    <n v="234"/>
    <x v="0"/>
    <n v="136"/>
    <x v="1"/>
    <b v="1"/>
    <n v="0"/>
  </r>
  <r>
    <s v="PROP00263"/>
    <x v="4"/>
    <x v="30"/>
    <x v="4"/>
    <n v="9718"/>
    <n v="12000000"/>
    <n v="1234"/>
    <n v="5"/>
    <n v="3"/>
    <n v="11"/>
    <s v="North-West"/>
    <s v="Parking; Library; Gym; Security"/>
    <n v="4"/>
    <n v="8"/>
    <n v="34734"/>
    <n v="3.47"/>
    <s v="Premium"/>
    <n v="0.42369999999999997"/>
    <d v="2024-12-17T00:00:00"/>
    <n v="188"/>
    <x v="0"/>
    <n v="177"/>
    <x v="0"/>
    <b v="1"/>
    <n v="0"/>
  </r>
  <r>
    <s v="PROP00264"/>
    <x v="0"/>
    <x v="18"/>
    <x v="0"/>
    <n v="2776"/>
    <n v="10000000"/>
    <n v="3602"/>
    <n v="4"/>
    <n v="2"/>
    <n v="4"/>
    <s v="North-West"/>
    <s v="AC; Security; Concierge; Elevator; Gym; Library; Playground; Garden"/>
    <n v="8"/>
    <n v="9"/>
    <n v="36062"/>
    <n v="4.33"/>
    <s v="Premium"/>
    <n v="0.46639999999999998"/>
    <d v="2024-06-29T00:00:00"/>
    <n v="297"/>
    <x v="0"/>
    <n v="168"/>
    <x v="1"/>
    <b v="1"/>
    <n v="0"/>
  </r>
  <r>
    <s v="PROP00265"/>
    <x v="4"/>
    <x v="4"/>
    <x v="1"/>
    <n v="482"/>
    <n v="12000000"/>
    <n v="24896"/>
    <n v="1"/>
    <n v="2"/>
    <n v="13"/>
    <s v="North-East"/>
    <s v="Security; Elevator; Parking; Gym; Playground"/>
    <n v="5"/>
    <n v="8"/>
    <n v="41274"/>
    <n v="4.13"/>
    <s v="Premium"/>
    <n v="0.45640000000000003"/>
    <d v="2026-03-13T00:00:00"/>
    <n v="294"/>
    <x v="2"/>
    <n v="73"/>
    <x v="0"/>
    <b v="0"/>
    <n v="24000"/>
  </r>
  <r>
    <s v="PROP00266"/>
    <x v="5"/>
    <x v="16"/>
    <x v="0"/>
    <n v="919"/>
    <n v="40000000"/>
    <n v="43525"/>
    <n v="1"/>
    <n v="2"/>
    <n v="8"/>
    <s v="North-East"/>
    <s v="Elevator; Security; AC; Library"/>
    <n v="4"/>
    <n v="9"/>
    <n v="107436"/>
    <n v="3.22"/>
    <s v="Luxury"/>
    <n v="0.41119999999999995"/>
    <d v="2025-11-17T00:00:00"/>
    <n v="338"/>
    <x v="1"/>
    <n v="68"/>
    <x v="1"/>
    <b v="0"/>
    <n v="80000"/>
  </r>
  <r>
    <s v="PROP00267"/>
    <x v="5"/>
    <x v="19"/>
    <x v="3"/>
    <n v="5972"/>
    <n v="40000000"/>
    <n v="6697"/>
    <n v="4"/>
    <n v="2"/>
    <n v="10"/>
    <s v="South-West"/>
    <s v="Parking; Elevator; Concierge"/>
    <n v="3"/>
    <n v="5"/>
    <n v="115863"/>
    <n v="3.48"/>
    <s v="Luxury"/>
    <n v="0.42380000000000001"/>
    <d v="2025-02-18T00:00:00"/>
    <n v="296"/>
    <x v="2"/>
    <n v="83"/>
    <x v="1"/>
    <b v="1"/>
    <n v="0"/>
  </r>
  <r>
    <s v="PROP00268"/>
    <x v="1"/>
    <x v="28"/>
    <x v="3"/>
    <n v="5801"/>
    <n v="50000000"/>
    <n v="8619"/>
    <n v="6"/>
    <n v="4"/>
    <n v="9"/>
    <s v="North-West"/>
    <s v="AC; Garden; Library; Playground; Concierge; Elevator"/>
    <n v="6"/>
    <n v="10"/>
    <n v="169203"/>
    <n v="4.0599999999999996"/>
    <s v="Luxury"/>
    <n v="0.45299999999999996"/>
    <d v="2025-02-23T00:00:00"/>
    <n v="196"/>
    <x v="0"/>
    <n v="144"/>
    <x v="1"/>
    <b v="1"/>
    <n v="100000"/>
  </r>
  <r>
    <s v="PROP00269"/>
    <x v="4"/>
    <x v="29"/>
    <x v="2"/>
    <n v="4958"/>
    <n v="12000000"/>
    <n v="2420"/>
    <n v="5"/>
    <n v="3"/>
    <n v="10"/>
    <s v="South-West"/>
    <s v="Security; Pool; Elevator; Playground; Concierge"/>
    <n v="5"/>
    <n v="8"/>
    <n v="43505"/>
    <n v="4.3499999999999996"/>
    <s v="Premium"/>
    <n v="0.46750000000000003"/>
    <d v="2025-09-09T00:00:00"/>
    <n v="267"/>
    <x v="2"/>
    <n v="79"/>
    <x v="1"/>
    <b v="1"/>
    <n v="0"/>
  </r>
  <r>
    <s v="PROP00270"/>
    <x v="4"/>
    <x v="4"/>
    <x v="0"/>
    <n v="678"/>
    <n v="12000000"/>
    <n v="17699"/>
    <n v="1"/>
    <n v="2"/>
    <n v="3"/>
    <s v="West"/>
    <s v="Pool; Concierge; Playground; Elevator; AC; Parking; Security"/>
    <n v="7"/>
    <n v="9"/>
    <n v="42387"/>
    <n v="4.24"/>
    <s v="Premium"/>
    <n v="0.46189999999999998"/>
    <d v="2026-03-17T00:00:00"/>
    <n v="307"/>
    <x v="1"/>
    <n v="85"/>
    <x v="0"/>
    <b v="1"/>
    <n v="24000"/>
  </r>
  <r>
    <s v="PROP00271"/>
    <x v="4"/>
    <x v="6"/>
    <x v="1"/>
    <n v="586"/>
    <n v="12000000"/>
    <n v="20477"/>
    <n v="0"/>
    <n v="1"/>
    <n v="22"/>
    <s v="South"/>
    <s v="Security; Elevator; Concierge; Playground"/>
    <n v="4"/>
    <n v="9"/>
    <n v="48453"/>
    <n v="4.8499999999999996"/>
    <s v="Premium"/>
    <n v="0.49229999999999996"/>
    <d v="2025-08-04T00:00:00"/>
    <n v="132"/>
    <x v="2"/>
    <n v="112"/>
    <x v="0"/>
    <b v="1"/>
    <n v="0"/>
  </r>
  <r>
    <s v="PROP00272"/>
    <x v="1"/>
    <x v="21"/>
    <x v="1"/>
    <n v="420"/>
    <n v="50000000"/>
    <n v="119047"/>
    <n v="0"/>
    <n v="2"/>
    <n v="30"/>
    <s v="South-West"/>
    <s v="Parking; Concierge; Pool; Garden; AC"/>
    <n v="5"/>
    <n v="7"/>
    <n v="166004"/>
    <n v="3.98"/>
    <s v="Luxury"/>
    <n v="0.44920000000000004"/>
    <d v="2025-12-18T00:00:00"/>
    <n v="315"/>
    <x v="0"/>
    <n v="85"/>
    <x v="0"/>
    <b v="0"/>
    <n v="0"/>
  </r>
  <r>
    <s v="PROP00273"/>
    <x v="1"/>
    <x v="28"/>
    <x v="0"/>
    <n v="688"/>
    <n v="50000000"/>
    <n v="72674"/>
    <n v="3"/>
    <n v="2"/>
    <n v="0"/>
    <s v="East"/>
    <s v="Parking; Gym; AC; Playground; Garden; Elevator"/>
    <n v="6"/>
    <n v="9"/>
    <n v="200384"/>
    <n v="4.8099999999999996"/>
    <s v="Luxury"/>
    <n v="0.49049999999999999"/>
    <d v="2024-10-03T00:00:00"/>
    <n v="245"/>
    <x v="0"/>
    <n v="155"/>
    <x v="1"/>
    <b v="0"/>
    <n v="100000"/>
  </r>
  <r>
    <s v="PROP00274"/>
    <x v="4"/>
    <x v="6"/>
    <x v="0"/>
    <n v="1974"/>
    <n v="12000000"/>
    <n v="6079"/>
    <n v="4"/>
    <n v="2"/>
    <n v="18"/>
    <s v="South-East"/>
    <s v="Playground; Elevator; Security; Garden; Gym; AC; Parking"/>
    <n v="7"/>
    <n v="5"/>
    <n v="39192"/>
    <n v="3.92"/>
    <s v="Premium"/>
    <n v="0.44600000000000001"/>
    <d v="2025-07-22T00:00:00"/>
    <n v="21"/>
    <x v="2"/>
    <n v="171"/>
    <x v="1"/>
    <b v="1"/>
    <n v="0"/>
  </r>
  <r>
    <s v="PROP00275"/>
    <x v="0"/>
    <x v="8"/>
    <x v="0"/>
    <n v="2983"/>
    <n v="10000000"/>
    <n v="3352"/>
    <n v="3"/>
    <n v="2"/>
    <n v="2"/>
    <s v="South-West"/>
    <s v="Concierge; Garden; Parking; Gym; Pool; Library; Playground; AC"/>
    <n v="8"/>
    <n v="10"/>
    <n v="34009"/>
    <n v="4.08"/>
    <s v="Premium"/>
    <n v="0.45409999999999995"/>
    <d v="2025-07-03T00:00:00"/>
    <n v="9"/>
    <x v="0"/>
    <n v="145"/>
    <x v="0"/>
    <b v="0"/>
    <n v="20000"/>
  </r>
  <r>
    <s v="PROP00276"/>
    <x v="5"/>
    <x v="19"/>
    <x v="0"/>
    <n v="2060"/>
    <n v="40000000"/>
    <n v="19417"/>
    <n v="1"/>
    <n v="1"/>
    <n v="25"/>
    <s v="East"/>
    <s v="AC; Concierge; Parking; Playground; Security; Pool; Gym; Garden"/>
    <n v="8"/>
    <n v="9"/>
    <n v="101270"/>
    <n v="3.04"/>
    <s v="Luxury"/>
    <n v="0.40189999999999998"/>
    <d v="2024-08-19T00:00:00"/>
    <n v="8"/>
    <x v="0"/>
    <n v="63"/>
    <x v="0"/>
    <b v="1"/>
    <n v="0"/>
  </r>
  <r>
    <s v="PROP00277"/>
    <x v="1"/>
    <x v="21"/>
    <x v="4"/>
    <n v="4398"/>
    <n v="50000000"/>
    <n v="11368"/>
    <n v="6"/>
    <n v="3"/>
    <n v="26"/>
    <s v="South"/>
    <s v="Pool; Concierge; Garden"/>
    <n v="3"/>
    <n v="4"/>
    <n v="160517"/>
    <n v="3.85"/>
    <s v="Luxury"/>
    <n v="0.44259999999999999"/>
    <d v="2024-06-19T00:00:00"/>
    <n v="280"/>
    <x v="0"/>
    <n v="177"/>
    <x v="0"/>
    <b v="0"/>
    <n v="100000"/>
  </r>
  <r>
    <s v="PROP00278"/>
    <x v="1"/>
    <x v="20"/>
    <x v="3"/>
    <n v="4748"/>
    <n v="50000000"/>
    <n v="10530"/>
    <n v="3"/>
    <n v="1"/>
    <n v="8"/>
    <s v="East"/>
    <s v="Library; Parking; Playground; Security"/>
    <n v="4"/>
    <n v="10"/>
    <n v="202139"/>
    <n v="4.8499999999999996"/>
    <s v="Luxury"/>
    <n v="0.49259999999999998"/>
    <d v="2026-04-03T00:00:00"/>
    <n v="81"/>
    <x v="0"/>
    <n v="126"/>
    <x v="0"/>
    <b v="0"/>
    <n v="100000"/>
  </r>
  <r>
    <s v="PROP00279"/>
    <x v="1"/>
    <x v="28"/>
    <x v="3"/>
    <n v="2730"/>
    <n v="50000000"/>
    <n v="18315"/>
    <n v="5"/>
    <n v="3"/>
    <n v="22"/>
    <s v="North-West"/>
    <s v="Parking; Garden; Elevator; Playground; Concierge; Security"/>
    <n v="6"/>
    <n v="8"/>
    <n v="203174"/>
    <n v="4.88"/>
    <s v="Luxury"/>
    <n v="0.49380000000000002"/>
    <d v="2024-08-27T00:00:00"/>
    <n v="256"/>
    <x v="2"/>
    <n v="76"/>
    <x v="0"/>
    <b v="0"/>
    <n v="0"/>
  </r>
  <r>
    <s v="PROP00280"/>
    <x v="2"/>
    <x v="26"/>
    <x v="4"/>
    <n v="4930"/>
    <n v="15000000"/>
    <n v="3042"/>
    <n v="4"/>
    <n v="2"/>
    <n v="16"/>
    <s v="North-West"/>
    <s v="Elevator; Playground; Garden"/>
    <n v="3"/>
    <n v="4"/>
    <n v="53983"/>
    <n v="4.32"/>
    <s v="Premium"/>
    <n v="0.46590000000000004"/>
    <d v="2025-08-04T00:00:00"/>
    <n v="351"/>
    <x v="0"/>
    <n v="68"/>
    <x v="1"/>
    <b v="0"/>
    <n v="30000"/>
  </r>
  <r>
    <s v="PROP00281"/>
    <x v="3"/>
    <x v="27"/>
    <x v="0"/>
    <n v="621"/>
    <n v="30000000"/>
    <n v="48309"/>
    <n v="3"/>
    <n v="2"/>
    <n v="6"/>
    <s v="East"/>
    <s v="Security; Playground; Concierge; Gym; Library; AC"/>
    <n v="6"/>
    <n v="5"/>
    <n v="76453"/>
    <n v="3.06"/>
    <s v="Luxury"/>
    <n v="0.40289999999999998"/>
    <d v="2024-12-03T00:00:00"/>
    <n v="304"/>
    <x v="0"/>
    <n v="143"/>
    <x v="1"/>
    <b v="0"/>
    <n v="60000"/>
  </r>
  <r>
    <s v="PROP00282"/>
    <x v="0"/>
    <x v="7"/>
    <x v="2"/>
    <n v="2442"/>
    <n v="10000000"/>
    <n v="4095"/>
    <n v="2"/>
    <n v="2"/>
    <n v="7"/>
    <s v="South-West"/>
    <s v="Garden; Library; Elevator"/>
    <n v="3"/>
    <n v="7"/>
    <n v="26225"/>
    <n v="3.15"/>
    <s v="Premium"/>
    <n v="0.4073"/>
    <d v="2024-09-22T00:00:00"/>
    <n v="111"/>
    <x v="0"/>
    <n v="67"/>
    <x v="1"/>
    <b v="1"/>
    <n v="0"/>
  </r>
  <r>
    <s v="PROP00283"/>
    <x v="5"/>
    <x v="10"/>
    <x v="1"/>
    <n v="349"/>
    <n v="40000000"/>
    <n v="114613"/>
    <n v="1"/>
    <n v="2"/>
    <n v="6"/>
    <s v="South"/>
    <s v="Parking; Gym; AC; Elevator; Pool"/>
    <n v="5"/>
    <n v="5"/>
    <n v="130571"/>
    <n v="3.92"/>
    <s v="Luxury"/>
    <n v="0.44590000000000002"/>
    <d v="2025-11-20T00:00:00"/>
    <n v="310"/>
    <x v="2"/>
    <n v="105"/>
    <x v="0"/>
    <b v="1"/>
    <n v="80000"/>
  </r>
  <r>
    <s v="PROP00284"/>
    <x v="1"/>
    <x v="21"/>
    <x v="4"/>
    <n v="7007"/>
    <n v="50000000"/>
    <n v="7135"/>
    <n v="4"/>
    <n v="3"/>
    <n v="26"/>
    <s v="South-East"/>
    <s v="Security; Gym; Library; Playground; Pool; Concierge"/>
    <n v="6"/>
    <n v="8"/>
    <n v="143533"/>
    <n v="3.44"/>
    <s v="Luxury"/>
    <n v="0.42219999999999996"/>
    <d v="2024-09-16T00:00:00"/>
    <n v="214"/>
    <x v="1"/>
    <n v="31"/>
    <x v="0"/>
    <b v="1"/>
    <n v="0"/>
  </r>
  <r>
    <s v="PROP00285"/>
    <x v="0"/>
    <x v="9"/>
    <x v="0"/>
    <n v="2143"/>
    <n v="10000000"/>
    <n v="4666"/>
    <n v="4"/>
    <n v="3"/>
    <n v="25"/>
    <s v="South-West"/>
    <s v="Pool; Concierge; AC; Elevator; Gym; Security; Playground; Parking"/>
    <n v="8"/>
    <n v="4"/>
    <n v="27211"/>
    <n v="3.27"/>
    <s v="Premium"/>
    <n v="0.4133"/>
    <d v="2025-07-16T00:00:00"/>
    <n v="246"/>
    <x v="0"/>
    <n v="34"/>
    <x v="1"/>
    <b v="1"/>
    <n v="0"/>
  </r>
  <r>
    <s v="PROP00286"/>
    <x v="4"/>
    <x v="29"/>
    <x v="4"/>
    <n v="3199"/>
    <n v="12000000"/>
    <n v="3751"/>
    <n v="5"/>
    <n v="3"/>
    <n v="24"/>
    <s v="North-West"/>
    <s v="Library; Parking; Playground; Concierge"/>
    <n v="4"/>
    <n v="9"/>
    <n v="30027"/>
    <n v="3"/>
    <s v="Premium"/>
    <n v="0.40009999999999996"/>
    <d v="2024-08-10T00:00:00"/>
    <n v="272"/>
    <x v="0"/>
    <n v="115"/>
    <x v="0"/>
    <b v="0"/>
    <n v="0"/>
  </r>
  <r>
    <s v="PROP00287"/>
    <x v="5"/>
    <x v="19"/>
    <x v="4"/>
    <n v="7443"/>
    <n v="40000000"/>
    <n v="5374"/>
    <n v="6"/>
    <n v="3"/>
    <n v="25"/>
    <s v="South-West"/>
    <s v="Pool; Playground; Gym; Security; AC; Parking; Concierge; Garden"/>
    <n v="8"/>
    <n v="9"/>
    <n v="141275"/>
    <n v="4.24"/>
    <s v="Luxury"/>
    <n v="0.46189999999999998"/>
    <d v="2025-05-05T00:00:00"/>
    <n v="361"/>
    <x v="0"/>
    <n v="173"/>
    <x v="0"/>
    <b v="1"/>
    <n v="80000"/>
  </r>
  <r>
    <s v="PROP00288"/>
    <x v="5"/>
    <x v="10"/>
    <x v="4"/>
    <n v="3930"/>
    <n v="40000000"/>
    <n v="10178"/>
    <n v="6"/>
    <n v="4"/>
    <n v="23"/>
    <s v="North-East"/>
    <s v="Garden; Elevator; Playground; Parking; Library; Security; AC"/>
    <n v="7"/>
    <n v="8"/>
    <n v="124854"/>
    <n v="3.75"/>
    <s v="Luxury"/>
    <n v="0.43729999999999997"/>
    <d v="2025-02-05T00:00:00"/>
    <n v="241"/>
    <x v="0"/>
    <n v="61"/>
    <x v="1"/>
    <b v="0"/>
    <n v="0"/>
  </r>
  <r>
    <s v="PROP00289"/>
    <x v="0"/>
    <x v="7"/>
    <x v="0"/>
    <n v="1171"/>
    <n v="10000000"/>
    <n v="8539"/>
    <n v="4"/>
    <n v="2"/>
    <n v="2"/>
    <s v="South"/>
    <s v="Parking; Security; Pool; Gym; Concierge; Elevator"/>
    <n v="6"/>
    <n v="9"/>
    <n v="33272"/>
    <n v="3.99"/>
    <s v="Premium"/>
    <n v="0.4496"/>
    <d v="2025-10-17T00:00:00"/>
    <n v="151"/>
    <x v="0"/>
    <n v="35"/>
    <x v="1"/>
    <b v="1"/>
    <n v="0"/>
  </r>
  <r>
    <s v="PROP00290"/>
    <x v="5"/>
    <x v="16"/>
    <x v="1"/>
    <n v="580"/>
    <n v="40000000"/>
    <n v="68965"/>
    <n v="0"/>
    <n v="2"/>
    <n v="6"/>
    <s v="South-West"/>
    <s v="Gym; Garden; Playground"/>
    <n v="3"/>
    <n v="9"/>
    <n v="143717"/>
    <n v="4.3099999999999996"/>
    <s v="Luxury"/>
    <n v="0.46560000000000001"/>
    <d v="2025-06-14T00:00:00"/>
    <n v="281"/>
    <x v="0"/>
    <n v="165"/>
    <x v="1"/>
    <b v="0"/>
    <n v="0"/>
  </r>
  <r>
    <s v="PROP00291"/>
    <x v="4"/>
    <x v="6"/>
    <x v="2"/>
    <n v="2203"/>
    <n v="12000000"/>
    <n v="5447"/>
    <n v="4"/>
    <n v="2"/>
    <n v="15"/>
    <s v="North-West"/>
    <s v="Security; Gym; Parking; Concierge; Library"/>
    <n v="5"/>
    <n v="6"/>
    <n v="42372"/>
    <n v="4.24"/>
    <s v="Premium"/>
    <n v="0.46189999999999998"/>
    <d v="2025-12-01T00:00:00"/>
    <n v="90"/>
    <x v="2"/>
    <n v="76"/>
    <x v="0"/>
    <b v="1"/>
    <n v="24000"/>
  </r>
  <r>
    <s v="PROP00292"/>
    <x v="1"/>
    <x v="28"/>
    <x v="2"/>
    <n v="3853"/>
    <n v="50000000"/>
    <n v="12976"/>
    <n v="3"/>
    <n v="2"/>
    <n v="8"/>
    <s v="South-East"/>
    <s v="Parking; Garden; Gym; Playground; Elevator"/>
    <n v="5"/>
    <n v="4"/>
    <n v="162369"/>
    <n v="3.9"/>
    <s v="Luxury"/>
    <n v="0.44479999999999997"/>
    <d v="2025-11-29T00:00:00"/>
    <n v="208"/>
    <x v="0"/>
    <n v="36"/>
    <x v="1"/>
    <b v="1"/>
    <n v="0"/>
  </r>
  <r>
    <s v="PROP00293"/>
    <x v="5"/>
    <x v="10"/>
    <x v="0"/>
    <n v="2637"/>
    <n v="40000000"/>
    <n v="15168"/>
    <n v="3"/>
    <n v="2"/>
    <n v="15"/>
    <s v="South"/>
    <s v="Elevator; Parking; Concierge; AC; Playground"/>
    <n v="5"/>
    <n v="4"/>
    <n v="160011"/>
    <n v="4.8"/>
    <s v="Luxury"/>
    <n v="0.49"/>
    <d v="2025-12-23T00:00:00"/>
    <n v="13"/>
    <x v="2"/>
    <n v="108"/>
    <x v="1"/>
    <b v="1"/>
    <n v="0"/>
  </r>
  <r>
    <s v="PROP00294"/>
    <x v="5"/>
    <x v="11"/>
    <x v="2"/>
    <n v="1725"/>
    <n v="40000000"/>
    <n v="23188"/>
    <n v="3"/>
    <n v="1"/>
    <n v="25"/>
    <s v="South"/>
    <s v="Garden; Gym; Pool; Security; Elevator"/>
    <n v="5"/>
    <n v="8"/>
    <n v="126294"/>
    <n v="3.79"/>
    <s v="Luxury"/>
    <n v="0.43939999999999996"/>
    <d v="2024-12-28T00:00:00"/>
    <n v="29"/>
    <x v="0"/>
    <n v="160"/>
    <x v="1"/>
    <b v="0"/>
    <n v="80000"/>
  </r>
  <r>
    <s v="PROP00295"/>
    <x v="0"/>
    <x v="8"/>
    <x v="2"/>
    <n v="3081"/>
    <n v="10000000"/>
    <n v="3245"/>
    <n v="4"/>
    <n v="2"/>
    <n v="9"/>
    <s v="South"/>
    <s v="Playground; Security; Concierge; Library; AC"/>
    <n v="5"/>
    <n v="6"/>
    <n v="39796"/>
    <n v="4.78"/>
    <s v="Premium"/>
    <n v="0.48880000000000001"/>
    <d v="2025-03-15T00:00:00"/>
    <n v="218"/>
    <x v="2"/>
    <n v="71"/>
    <x v="1"/>
    <b v="1"/>
    <n v="20000"/>
  </r>
  <r>
    <s v="PROP00296"/>
    <x v="3"/>
    <x v="15"/>
    <x v="2"/>
    <n v="3444"/>
    <n v="30000000"/>
    <n v="8710"/>
    <n v="4"/>
    <n v="2"/>
    <n v="29"/>
    <s v="East"/>
    <s v="Library; Pool; Gym; Garden; Playground; Parking; Elevator"/>
    <n v="7"/>
    <n v="10"/>
    <n v="110512"/>
    <n v="4.42"/>
    <s v="Luxury"/>
    <n v="0.47100000000000003"/>
    <d v="2025-12-25T00:00:00"/>
    <n v="149"/>
    <x v="0"/>
    <n v="127"/>
    <x v="1"/>
    <b v="1"/>
    <n v="0"/>
  </r>
  <r>
    <s v="PROP00297"/>
    <x v="4"/>
    <x v="31"/>
    <x v="1"/>
    <n v="536"/>
    <n v="12000000"/>
    <n v="22388"/>
    <n v="1"/>
    <n v="1"/>
    <n v="0"/>
    <s v="North-West"/>
    <s v="Parking; Security; AC"/>
    <n v="3"/>
    <n v="7"/>
    <n v="43318"/>
    <n v="4.33"/>
    <s v="Premium"/>
    <n v="0.46659999999999996"/>
    <d v="2025-07-24T00:00:00"/>
    <n v="15"/>
    <x v="0"/>
    <n v="92"/>
    <x v="0"/>
    <b v="0"/>
    <n v="0"/>
  </r>
  <r>
    <s v="PROP00298"/>
    <x v="1"/>
    <x v="20"/>
    <x v="2"/>
    <n v="3880"/>
    <n v="50000000"/>
    <n v="12886"/>
    <n v="5"/>
    <n v="3"/>
    <n v="27"/>
    <s v="North"/>
    <s v="Concierge; Pool; Playground; Security; Elevator"/>
    <n v="5"/>
    <n v="7"/>
    <n v="138570"/>
    <n v="3.33"/>
    <s v="Luxury"/>
    <n v="0.4163"/>
    <d v="2026-03-16T00:00:00"/>
    <n v="183"/>
    <x v="0"/>
    <n v="64"/>
    <x v="0"/>
    <b v="1"/>
    <n v="0"/>
  </r>
  <r>
    <s v="PROP00299"/>
    <x v="5"/>
    <x v="16"/>
    <x v="2"/>
    <n v="1699"/>
    <n v="40000000"/>
    <n v="23543"/>
    <n v="4"/>
    <n v="3"/>
    <n v="16"/>
    <s v="East"/>
    <s v="Pool; AC; Garden; Library; Playground; Elevator; Gym; Parking"/>
    <n v="8"/>
    <n v="6"/>
    <n v="158162"/>
    <n v="4.74"/>
    <s v="Luxury"/>
    <n v="0.48719999999999997"/>
    <d v="2024-06-12T00:00:00"/>
    <n v="50"/>
    <x v="2"/>
    <n v="122"/>
    <x v="1"/>
    <b v="1"/>
    <n v="80000"/>
  </r>
  <r>
    <s v="PROP00300"/>
    <x v="3"/>
    <x v="5"/>
    <x v="2"/>
    <n v="3027"/>
    <n v="30000000"/>
    <n v="9910"/>
    <n v="5"/>
    <n v="3"/>
    <n v="10"/>
    <s v="West"/>
    <s v="Pool; Garden; Parking; Security"/>
    <n v="4"/>
    <n v="10"/>
    <n v="114755"/>
    <n v="4.59"/>
    <s v="Luxury"/>
    <n v="0.47950000000000004"/>
    <d v="2024-10-19T00:00:00"/>
    <n v="273"/>
    <x v="2"/>
    <n v="164"/>
    <x v="0"/>
    <b v="0"/>
    <n v="0"/>
  </r>
  <r>
    <s v="PROP00301"/>
    <x v="1"/>
    <x v="28"/>
    <x v="3"/>
    <n v="2142"/>
    <n v="50000000"/>
    <n v="23342"/>
    <n v="6"/>
    <n v="4"/>
    <n v="9"/>
    <s v="North-East"/>
    <s v="Playground; Parking; Concierge; Security; Library; AC; Pool; Elevator"/>
    <n v="8"/>
    <n v="9"/>
    <n v="192881"/>
    <n v="4.63"/>
    <s v="Luxury"/>
    <n v="0.48149999999999998"/>
    <d v="2025-09-29T00:00:00"/>
    <n v="353"/>
    <x v="0"/>
    <n v="66"/>
    <x v="0"/>
    <b v="0"/>
    <n v="100000"/>
  </r>
  <r>
    <s v="PROP00302"/>
    <x v="3"/>
    <x v="15"/>
    <x v="0"/>
    <n v="2140"/>
    <n v="30000000"/>
    <n v="14018"/>
    <n v="1"/>
    <n v="1"/>
    <n v="0"/>
    <s v="North"/>
    <s v="Library; Gym; Garden; AC; Elevator; Security"/>
    <n v="6"/>
    <n v="9"/>
    <n v="120426"/>
    <n v="4.82"/>
    <s v="Luxury"/>
    <n v="0.49090000000000006"/>
    <d v="2026-03-31T00:00:00"/>
    <n v="50"/>
    <x v="0"/>
    <n v="32"/>
    <x v="0"/>
    <b v="1"/>
    <n v="60000"/>
  </r>
  <r>
    <s v="PROP00303"/>
    <x v="3"/>
    <x v="27"/>
    <x v="2"/>
    <n v="1619"/>
    <n v="30000000"/>
    <n v="18529"/>
    <n v="2"/>
    <n v="1"/>
    <n v="27"/>
    <s v="South"/>
    <s v="Security; Playground; AC; Pool; Elevator; Concierge; Library; Parking"/>
    <n v="8"/>
    <n v="9"/>
    <n v="103906"/>
    <n v="4.16"/>
    <s v="Luxury"/>
    <n v="0.45779999999999998"/>
    <d v="2026-04-30T00:00:00"/>
    <n v="145"/>
    <x v="0"/>
    <n v="79"/>
    <x v="0"/>
    <b v="1"/>
    <n v="60000"/>
  </r>
  <r>
    <s v="PROP00304"/>
    <x v="3"/>
    <x v="5"/>
    <x v="1"/>
    <n v="437"/>
    <n v="29861449"/>
    <n v="68332"/>
    <n v="0"/>
    <n v="2"/>
    <n v="21"/>
    <s v="South-West"/>
    <s v="Parking; Playground; Library"/>
    <n v="3"/>
    <n v="6"/>
    <n v="85978"/>
    <n v="3.46"/>
    <s v="Luxury"/>
    <n v="0.42280000000000001"/>
    <d v="2026-01-19T00:00:00"/>
    <n v="239"/>
    <x v="2"/>
    <n v="61"/>
    <x v="0"/>
    <b v="1"/>
    <n v="0"/>
  </r>
  <r>
    <s v="PROP00305"/>
    <x v="5"/>
    <x v="19"/>
    <x v="2"/>
    <n v="3782"/>
    <n v="40000000"/>
    <n v="10576"/>
    <n v="2"/>
    <n v="1"/>
    <n v="10"/>
    <s v="North-West"/>
    <s v="Pool; Library; Security; Garden; Concierge; Parking"/>
    <n v="6"/>
    <n v="4"/>
    <n v="127152"/>
    <n v="3.81"/>
    <s v="Luxury"/>
    <n v="0.44069999999999998"/>
    <d v="2025-03-02T00:00:00"/>
    <n v="348"/>
    <x v="0"/>
    <n v="151"/>
    <x v="1"/>
    <b v="1"/>
    <n v="80000"/>
  </r>
  <r>
    <s v="PROP00306"/>
    <x v="0"/>
    <x v="8"/>
    <x v="0"/>
    <n v="2023"/>
    <n v="10000000"/>
    <n v="4943"/>
    <n v="4"/>
    <n v="2"/>
    <n v="3"/>
    <s v="East"/>
    <s v="Library; Elevator; Pool; Playground"/>
    <n v="4"/>
    <n v="10"/>
    <n v="41253"/>
    <n v="4.95"/>
    <s v="Premium"/>
    <n v="0.4975"/>
    <d v="2025-06-02T00:00:00"/>
    <n v="63"/>
    <x v="0"/>
    <n v="133"/>
    <x v="0"/>
    <b v="0"/>
    <n v="0"/>
  </r>
  <r>
    <s v="PROP00307"/>
    <x v="5"/>
    <x v="19"/>
    <x v="4"/>
    <n v="7863"/>
    <n v="40000000"/>
    <n v="5087"/>
    <n v="5"/>
    <n v="3"/>
    <n v="11"/>
    <s v="North-West"/>
    <s v="Elevator; Library; Concierge; Security; Parking; Pool"/>
    <n v="6"/>
    <n v="5"/>
    <n v="116712"/>
    <n v="3.5"/>
    <s v="Luxury"/>
    <n v="0.42509999999999998"/>
    <d v="2024-12-21T00:00:00"/>
    <n v="51"/>
    <x v="0"/>
    <n v="37"/>
    <x v="0"/>
    <b v="1"/>
    <n v="0"/>
  </r>
  <r>
    <s v="PROP00308"/>
    <x v="0"/>
    <x v="0"/>
    <x v="3"/>
    <n v="5134"/>
    <n v="10000000"/>
    <n v="1947"/>
    <n v="5"/>
    <n v="2"/>
    <n v="9"/>
    <s v="West"/>
    <s v="Elevator; Pool; AC; Playground; Security; Garden; Library"/>
    <n v="7"/>
    <n v="6"/>
    <n v="33298"/>
    <n v="4"/>
    <s v="Premium"/>
    <n v="0.44979999999999998"/>
    <d v="2024-12-14T00:00:00"/>
    <n v="280"/>
    <x v="0"/>
    <n v="168"/>
    <x v="0"/>
    <b v="1"/>
    <n v="0"/>
  </r>
  <r>
    <s v="PROP00309"/>
    <x v="1"/>
    <x v="21"/>
    <x v="1"/>
    <n v="411"/>
    <n v="50000000"/>
    <n v="121654"/>
    <n v="1"/>
    <n v="2"/>
    <n v="14"/>
    <s v="East"/>
    <s v="Gym; Parking; Security"/>
    <n v="3"/>
    <n v="4"/>
    <n v="136207"/>
    <n v="3.27"/>
    <s v="Luxury"/>
    <n v="0.41340000000000005"/>
    <d v="2025-04-11T00:00:00"/>
    <n v="346"/>
    <x v="0"/>
    <n v="175"/>
    <x v="1"/>
    <b v="0"/>
    <n v="0"/>
  </r>
  <r>
    <s v="PROP00310"/>
    <x v="4"/>
    <x v="6"/>
    <x v="4"/>
    <n v="3456"/>
    <n v="12000000"/>
    <n v="3472"/>
    <n v="5"/>
    <n v="3"/>
    <n v="15"/>
    <s v="East"/>
    <s v="Library; Playground; Security; Parking; Gym; AC; Concierge"/>
    <n v="7"/>
    <n v="9"/>
    <n v="36977"/>
    <n v="3.7"/>
    <s v="Premium"/>
    <n v="0.43490000000000001"/>
    <d v="2024-09-24T00:00:00"/>
    <n v="195"/>
    <x v="0"/>
    <n v="117"/>
    <x v="0"/>
    <b v="0"/>
    <n v="0"/>
  </r>
  <r>
    <s v="PROP00311"/>
    <x v="5"/>
    <x v="16"/>
    <x v="2"/>
    <n v="1731"/>
    <n v="40000000"/>
    <n v="23108"/>
    <n v="3"/>
    <n v="1"/>
    <n v="7"/>
    <s v="North"/>
    <s v="Security; Pool; AC; Library; Parking; Gym; Playground; Elevator"/>
    <n v="8"/>
    <n v="8"/>
    <n v="102491"/>
    <n v="3.07"/>
    <s v="Luxury"/>
    <n v="0.40369999999999995"/>
    <d v="2024-07-10T00:00:00"/>
    <n v="216"/>
    <x v="1"/>
    <n v="161"/>
    <x v="1"/>
    <b v="1"/>
    <n v="0"/>
  </r>
  <r>
    <s v="PROP00312"/>
    <x v="4"/>
    <x v="4"/>
    <x v="2"/>
    <n v="3047"/>
    <n v="12000000"/>
    <n v="3938"/>
    <n v="5"/>
    <n v="3"/>
    <n v="18"/>
    <s v="South-East"/>
    <s v="Concierge; Pool; Garden"/>
    <n v="3"/>
    <n v="8"/>
    <n v="46229"/>
    <n v="4.62"/>
    <s v="Premium"/>
    <n v="0.48109999999999997"/>
    <d v="2024-06-30T00:00:00"/>
    <n v="187"/>
    <x v="0"/>
    <n v="106"/>
    <x v="1"/>
    <b v="1"/>
    <n v="0"/>
  </r>
  <r>
    <s v="PROP00313"/>
    <x v="0"/>
    <x v="0"/>
    <x v="4"/>
    <n v="4753"/>
    <n v="10000000"/>
    <n v="2103"/>
    <n v="5"/>
    <n v="3"/>
    <n v="1"/>
    <s v="South"/>
    <s v="Elevator; Library; Garden; Security; Playground"/>
    <n v="5"/>
    <n v="4"/>
    <n v="34636"/>
    <n v="4.16"/>
    <s v="Premium"/>
    <n v="0.45779999999999998"/>
    <d v="2024-09-15T00:00:00"/>
    <n v="272"/>
    <x v="0"/>
    <n v="175"/>
    <x v="1"/>
    <b v="0"/>
    <n v="20000"/>
  </r>
  <r>
    <s v="PROP00314"/>
    <x v="5"/>
    <x v="11"/>
    <x v="2"/>
    <n v="3567"/>
    <n v="40000000"/>
    <n v="11213"/>
    <n v="4"/>
    <n v="3"/>
    <n v="21"/>
    <s v="East"/>
    <s v="Playground; Garden; Library; AC; Parking; Security; Concierge"/>
    <n v="7"/>
    <n v="8"/>
    <n v="141856"/>
    <n v="4.26"/>
    <s v="Luxury"/>
    <n v="0.46279999999999999"/>
    <d v="2024-12-02T00:00:00"/>
    <n v="110"/>
    <x v="1"/>
    <n v="157"/>
    <x v="1"/>
    <b v="0"/>
    <n v="0"/>
  </r>
  <r>
    <s v="PROP00315"/>
    <x v="4"/>
    <x v="29"/>
    <x v="0"/>
    <n v="2539"/>
    <n v="12000000"/>
    <n v="4726"/>
    <n v="2"/>
    <n v="2"/>
    <n v="14"/>
    <s v="South-West"/>
    <s v="Garden; Parking; Security; Library"/>
    <n v="4"/>
    <n v="10"/>
    <n v="47203"/>
    <n v="4.72"/>
    <s v="Premium"/>
    <n v="0.48599999999999999"/>
    <d v="2026-03-10T00:00:00"/>
    <n v="137"/>
    <x v="2"/>
    <n v="135"/>
    <x v="1"/>
    <b v="1"/>
    <n v="0"/>
  </r>
  <r>
    <s v="PROP00316"/>
    <x v="0"/>
    <x v="9"/>
    <x v="3"/>
    <n v="5324"/>
    <n v="10000000"/>
    <n v="1878"/>
    <n v="4"/>
    <n v="2"/>
    <n v="4"/>
    <s v="North-West"/>
    <s v="Gym; Garden; Security; AC"/>
    <n v="4"/>
    <n v="5"/>
    <n v="32268"/>
    <n v="3.87"/>
    <s v="Premium"/>
    <n v="0.44359999999999999"/>
    <d v="2024-07-21T00:00:00"/>
    <n v="140"/>
    <x v="1"/>
    <n v="70"/>
    <x v="0"/>
    <b v="1"/>
    <n v="0"/>
  </r>
  <r>
    <s v="PROP00317"/>
    <x v="5"/>
    <x v="19"/>
    <x v="4"/>
    <n v="4441"/>
    <n v="40000000"/>
    <n v="9006"/>
    <n v="6"/>
    <n v="3"/>
    <n v="30"/>
    <s v="South-West"/>
    <s v="Concierge; Gym; AC; Library; Elevator; Parking; Security; Playground"/>
    <n v="8"/>
    <n v="10"/>
    <n v="144778"/>
    <n v="4.34"/>
    <s v="Luxury"/>
    <n v="0.4672"/>
    <d v="2026-02-11T00:00:00"/>
    <n v="121"/>
    <x v="0"/>
    <n v="65"/>
    <x v="0"/>
    <b v="1"/>
    <n v="0"/>
  </r>
  <r>
    <s v="PROP00318"/>
    <x v="2"/>
    <x v="26"/>
    <x v="3"/>
    <n v="6913"/>
    <n v="15000000"/>
    <n v="2169"/>
    <n v="3"/>
    <n v="2"/>
    <n v="10"/>
    <s v="West"/>
    <s v="Library; Garden; Elevator; Pool; Concierge; Gym; Playground"/>
    <n v="7"/>
    <n v="4"/>
    <n v="48486"/>
    <n v="3.88"/>
    <s v="Premium"/>
    <n v="0.44390000000000002"/>
    <d v="2025-08-27T00:00:00"/>
    <n v="274"/>
    <x v="1"/>
    <n v="155"/>
    <x v="1"/>
    <b v="1"/>
    <n v="0"/>
  </r>
  <r>
    <s v="PROP00319"/>
    <x v="4"/>
    <x v="30"/>
    <x v="1"/>
    <n v="599"/>
    <n v="12000000"/>
    <n v="20033"/>
    <n v="0"/>
    <n v="2"/>
    <n v="28"/>
    <s v="North-East"/>
    <s v="Playground; Concierge; Elevator; Library"/>
    <n v="4"/>
    <n v="9"/>
    <n v="49336"/>
    <n v="4.93"/>
    <s v="Premium"/>
    <n v="0.49670000000000003"/>
    <d v="2024-09-01T00:00:00"/>
    <n v="354"/>
    <x v="0"/>
    <n v="43"/>
    <x v="0"/>
    <b v="0"/>
    <n v="0"/>
  </r>
  <r>
    <s v="PROP00320"/>
    <x v="5"/>
    <x v="19"/>
    <x v="2"/>
    <n v="4826"/>
    <n v="40000000"/>
    <n v="8288"/>
    <n v="2"/>
    <n v="1"/>
    <n v="27"/>
    <s v="West"/>
    <s v="Library; Gym; Elevator; Parking; Concierge; AC"/>
    <n v="6"/>
    <n v="9"/>
    <n v="157294"/>
    <n v="4.72"/>
    <s v="Luxury"/>
    <n v="0.48590000000000005"/>
    <d v="2025-12-01T00:00:00"/>
    <n v="330"/>
    <x v="1"/>
    <n v="111"/>
    <x v="1"/>
    <b v="1"/>
    <n v="0"/>
  </r>
  <r>
    <s v="PROP00321"/>
    <x v="1"/>
    <x v="21"/>
    <x v="1"/>
    <n v="461"/>
    <n v="50000000"/>
    <n v="108459"/>
    <n v="1"/>
    <n v="2"/>
    <n v="28"/>
    <s v="South-East"/>
    <s v="Parking; Security; Pool"/>
    <n v="3"/>
    <n v="7"/>
    <n v="185769"/>
    <n v="4.46"/>
    <s v="Luxury"/>
    <n v="0.47289999999999999"/>
    <d v="2024-10-31T00:00:00"/>
    <n v="27"/>
    <x v="2"/>
    <n v="37"/>
    <x v="0"/>
    <b v="0"/>
    <n v="100000"/>
  </r>
  <r>
    <s v="PROP00322"/>
    <x v="1"/>
    <x v="21"/>
    <x v="3"/>
    <n v="7147"/>
    <n v="50000000"/>
    <n v="6995"/>
    <n v="5"/>
    <n v="3"/>
    <n v="18"/>
    <s v="East"/>
    <s v="Pool; Parking; Garden"/>
    <n v="3"/>
    <n v="10"/>
    <n v="182146"/>
    <n v="4.37"/>
    <s v="Luxury"/>
    <n v="0.46860000000000002"/>
    <d v="2025-06-21T00:00:00"/>
    <n v="134"/>
    <x v="0"/>
    <n v="64"/>
    <x v="0"/>
    <b v="0"/>
    <n v="0"/>
  </r>
  <r>
    <s v="PROP00323"/>
    <x v="3"/>
    <x v="35"/>
    <x v="1"/>
    <n v="438"/>
    <n v="30000000"/>
    <n v="68493"/>
    <n v="0"/>
    <n v="2"/>
    <n v="28"/>
    <s v="West"/>
    <s v="Elevator; Garden; Gym; Concierge; Security; Playground"/>
    <n v="6"/>
    <n v="10"/>
    <n v="123706"/>
    <n v="4.95"/>
    <s v="Luxury"/>
    <n v="0.49740000000000001"/>
    <d v="2025-10-23T00:00:00"/>
    <n v="26"/>
    <x v="0"/>
    <n v="73"/>
    <x v="1"/>
    <b v="0"/>
    <n v="0"/>
  </r>
  <r>
    <s v="PROP00324"/>
    <x v="3"/>
    <x v="35"/>
    <x v="2"/>
    <n v="2196"/>
    <n v="30000000"/>
    <n v="13661"/>
    <n v="2"/>
    <n v="1"/>
    <n v="22"/>
    <s v="North-East"/>
    <s v="Library; Concierge; AC; Gym; Pool; Playground; Security"/>
    <n v="7"/>
    <n v="5"/>
    <n v="99708"/>
    <n v="3.99"/>
    <s v="Luxury"/>
    <n v="0.44939999999999997"/>
    <d v="2026-01-01T00:00:00"/>
    <n v="145"/>
    <x v="0"/>
    <n v="85"/>
    <x v="0"/>
    <b v="0"/>
    <n v="60000"/>
  </r>
  <r>
    <s v="PROP00325"/>
    <x v="2"/>
    <x v="32"/>
    <x v="0"/>
    <n v="1588"/>
    <n v="15000000"/>
    <n v="9445"/>
    <n v="3"/>
    <n v="1"/>
    <n v="19"/>
    <s v="East"/>
    <s v="Garden; Playground; Concierge; Gym; Library; Elevator"/>
    <n v="6"/>
    <n v="9"/>
    <n v="61859"/>
    <n v="4.95"/>
    <s v="Premium"/>
    <n v="0.49740000000000001"/>
    <d v="2025-04-02T00:00:00"/>
    <n v="363"/>
    <x v="2"/>
    <n v="128"/>
    <x v="1"/>
    <b v="0"/>
    <n v="30000"/>
  </r>
  <r>
    <s v="PROP00326"/>
    <x v="1"/>
    <x v="20"/>
    <x v="0"/>
    <n v="613"/>
    <n v="50000000"/>
    <n v="81566"/>
    <n v="3"/>
    <n v="1"/>
    <n v="15"/>
    <s v="South-West"/>
    <s v="Elevator; Gym; AC; Parking; Security"/>
    <n v="5"/>
    <n v="8"/>
    <n v="157891"/>
    <n v="3.79"/>
    <s v="Luxury"/>
    <n v="0.4395"/>
    <d v="2025-04-30T00:00:00"/>
    <n v="298"/>
    <x v="0"/>
    <n v="40"/>
    <x v="0"/>
    <b v="0"/>
    <n v="100000"/>
  </r>
  <r>
    <s v="PROP00327"/>
    <x v="4"/>
    <x v="30"/>
    <x v="2"/>
    <n v="3417"/>
    <n v="12000000"/>
    <n v="3511"/>
    <n v="3"/>
    <n v="1"/>
    <n v="10"/>
    <s v="North-West"/>
    <s v="AC; Library; Parking; Concierge; Gym; Elevator; Playground; Garden"/>
    <n v="8"/>
    <n v="6"/>
    <n v="46696"/>
    <n v="4.67"/>
    <s v="Premium"/>
    <n v="0.48350000000000004"/>
    <d v="2025-05-10T00:00:00"/>
    <n v="314"/>
    <x v="1"/>
    <n v="97"/>
    <x v="1"/>
    <b v="0"/>
    <n v="0"/>
  </r>
  <r>
    <s v="PROP00328"/>
    <x v="3"/>
    <x v="3"/>
    <x v="1"/>
    <n v="327"/>
    <n v="25905850"/>
    <n v="79222"/>
    <n v="1"/>
    <n v="1"/>
    <n v="6"/>
    <s v="North-West"/>
    <s v="Gym; Garden; Parking; Elevator"/>
    <n v="4"/>
    <n v="7"/>
    <n v="95245"/>
    <n v="4.41"/>
    <s v="Luxury"/>
    <n v="0.47060000000000002"/>
    <d v="2025-02-22T00:00:00"/>
    <n v="227"/>
    <x v="0"/>
    <n v="40"/>
    <x v="1"/>
    <b v="0"/>
    <n v="0"/>
  </r>
  <r>
    <s v="PROP00329"/>
    <x v="2"/>
    <x v="26"/>
    <x v="3"/>
    <n v="3012"/>
    <n v="15000000"/>
    <n v="4980"/>
    <n v="5"/>
    <n v="2"/>
    <n v="6"/>
    <s v="West"/>
    <s v="Parking; Elevator; Security; Concierge; Playground"/>
    <n v="5"/>
    <n v="5"/>
    <n v="61790"/>
    <n v="4.9400000000000004"/>
    <s v="Premium"/>
    <n v="0.49719999999999998"/>
    <d v="2024-11-22T00:00:00"/>
    <n v="40"/>
    <x v="2"/>
    <n v="136"/>
    <x v="0"/>
    <b v="0"/>
    <n v="30000"/>
  </r>
  <r>
    <s v="PROP00330"/>
    <x v="5"/>
    <x v="11"/>
    <x v="2"/>
    <n v="4290"/>
    <n v="40000000"/>
    <n v="9324"/>
    <n v="2"/>
    <n v="2"/>
    <n v="11"/>
    <s v="North-West"/>
    <s v="Pool; Playground; Parking; Gym; Library; Garden; Security"/>
    <n v="7"/>
    <n v="4"/>
    <n v="117954"/>
    <n v="3.54"/>
    <s v="Luxury"/>
    <n v="0.4269"/>
    <d v="2024-07-10T00:00:00"/>
    <n v="167"/>
    <x v="0"/>
    <n v="145"/>
    <x v="0"/>
    <b v="1"/>
    <n v="80000"/>
  </r>
  <r>
    <s v="PROP00331"/>
    <x v="0"/>
    <x v="18"/>
    <x v="2"/>
    <n v="4769"/>
    <n v="10000000"/>
    <n v="2096"/>
    <n v="2"/>
    <n v="1"/>
    <n v="17"/>
    <s v="South"/>
    <s v="Library; Pool; Elevator; Parking; AC; Playground; Garden"/>
    <n v="7"/>
    <n v="6"/>
    <n v="28470"/>
    <n v="3.42"/>
    <s v="Premium"/>
    <n v="0.42080000000000001"/>
    <d v="2025-04-12T00:00:00"/>
    <n v="62"/>
    <x v="2"/>
    <n v="69"/>
    <x v="1"/>
    <b v="0"/>
    <n v="0"/>
  </r>
  <r>
    <s v="PROP00332"/>
    <x v="0"/>
    <x v="18"/>
    <x v="4"/>
    <n v="4075"/>
    <n v="10000000"/>
    <n v="2453"/>
    <n v="5"/>
    <n v="2"/>
    <n v="26"/>
    <s v="North-West"/>
    <s v="AC; Garden; Concierge; Elevator; Library"/>
    <n v="5"/>
    <n v="10"/>
    <n v="35005"/>
    <n v="4.2"/>
    <s v="Premium"/>
    <n v="0.46"/>
    <d v="2026-02-11T00:00:00"/>
    <n v="315"/>
    <x v="2"/>
    <n v="124"/>
    <x v="0"/>
    <b v="0"/>
    <n v="0"/>
  </r>
  <r>
    <s v="PROP00333"/>
    <x v="1"/>
    <x v="28"/>
    <x v="4"/>
    <n v="5799"/>
    <n v="50000000"/>
    <n v="8622"/>
    <n v="5"/>
    <n v="2"/>
    <n v="20"/>
    <s v="North-East"/>
    <s v="Parking; Concierge; Pool; Elevator; Garden; Playground; Gym; AC"/>
    <n v="8"/>
    <n v="8"/>
    <n v="135649"/>
    <n v="3.26"/>
    <s v="Luxury"/>
    <n v="0.4128"/>
    <d v="2025-07-11T00:00:00"/>
    <n v="152"/>
    <x v="2"/>
    <n v="139"/>
    <x v="0"/>
    <b v="1"/>
    <n v="100000"/>
  </r>
  <r>
    <s v="PROP00334"/>
    <x v="4"/>
    <x v="4"/>
    <x v="4"/>
    <n v="6480"/>
    <n v="12000000"/>
    <n v="1851"/>
    <n v="5"/>
    <n v="2"/>
    <n v="14"/>
    <s v="North-West"/>
    <s v="Elevator; Security; Playground; Parking; AC; Gym; Concierge; Garden"/>
    <n v="8"/>
    <n v="7"/>
    <n v="33644"/>
    <n v="3.36"/>
    <s v="Premium"/>
    <n v="0.41820000000000002"/>
    <d v="2025-04-07T00:00:00"/>
    <n v="161"/>
    <x v="0"/>
    <n v="106"/>
    <x v="1"/>
    <b v="0"/>
    <n v="0"/>
  </r>
  <r>
    <s v="PROP00335"/>
    <x v="5"/>
    <x v="10"/>
    <x v="3"/>
    <n v="3516"/>
    <n v="40000000"/>
    <n v="11376"/>
    <n v="3"/>
    <n v="2"/>
    <n v="27"/>
    <s v="North-West"/>
    <s v="Pool; Library; Gym; Concierge; Garden; AC; Security; Playground"/>
    <n v="8"/>
    <n v="8"/>
    <n v="127006"/>
    <n v="3.81"/>
    <s v="Luxury"/>
    <n v="0.44049999999999995"/>
    <d v="2024-07-10T00:00:00"/>
    <n v="156"/>
    <x v="1"/>
    <n v="154"/>
    <x v="1"/>
    <b v="0"/>
    <n v="0"/>
  </r>
  <r>
    <s v="PROP00336"/>
    <x v="1"/>
    <x v="1"/>
    <x v="3"/>
    <n v="2113"/>
    <n v="50000000"/>
    <n v="23663"/>
    <n v="4"/>
    <n v="2"/>
    <n v="26"/>
    <s v="North-West"/>
    <s v="Garden; Gym; Elevator"/>
    <n v="3"/>
    <n v="10"/>
    <n v="179144"/>
    <n v="4.3"/>
    <s v="Luxury"/>
    <n v="0.46500000000000002"/>
    <d v="2025-02-22T00:00:00"/>
    <n v="98"/>
    <x v="2"/>
    <n v="167"/>
    <x v="0"/>
    <b v="0"/>
    <n v="0"/>
  </r>
  <r>
    <s v="PROP00337"/>
    <x v="3"/>
    <x v="17"/>
    <x v="1"/>
    <n v="261"/>
    <n v="20085307"/>
    <n v="76955"/>
    <n v="0"/>
    <n v="1"/>
    <n v="28"/>
    <s v="North-West"/>
    <s v="Concierge; Elevator; AC; Gym"/>
    <n v="4"/>
    <n v="7"/>
    <n v="56953"/>
    <n v="3.4"/>
    <s v="Luxury"/>
    <n v="0.42009999999999997"/>
    <d v="2024-10-08T00:00:00"/>
    <n v="171"/>
    <x v="2"/>
    <n v="43"/>
    <x v="0"/>
    <b v="1"/>
    <n v="0"/>
  </r>
  <r>
    <s v="PROP00338"/>
    <x v="2"/>
    <x v="2"/>
    <x v="4"/>
    <n v="7881"/>
    <n v="15000000"/>
    <n v="1903"/>
    <n v="6"/>
    <n v="4"/>
    <n v="1"/>
    <s v="North"/>
    <s v="Library; Concierge; AC; Pool; Playground; Gym"/>
    <n v="6"/>
    <n v="9"/>
    <n v="45396"/>
    <n v="3.63"/>
    <s v="Premium"/>
    <n v="0.43159999999999998"/>
    <d v="2026-03-10T00:00:00"/>
    <n v="243"/>
    <x v="0"/>
    <n v="136"/>
    <x v="0"/>
    <b v="0"/>
    <n v="0"/>
  </r>
  <r>
    <s v="PROP00339"/>
    <x v="2"/>
    <x v="33"/>
    <x v="1"/>
    <n v="260"/>
    <n v="15000000"/>
    <n v="57692"/>
    <n v="0"/>
    <n v="2"/>
    <n v="23"/>
    <s v="West"/>
    <s v="Concierge; Playground; Elevator; Pool"/>
    <n v="4"/>
    <n v="9"/>
    <n v="54624"/>
    <n v="4.37"/>
    <s v="Premium"/>
    <n v="0.46850000000000003"/>
    <d v="2024-09-05T00:00:00"/>
    <n v="68"/>
    <x v="1"/>
    <n v="149"/>
    <x v="1"/>
    <b v="0"/>
    <n v="0"/>
  </r>
  <r>
    <s v="PROP00340"/>
    <x v="0"/>
    <x v="7"/>
    <x v="2"/>
    <n v="4760"/>
    <n v="10000000"/>
    <n v="2100"/>
    <n v="5"/>
    <n v="2"/>
    <n v="19"/>
    <s v="East"/>
    <s v="Security; Pool; Concierge; AC"/>
    <n v="4"/>
    <n v="7"/>
    <n v="35095"/>
    <n v="4.21"/>
    <s v="Premium"/>
    <n v="0.46060000000000001"/>
    <d v="2026-01-31T00:00:00"/>
    <n v="121"/>
    <x v="2"/>
    <n v="107"/>
    <x v="0"/>
    <b v="1"/>
    <n v="20000"/>
  </r>
  <r>
    <s v="PROP00341"/>
    <x v="5"/>
    <x v="13"/>
    <x v="2"/>
    <n v="4272"/>
    <n v="40000000"/>
    <n v="9363"/>
    <n v="3"/>
    <n v="1"/>
    <n v="26"/>
    <s v="South"/>
    <s v="Gym; Pool; Playground; Garden; Elevator; Security; AC"/>
    <n v="7"/>
    <n v="10"/>
    <n v="132424"/>
    <n v="3.97"/>
    <s v="Luxury"/>
    <n v="0.4486"/>
    <d v="2025-05-31T00:00:00"/>
    <n v="286"/>
    <x v="2"/>
    <n v="41"/>
    <x v="1"/>
    <b v="1"/>
    <n v="80000"/>
  </r>
  <r>
    <s v="PROP00342"/>
    <x v="0"/>
    <x v="0"/>
    <x v="1"/>
    <n v="484"/>
    <n v="10000000"/>
    <n v="20661"/>
    <n v="0"/>
    <n v="1"/>
    <n v="25"/>
    <s v="West"/>
    <s v="Elevator; Pool; Gym; Security; Concierge; AC; Playground"/>
    <n v="7"/>
    <n v="10"/>
    <n v="27617"/>
    <n v="3.31"/>
    <s v="Premium"/>
    <n v="0.41570000000000001"/>
    <d v="2025-07-19T00:00:00"/>
    <n v="256"/>
    <x v="2"/>
    <n v="159"/>
    <x v="0"/>
    <b v="1"/>
    <n v="0"/>
  </r>
  <r>
    <s v="PROP00343"/>
    <x v="5"/>
    <x v="10"/>
    <x v="0"/>
    <n v="1226"/>
    <n v="40000000"/>
    <n v="32626"/>
    <n v="4"/>
    <n v="3"/>
    <n v="24"/>
    <s v="North-East"/>
    <s v="Garden; Concierge; Playground"/>
    <n v="3"/>
    <n v="7"/>
    <n v="105682"/>
    <n v="3.17"/>
    <s v="Luxury"/>
    <n v="0.40850000000000003"/>
    <d v="2025-04-28T00:00:00"/>
    <n v="323"/>
    <x v="2"/>
    <n v="122"/>
    <x v="0"/>
    <b v="1"/>
    <n v="0"/>
  </r>
  <r>
    <s v="PROP00344"/>
    <x v="3"/>
    <x v="15"/>
    <x v="1"/>
    <n v="461"/>
    <n v="30000000"/>
    <n v="65075"/>
    <n v="1"/>
    <n v="2"/>
    <n v="30"/>
    <s v="South"/>
    <s v="Playground; Gym; Concierge; Pool; AC; Security; Elevator"/>
    <n v="7"/>
    <n v="7"/>
    <n v="95082"/>
    <n v="3.8"/>
    <s v="Luxury"/>
    <n v="0.44020000000000004"/>
    <d v="2025-11-27T00:00:00"/>
    <n v="339"/>
    <x v="0"/>
    <n v="39"/>
    <x v="0"/>
    <b v="1"/>
    <n v="0"/>
  </r>
  <r>
    <s v="PROP00345"/>
    <x v="2"/>
    <x v="2"/>
    <x v="4"/>
    <n v="5493"/>
    <n v="15000000"/>
    <n v="2730"/>
    <n v="6"/>
    <n v="4"/>
    <n v="29"/>
    <s v="North-West"/>
    <s v="Gym; Security; Parking; Playground; Garden"/>
    <n v="5"/>
    <n v="9"/>
    <n v="59689"/>
    <n v="4.78"/>
    <s v="Premium"/>
    <n v="0.48880000000000001"/>
    <d v="2024-08-13T00:00:00"/>
    <n v="358"/>
    <x v="2"/>
    <n v="143"/>
    <x v="1"/>
    <b v="0"/>
    <n v="30000"/>
  </r>
  <r>
    <s v="PROP00346"/>
    <x v="5"/>
    <x v="11"/>
    <x v="0"/>
    <n v="2601"/>
    <n v="40000000"/>
    <n v="15378"/>
    <n v="3"/>
    <n v="2"/>
    <n v="23"/>
    <s v="South-East"/>
    <s v="Parking; AC; Security; Pool; Gym; Concierge; Elevator; Garden"/>
    <n v="8"/>
    <n v="8"/>
    <n v="110668"/>
    <n v="3.32"/>
    <s v="Luxury"/>
    <n v="0.41600000000000004"/>
    <d v="2026-04-16T00:00:00"/>
    <n v="124"/>
    <x v="1"/>
    <n v="96"/>
    <x v="1"/>
    <b v="0"/>
    <n v="80000"/>
  </r>
  <r>
    <s v="PROP00347"/>
    <x v="0"/>
    <x v="0"/>
    <x v="2"/>
    <n v="2563"/>
    <n v="10000000"/>
    <n v="3901"/>
    <n v="4"/>
    <n v="2"/>
    <n v="1"/>
    <s v="West"/>
    <s v="Pool; Concierge; Security; AC; Playground; Gym; Garden; Elevator"/>
    <n v="8"/>
    <n v="9"/>
    <n v="41483"/>
    <n v="4.9800000000000004"/>
    <s v="Premium"/>
    <n v="0.49890000000000001"/>
    <d v="2024-10-12T00:00:00"/>
    <n v="305"/>
    <x v="2"/>
    <n v="166"/>
    <x v="0"/>
    <b v="0"/>
    <n v="0"/>
  </r>
  <r>
    <s v="PROP00348"/>
    <x v="5"/>
    <x v="19"/>
    <x v="4"/>
    <n v="8508"/>
    <n v="40000000"/>
    <n v="4701"/>
    <n v="4"/>
    <n v="3"/>
    <n v="16"/>
    <s v="South"/>
    <s v="Garden; Pool; Playground; Security; Library; AC; Parking; Concierge"/>
    <n v="8"/>
    <n v="4"/>
    <n v="128379"/>
    <n v="3.85"/>
    <s v="Luxury"/>
    <n v="0.44259999999999999"/>
    <d v="2025-03-19T00:00:00"/>
    <n v="67"/>
    <x v="0"/>
    <n v="138"/>
    <x v="1"/>
    <b v="1"/>
    <n v="0"/>
  </r>
  <r>
    <s v="PROP00349"/>
    <x v="1"/>
    <x v="24"/>
    <x v="4"/>
    <n v="6299"/>
    <n v="50000000"/>
    <n v="7937"/>
    <n v="6"/>
    <n v="4"/>
    <n v="27"/>
    <s v="North-West"/>
    <s v="Elevator; Concierge; Library; Garden; Playground"/>
    <n v="5"/>
    <n v="5"/>
    <n v="159743"/>
    <n v="3.83"/>
    <s v="Luxury"/>
    <n v="0.44170000000000004"/>
    <d v="2025-11-29T00:00:00"/>
    <n v="365"/>
    <x v="0"/>
    <n v="154"/>
    <x v="1"/>
    <b v="1"/>
    <n v="100000"/>
  </r>
  <r>
    <s v="PROP00350"/>
    <x v="0"/>
    <x v="34"/>
    <x v="1"/>
    <n v="492"/>
    <n v="10000000"/>
    <n v="20325"/>
    <n v="0"/>
    <n v="1"/>
    <n v="30"/>
    <s v="North"/>
    <s v="Playground; Pool; Library; Gym; Concierge; Parking; Security"/>
    <n v="7"/>
    <n v="6"/>
    <n v="26962"/>
    <n v="3.24"/>
    <s v="Premium"/>
    <n v="0.4118"/>
    <d v="2025-07-06T00:00:00"/>
    <n v="249"/>
    <x v="1"/>
    <n v="105"/>
    <x v="0"/>
    <b v="1"/>
    <n v="20000"/>
  </r>
  <r>
    <s v="PROP00351"/>
    <x v="4"/>
    <x v="30"/>
    <x v="0"/>
    <n v="1649"/>
    <n v="12000000"/>
    <n v="7277"/>
    <n v="3"/>
    <n v="1"/>
    <n v="5"/>
    <s v="North-West"/>
    <s v="Concierge; Gym; Pool; Security; Parking; AC; Library; Elevator"/>
    <n v="8"/>
    <n v="7"/>
    <n v="41315"/>
    <n v="4.13"/>
    <s v="Premium"/>
    <n v="0.45659999999999995"/>
    <d v="2025-06-03T00:00:00"/>
    <n v="71"/>
    <x v="2"/>
    <n v="63"/>
    <x v="1"/>
    <b v="0"/>
    <n v="0"/>
  </r>
  <r>
    <s v="PROP00352"/>
    <x v="3"/>
    <x v="27"/>
    <x v="2"/>
    <n v="1865"/>
    <n v="30000000"/>
    <n v="16085"/>
    <n v="5"/>
    <n v="3"/>
    <n v="7"/>
    <s v="South"/>
    <s v="Playground; AC; Gym; Elevator; Garden; Parking"/>
    <n v="6"/>
    <n v="10"/>
    <n v="110360"/>
    <n v="4.41"/>
    <s v="Luxury"/>
    <n v="0.47070000000000001"/>
    <d v="2024-10-06T00:00:00"/>
    <n v="288"/>
    <x v="2"/>
    <n v="109"/>
    <x v="0"/>
    <b v="1"/>
    <n v="60000"/>
  </r>
  <r>
    <s v="PROP00353"/>
    <x v="4"/>
    <x v="12"/>
    <x v="4"/>
    <n v="9206"/>
    <n v="12000000"/>
    <n v="1303"/>
    <n v="4"/>
    <n v="2"/>
    <n v="24"/>
    <s v="North"/>
    <s v="AC; Gym; Pool; Playground; Security; Concierge"/>
    <n v="6"/>
    <n v="8"/>
    <n v="34116"/>
    <n v="3.41"/>
    <s v="Premium"/>
    <n v="0.42060000000000003"/>
    <d v="2024-05-22T00:00:00"/>
    <n v="44"/>
    <x v="2"/>
    <n v="143"/>
    <x v="1"/>
    <b v="0"/>
    <n v="24000"/>
  </r>
  <r>
    <s v="PROP00354"/>
    <x v="2"/>
    <x v="26"/>
    <x v="2"/>
    <n v="3290"/>
    <n v="15000000"/>
    <n v="4559"/>
    <n v="3"/>
    <n v="2"/>
    <n v="0"/>
    <s v="North-East"/>
    <s v="Playground; Library; Security; Gym; AC; Elevator; Pool"/>
    <n v="7"/>
    <n v="7"/>
    <n v="43888"/>
    <n v="3.51"/>
    <s v="Premium"/>
    <n v="0.42560000000000003"/>
    <d v="2026-02-12T00:00:00"/>
    <n v="31"/>
    <x v="0"/>
    <n v="73"/>
    <x v="1"/>
    <b v="1"/>
    <n v="30000"/>
  </r>
  <r>
    <s v="PROP00355"/>
    <x v="0"/>
    <x v="0"/>
    <x v="2"/>
    <n v="3097"/>
    <n v="10000000"/>
    <n v="3228"/>
    <n v="2"/>
    <n v="2"/>
    <n v="4"/>
    <s v="West"/>
    <s v="Playground; Security; Library; Concierge; Gym; Elevator"/>
    <n v="6"/>
    <n v="10"/>
    <n v="34950"/>
    <n v="4.1900000000000004"/>
    <s v="Premium"/>
    <n v="0.4597"/>
    <d v="2025-09-14T00:00:00"/>
    <n v="198"/>
    <x v="0"/>
    <n v="159"/>
    <x v="0"/>
    <b v="0"/>
    <n v="20000"/>
  </r>
  <r>
    <s v="PROP00356"/>
    <x v="5"/>
    <x v="16"/>
    <x v="4"/>
    <n v="6334"/>
    <n v="40000000"/>
    <n v="6315"/>
    <n v="4"/>
    <n v="3"/>
    <n v="0"/>
    <s v="West"/>
    <s v="Garden; Gym; Security; Concierge; Library; AC"/>
    <n v="6"/>
    <n v="7"/>
    <n v="143436"/>
    <n v="4.3"/>
    <s v="Luxury"/>
    <n v="0.46520000000000006"/>
    <d v="2026-01-06T00:00:00"/>
    <n v="43"/>
    <x v="0"/>
    <n v="144"/>
    <x v="0"/>
    <b v="1"/>
    <n v="0"/>
  </r>
  <r>
    <s v="PROP00357"/>
    <x v="4"/>
    <x v="6"/>
    <x v="3"/>
    <n v="6403"/>
    <n v="12000000"/>
    <n v="1874"/>
    <n v="6"/>
    <n v="4"/>
    <n v="1"/>
    <s v="North"/>
    <s v="Concierge; Security; Parking"/>
    <n v="3"/>
    <n v="10"/>
    <n v="48436"/>
    <n v="4.84"/>
    <s v="Premium"/>
    <n v="0.49219999999999997"/>
    <d v="2025-08-08T00:00:00"/>
    <n v="180"/>
    <x v="0"/>
    <n v="127"/>
    <x v="0"/>
    <b v="0"/>
    <n v="24000"/>
  </r>
  <r>
    <s v="PROP00358"/>
    <x v="3"/>
    <x v="27"/>
    <x v="4"/>
    <n v="7612"/>
    <n v="30000000"/>
    <n v="3941"/>
    <n v="4"/>
    <n v="3"/>
    <n v="2"/>
    <s v="South-East"/>
    <s v="Pool; Parking; Security; Garden; Elevator; Concierge"/>
    <n v="6"/>
    <n v="10"/>
    <n v="122270"/>
    <n v="4.8899999999999997"/>
    <s v="Luxury"/>
    <n v="0.49450000000000005"/>
    <d v="2024-08-02T00:00:00"/>
    <n v="140"/>
    <x v="0"/>
    <n v="145"/>
    <x v="0"/>
    <b v="0"/>
    <n v="0"/>
  </r>
  <r>
    <s v="PROP00359"/>
    <x v="3"/>
    <x v="17"/>
    <x v="4"/>
    <n v="5690"/>
    <n v="30000000"/>
    <n v="5272"/>
    <n v="4"/>
    <n v="2"/>
    <n v="20"/>
    <s v="North"/>
    <s v="Elevator; Concierge; Gym"/>
    <n v="3"/>
    <n v="10"/>
    <n v="95658"/>
    <n v="3.83"/>
    <s v="Luxury"/>
    <n v="0.44130000000000003"/>
    <d v="2024-05-31T00:00:00"/>
    <n v="276"/>
    <x v="2"/>
    <n v="130"/>
    <x v="0"/>
    <b v="1"/>
    <n v="60000"/>
  </r>
  <r>
    <s v="PROP00360"/>
    <x v="0"/>
    <x v="8"/>
    <x v="0"/>
    <n v="1845"/>
    <n v="10000000"/>
    <n v="5420"/>
    <n v="4"/>
    <n v="3"/>
    <n v="12"/>
    <s v="West"/>
    <s v="Gym; Pool; Concierge; Parking"/>
    <n v="4"/>
    <n v="9"/>
    <n v="28692"/>
    <n v="3.44"/>
    <s v="Premium"/>
    <n v="0.42219999999999996"/>
    <d v="2026-04-24T00:00:00"/>
    <n v="99"/>
    <x v="2"/>
    <n v="121"/>
    <x v="0"/>
    <b v="0"/>
    <n v="20000"/>
  </r>
  <r>
    <s v="PROP00361"/>
    <x v="3"/>
    <x v="17"/>
    <x v="2"/>
    <n v="1650"/>
    <n v="30000000"/>
    <n v="18181"/>
    <n v="4"/>
    <n v="3"/>
    <n v="28"/>
    <s v="North-West"/>
    <s v="Elevator; Garden; Gym; Pool; Playground; AC; Concierge; Library"/>
    <n v="8"/>
    <n v="8"/>
    <n v="84688"/>
    <n v="3.39"/>
    <s v="Luxury"/>
    <n v="0.4194"/>
    <d v="2024-10-12T00:00:00"/>
    <n v="90"/>
    <x v="2"/>
    <n v="174"/>
    <x v="0"/>
    <b v="1"/>
    <n v="60000"/>
  </r>
  <r>
    <s v="PROP00362"/>
    <x v="3"/>
    <x v="3"/>
    <x v="4"/>
    <n v="4867"/>
    <n v="30000000"/>
    <n v="6163"/>
    <n v="6"/>
    <n v="4"/>
    <n v="6"/>
    <s v="North"/>
    <s v="Gym; AC; Security; Playground; Concierge; Garden; Elevator; Pool"/>
    <n v="8"/>
    <n v="9"/>
    <n v="91149"/>
    <n v="3.65"/>
    <s v="Luxury"/>
    <n v="0.43229999999999996"/>
    <d v="2025-03-24T00:00:00"/>
    <n v="239"/>
    <x v="0"/>
    <n v="162"/>
    <x v="1"/>
    <b v="0"/>
    <n v="60000"/>
  </r>
  <r>
    <s v="PROP00363"/>
    <x v="0"/>
    <x v="34"/>
    <x v="0"/>
    <n v="1538"/>
    <n v="10000000"/>
    <n v="6501"/>
    <n v="4"/>
    <n v="3"/>
    <n v="10"/>
    <s v="South"/>
    <s v="Library; Garden; Playground"/>
    <n v="3"/>
    <n v="7"/>
    <n v="38461"/>
    <n v="4.62"/>
    <s v="Premium"/>
    <n v="0.48080000000000001"/>
    <d v="2025-09-25T00:00:00"/>
    <n v="128"/>
    <x v="1"/>
    <n v="49"/>
    <x v="0"/>
    <b v="1"/>
    <n v="0"/>
  </r>
  <r>
    <s v="PROP00364"/>
    <x v="5"/>
    <x v="11"/>
    <x v="0"/>
    <n v="514"/>
    <n v="40000000"/>
    <n v="77821"/>
    <n v="4"/>
    <n v="3"/>
    <n v="25"/>
    <s v="West"/>
    <s v="Elevator; Playground; Security"/>
    <n v="3"/>
    <n v="10"/>
    <n v="115890"/>
    <n v="3.48"/>
    <s v="Luxury"/>
    <n v="0.42380000000000001"/>
    <d v="2025-05-31T00:00:00"/>
    <n v="267"/>
    <x v="2"/>
    <n v="115"/>
    <x v="0"/>
    <b v="1"/>
    <n v="0"/>
  </r>
  <r>
    <s v="PROP00365"/>
    <x v="1"/>
    <x v="23"/>
    <x v="1"/>
    <n v="546"/>
    <n v="50000000"/>
    <n v="91575"/>
    <n v="0"/>
    <n v="1"/>
    <n v="1"/>
    <s v="East"/>
    <s v="Library; Playground; Pool"/>
    <n v="3"/>
    <n v="9"/>
    <n v="191865"/>
    <n v="4.5999999999999996"/>
    <s v="Luxury"/>
    <n v="0.48020000000000002"/>
    <d v="2026-03-19T00:00:00"/>
    <n v="34"/>
    <x v="0"/>
    <n v="140"/>
    <x v="0"/>
    <b v="1"/>
    <n v="100000"/>
  </r>
  <r>
    <s v="PROP00366"/>
    <x v="5"/>
    <x v="16"/>
    <x v="1"/>
    <n v="299"/>
    <n v="33705310"/>
    <n v="112726"/>
    <n v="1"/>
    <n v="1"/>
    <n v="27"/>
    <s v="South-East"/>
    <s v="Elevator; Gym; Concierge; Garden; Library; Playground; AC"/>
    <n v="7"/>
    <n v="6"/>
    <n v="122225"/>
    <n v="4.3499999999999996"/>
    <s v="Luxury"/>
    <n v="0.46759999999999996"/>
    <d v="2026-04-18T00:00:00"/>
    <n v="99"/>
    <x v="0"/>
    <n v="180"/>
    <x v="0"/>
    <b v="1"/>
    <n v="67410"/>
  </r>
  <r>
    <s v="PROP00367"/>
    <x v="4"/>
    <x v="29"/>
    <x v="0"/>
    <n v="2828"/>
    <n v="12000000"/>
    <n v="4243"/>
    <n v="2"/>
    <n v="1"/>
    <n v="20"/>
    <s v="East"/>
    <s v="Security; Playground; Library; Garden; AC; Elevator; Concierge"/>
    <n v="7"/>
    <n v="8"/>
    <n v="45940"/>
    <n v="4.59"/>
    <s v="Premium"/>
    <n v="0.47970000000000002"/>
    <d v="2026-03-14T00:00:00"/>
    <n v="263"/>
    <x v="0"/>
    <n v="141"/>
    <x v="1"/>
    <b v="0"/>
    <n v="24000"/>
  </r>
  <r>
    <s v="PROP00368"/>
    <x v="3"/>
    <x v="17"/>
    <x v="2"/>
    <n v="3971"/>
    <n v="30000000"/>
    <n v="7554"/>
    <n v="4"/>
    <n v="3"/>
    <n v="11"/>
    <s v="West"/>
    <s v="AC; Parking; Gym"/>
    <n v="3"/>
    <n v="5"/>
    <n v="116758"/>
    <n v="4.67"/>
    <s v="Luxury"/>
    <n v="0.48350000000000004"/>
    <d v="2026-03-20T00:00:00"/>
    <n v="328"/>
    <x v="0"/>
    <n v="81"/>
    <x v="0"/>
    <b v="1"/>
    <n v="0"/>
  </r>
  <r>
    <s v="PROP00369"/>
    <x v="3"/>
    <x v="27"/>
    <x v="1"/>
    <n v="489"/>
    <n v="30000000"/>
    <n v="61349"/>
    <n v="1"/>
    <n v="2"/>
    <n v="19"/>
    <s v="North"/>
    <s v="Library; Playground; Parking; Gym; Garden"/>
    <n v="5"/>
    <n v="5"/>
    <n v="120997"/>
    <n v="4.84"/>
    <s v="Luxury"/>
    <n v="0.49200000000000005"/>
    <d v="2024-07-29T00:00:00"/>
    <n v="320"/>
    <x v="0"/>
    <n v="149"/>
    <x v="0"/>
    <b v="1"/>
    <n v="0"/>
  </r>
  <r>
    <s v="PROP00370"/>
    <x v="0"/>
    <x v="18"/>
    <x v="1"/>
    <n v="355"/>
    <n v="10000000"/>
    <n v="28169"/>
    <n v="1"/>
    <n v="1"/>
    <n v="26"/>
    <s v="South-East"/>
    <s v="Playground; Gym; Pool"/>
    <n v="3"/>
    <n v="9"/>
    <n v="26919"/>
    <n v="3.23"/>
    <s v="Premium"/>
    <n v="0.41149999999999998"/>
    <d v="2025-07-21T00:00:00"/>
    <n v="185"/>
    <x v="0"/>
    <n v="179"/>
    <x v="0"/>
    <b v="1"/>
    <n v="20000"/>
  </r>
  <r>
    <s v="PROP00371"/>
    <x v="3"/>
    <x v="3"/>
    <x v="3"/>
    <n v="3793"/>
    <n v="30000000"/>
    <n v="7909"/>
    <n v="5"/>
    <n v="2"/>
    <n v="10"/>
    <s v="North"/>
    <s v="Garden; Parking; Elevator; Gym; Pool; AC; Library"/>
    <n v="7"/>
    <n v="4"/>
    <n v="81862"/>
    <n v="3.27"/>
    <s v="Luxury"/>
    <n v="0.41369999999999996"/>
    <d v="2024-07-13T00:00:00"/>
    <n v="108"/>
    <x v="2"/>
    <n v="116"/>
    <x v="1"/>
    <b v="0"/>
    <n v="60000"/>
  </r>
  <r>
    <s v="PROP00372"/>
    <x v="5"/>
    <x v="13"/>
    <x v="3"/>
    <n v="6316"/>
    <n v="40000000"/>
    <n v="6333"/>
    <n v="6"/>
    <n v="3"/>
    <n v="3"/>
    <s v="South-West"/>
    <s v="Parking; Garden; AC; Security"/>
    <n v="4"/>
    <n v="5"/>
    <n v="121196"/>
    <n v="3.64"/>
    <s v="Luxury"/>
    <n v="0.43180000000000002"/>
    <d v="2025-03-01T00:00:00"/>
    <n v="316"/>
    <x v="1"/>
    <n v="41"/>
    <x v="0"/>
    <b v="0"/>
    <n v="80000"/>
  </r>
  <r>
    <s v="PROP00373"/>
    <x v="5"/>
    <x v="10"/>
    <x v="0"/>
    <n v="2978"/>
    <n v="40000000"/>
    <n v="13431"/>
    <n v="3"/>
    <n v="1"/>
    <n v="27"/>
    <s v="East"/>
    <s v="Elevator; Concierge; Garden; Playground; Gym; AC; Library"/>
    <n v="7"/>
    <n v="6"/>
    <n v="150087"/>
    <n v="4.5"/>
    <s v="Luxury"/>
    <n v="0.47509999999999997"/>
    <d v="2024-07-23T00:00:00"/>
    <n v="266"/>
    <x v="2"/>
    <n v="157"/>
    <x v="1"/>
    <b v="1"/>
    <n v="0"/>
  </r>
  <r>
    <s v="PROP00374"/>
    <x v="0"/>
    <x v="18"/>
    <x v="4"/>
    <n v="8689"/>
    <n v="10000000"/>
    <n v="1150"/>
    <n v="5"/>
    <n v="3"/>
    <n v="15"/>
    <s v="West"/>
    <s v="Elevator; Library; Gym; Pool; AC"/>
    <n v="5"/>
    <n v="7"/>
    <n v="28906"/>
    <n v="3.47"/>
    <s v="Premium"/>
    <n v="0.42340000000000005"/>
    <d v="2025-10-03T00:00:00"/>
    <n v="81"/>
    <x v="0"/>
    <n v="176"/>
    <x v="1"/>
    <b v="0"/>
    <n v="20000"/>
  </r>
  <r>
    <s v="PROP00375"/>
    <x v="3"/>
    <x v="35"/>
    <x v="2"/>
    <n v="3320"/>
    <n v="30000000"/>
    <n v="9036"/>
    <n v="4"/>
    <n v="2"/>
    <n v="18"/>
    <s v="South-West"/>
    <s v="Concierge; AC; Playground"/>
    <n v="3"/>
    <n v="6"/>
    <n v="96625"/>
    <n v="3.86"/>
    <s v="Luxury"/>
    <n v="0.44319999999999998"/>
    <d v="2025-05-03T00:00:00"/>
    <n v="196"/>
    <x v="2"/>
    <n v="99"/>
    <x v="0"/>
    <b v="1"/>
    <n v="0"/>
  </r>
  <r>
    <s v="PROP00376"/>
    <x v="3"/>
    <x v="3"/>
    <x v="0"/>
    <n v="1870"/>
    <n v="30000000"/>
    <n v="16042"/>
    <n v="1"/>
    <n v="2"/>
    <n v="26"/>
    <s v="South"/>
    <s v="AC; Elevator; Pool; Library; Parking; Concierge; Gym"/>
    <n v="7"/>
    <n v="9"/>
    <n v="76914"/>
    <n v="3.08"/>
    <s v="Luxury"/>
    <n v="0.40380000000000005"/>
    <d v="2025-10-21T00:00:00"/>
    <n v="129"/>
    <x v="0"/>
    <n v="114"/>
    <x v="1"/>
    <b v="0"/>
    <n v="60000"/>
  </r>
  <r>
    <s v="PROP00377"/>
    <x v="0"/>
    <x v="9"/>
    <x v="3"/>
    <n v="7866"/>
    <n v="10000000"/>
    <n v="1271"/>
    <n v="5"/>
    <n v="2"/>
    <n v="24"/>
    <s v="North"/>
    <s v="Security; Playground; Library; Garden; Elevator"/>
    <n v="5"/>
    <n v="5"/>
    <n v="33544"/>
    <n v="4.03"/>
    <s v="Premium"/>
    <n v="0.45130000000000003"/>
    <d v="2025-12-13T00:00:00"/>
    <n v="108"/>
    <x v="1"/>
    <n v="88"/>
    <x v="1"/>
    <b v="1"/>
    <n v="0"/>
  </r>
  <r>
    <s v="PROP00378"/>
    <x v="0"/>
    <x v="8"/>
    <x v="2"/>
    <n v="4743"/>
    <n v="10000000"/>
    <n v="2108"/>
    <n v="2"/>
    <n v="2"/>
    <n v="27"/>
    <s v="North-West"/>
    <s v="Library; Elevator; Garden; Concierge"/>
    <n v="4"/>
    <n v="5"/>
    <n v="25501"/>
    <n v="3.06"/>
    <s v="Premium"/>
    <n v="0.40299999999999997"/>
    <d v="2025-12-23T00:00:00"/>
    <n v="5"/>
    <x v="0"/>
    <n v="108"/>
    <x v="1"/>
    <b v="0"/>
    <n v="0"/>
  </r>
  <r>
    <s v="PROP00379"/>
    <x v="3"/>
    <x v="17"/>
    <x v="1"/>
    <n v="456"/>
    <n v="30000000"/>
    <n v="65789"/>
    <n v="1"/>
    <n v="2"/>
    <n v="18"/>
    <s v="East"/>
    <s v="Elevator; Gym; Parking"/>
    <n v="3"/>
    <n v="8"/>
    <n v="124712"/>
    <n v="4.99"/>
    <s v="Luxury"/>
    <n v="0.49939999999999996"/>
    <d v="2024-10-10T00:00:00"/>
    <n v="201"/>
    <x v="2"/>
    <n v="176"/>
    <x v="1"/>
    <b v="1"/>
    <n v="0"/>
  </r>
  <r>
    <s v="PROP00380"/>
    <x v="1"/>
    <x v="20"/>
    <x v="1"/>
    <n v="346"/>
    <n v="50000000"/>
    <n v="144508"/>
    <n v="1"/>
    <n v="1"/>
    <n v="10"/>
    <s v="North"/>
    <s v="Concierge; Security; Pool; Elevator; Gym; AC; Library"/>
    <n v="7"/>
    <n v="4"/>
    <n v="175280"/>
    <n v="4.21"/>
    <s v="Luxury"/>
    <n v="0.46029999999999999"/>
    <d v="2026-04-17T00:00:00"/>
    <n v="146"/>
    <x v="0"/>
    <n v="128"/>
    <x v="0"/>
    <b v="1"/>
    <n v="0"/>
  </r>
  <r>
    <s v="PROP00381"/>
    <x v="0"/>
    <x v="9"/>
    <x v="0"/>
    <n v="2262"/>
    <n v="10000000"/>
    <n v="4420"/>
    <n v="1"/>
    <n v="2"/>
    <n v="16"/>
    <s v="South-West"/>
    <s v="Parking; Playground; Library"/>
    <n v="3"/>
    <n v="9"/>
    <n v="26845"/>
    <n v="3.22"/>
    <s v="Premium"/>
    <n v="0.41110000000000002"/>
    <d v="2024-11-11T00:00:00"/>
    <n v="200"/>
    <x v="0"/>
    <n v="47"/>
    <x v="0"/>
    <b v="1"/>
    <n v="20000"/>
  </r>
  <r>
    <s v="PROP00382"/>
    <x v="5"/>
    <x v="16"/>
    <x v="1"/>
    <n v="331"/>
    <n v="37455633"/>
    <n v="113159"/>
    <n v="1"/>
    <n v="1"/>
    <n v="16"/>
    <s v="West"/>
    <s v="Concierge; Security; Garden; Gym; Pool; Elevator; Library; Playground"/>
    <n v="8"/>
    <n v="8"/>
    <n v="150465"/>
    <n v="4.82"/>
    <s v="Luxury"/>
    <n v="0.49099999999999999"/>
    <d v="2024-12-28T00:00:00"/>
    <n v="47"/>
    <x v="0"/>
    <n v="40"/>
    <x v="1"/>
    <b v="0"/>
    <n v="0"/>
  </r>
  <r>
    <s v="PROP00383"/>
    <x v="0"/>
    <x v="7"/>
    <x v="2"/>
    <n v="3101"/>
    <n v="10000000"/>
    <n v="3224"/>
    <n v="3"/>
    <n v="2"/>
    <n v="7"/>
    <s v="East"/>
    <s v="Elevator; Library; Concierge; Garden"/>
    <n v="4"/>
    <n v="5"/>
    <n v="26592"/>
    <n v="3.19"/>
    <s v="Premium"/>
    <n v="0.40960000000000002"/>
    <d v="2024-05-29T00:00:00"/>
    <n v="141"/>
    <x v="1"/>
    <n v="70"/>
    <x v="1"/>
    <b v="1"/>
    <n v="20000"/>
  </r>
  <r>
    <s v="PROP00384"/>
    <x v="2"/>
    <x v="2"/>
    <x v="4"/>
    <n v="3993"/>
    <n v="15000000"/>
    <n v="3756"/>
    <n v="5"/>
    <n v="2"/>
    <n v="24"/>
    <s v="North-West"/>
    <s v="AC; Playground; Library"/>
    <n v="3"/>
    <n v="4"/>
    <n v="42684"/>
    <n v="3.41"/>
    <s v="Premium"/>
    <n v="0.42070000000000002"/>
    <d v="2026-03-30T00:00:00"/>
    <n v="196"/>
    <x v="0"/>
    <n v="148"/>
    <x v="1"/>
    <b v="0"/>
    <n v="30000"/>
  </r>
  <r>
    <s v="PROP00385"/>
    <x v="2"/>
    <x v="26"/>
    <x v="0"/>
    <n v="1426"/>
    <n v="15000000"/>
    <n v="10518"/>
    <n v="1"/>
    <n v="1"/>
    <n v="10"/>
    <s v="North-West"/>
    <s v="Concierge; Elevator; AC; Gym; Library; Security; Pool; Parking"/>
    <n v="8"/>
    <n v="4"/>
    <n v="58010"/>
    <n v="4.6399999999999997"/>
    <s v="Premium"/>
    <n v="0.48200000000000004"/>
    <d v="2025-11-30T00:00:00"/>
    <n v="91"/>
    <x v="0"/>
    <n v="55"/>
    <x v="1"/>
    <b v="1"/>
    <n v="0"/>
  </r>
  <r>
    <s v="PROP00386"/>
    <x v="3"/>
    <x v="35"/>
    <x v="0"/>
    <n v="1519"/>
    <n v="30000000"/>
    <n v="19749"/>
    <n v="2"/>
    <n v="2"/>
    <n v="11"/>
    <s v="North"/>
    <s v="Garden; Gym; Elevator; Concierge"/>
    <n v="4"/>
    <n v="9"/>
    <n v="115575"/>
    <n v="4.62"/>
    <s v="Luxury"/>
    <n v="0.48119999999999996"/>
    <d v="2024-07-27T00:00:00"/>
    <n v="200"/>
    <x v="2"/>
    <n v="56"/>
    <x v="1"/>
    <b v="0"/>
    <n v="60000"/>
  </r>
  <r>
    <s v="PROP00387"/>
    <x v="4"/>
    <x v="4"/>
    <x v="0"/>
    <n v="1945"/>
    <n v="12000000"/>
    <n v="6169"/>
    <n v="2"/>
    <n v="1"/>
    <n v="11"/>
    <s v="North"/>
    <s v="Garden; Pool; Gym; Elevator"/>
    <n v="4"/>
    <n v="4"/>
    <n v="36742"/>
    <n v="3.67"/>
    <s v="Premium"/>
    <n v="0.43369999999999997"/>
    <d v="2025-10-30T00:00:00"/>
    <n v="50"/>
    <x v="2"/>
    <n v="86"/>
    <x v="0"/>
    <b v="1"/>
    <n v="24000"/>
  </r>
  <r>
    <s v="PROP00388"/>
    <x v="2"/>
    <x v="25"/>
    <x v="0"/>
    <n v="1739"/>
    <n v="15000000"/>
    <n v="8625"/>
    <n v="3"/>
    <n v="1"/>
    <n v="19"/>
    <s v="West"/>
    <s v="AC; Library; Elevator; Gym"/>
    <n v="4"/>
    <n v="9"/>
    <n v="46414"/>
    <n v="3.71"/>
    <s v="Premium"/>
    <n v="0.43569999999999998"/>
    <d v="2025-11-18T00:00:00"/>
    <n v="7"/>
    <x v="0"/>
    <n v="110"/>
    <x v="1"/>
    <b v="1"/>
    <n v="0"/>
  </r>
  <r>
    <s v="PROP00389"/>
    <x v="3"/>
    <x v="35"/>
    <x v="2"/>
    <n v="4162"/>
    <n v="30000000"/>
    <n v="7208"/>
    <n v="4"/>
    <n v="2"/>
    <n v="2"/>
    <s v="East"/>
    <s v="Library; Security; Concierge; Gym"/>
    <n v="4"/>
    <n v="9"/>
    <n v="79737"/>
    <n v="3.19"/>
    <s v="Luxury"/>
    <n v="0.40950000000000003"/>
    <d v="2025-06-16T00:00:00"/>
    <n v="348"/>
    <x v="1"/>
    <n v="129"/>
    <x v="0"/>
    <b v="0"/>
    <n v="60000"/>
  </r>
  <r>
    <s v="PROP00390"/>
    <x v="0"/>
    <x v="7"/>
    <x v="2"/>
    <n v="4987"/>
    <n v="10000000"/>
    <n v="2005"/>
    <n v="5"/>
    <n v="2"/>
    <n v="10"/>
    <s v="West"/>
    <s v="Elevator; Concierge; Library"/>
    <n v="3"/>
    <n v="8"/>
    <n v="36743"/>
    <n v="4.41"/>
    <s v="Premium"/>
    <n v="0.47049999999999997"/>
    <d v="2026-05-01T00:00:00"/>
    <n v="159"/>
    <x v="0"/>
    <n v="61"/>
    <x v="0"/>
    <b v="0"/>
    <n v="20000"/>
  </r>
  <r>
    <s v="PROP00391"/>
    <x v="4"/>
    <x v="4"/>
    <x v="0"/>
    <n v="963"/>
    <n v="12000000"/>
    <n v="12461"/>
    <n v="3"/>
    <n v="2"/>
    <n v="9"/>
    <s v="North"/>
    <s v="Parking; Library; Garden; Playground"/>
    <n v="4"/>
    <n v="6"/>
    <n v="44506"/>
    <n v="4.45"/>
    <s v="Premium"/>
    <n v="0.47249999999999998"/>
    <d v="2025-02-14T00:00:00"/>
    <n v="143"/>
    <x v="2"/>
    <n v="64"/>
    <x v="1"/>
    <b v="1"/>
    <n v="0"/>
  </r>
  <r>
    <s v="PROP00392"/>
    <x v="0"/>
    <x v="18"/>
    <x v="0"/>
    <n v="1338"/>
    <n v="10000000"/>
    <n v="7473"/>
    <n v="3"/>
    <n v="2"/>
    <n v="7"/>
    <s v="West"/>
    <s v="AC; Gym; Garden; Library"/>
    <n v="4"/>
    <n v="9"/>
    <n v="31358"/>
    <n v="3.76"/>
    <s v="Premium"/>
    <n v="0.43810000000000004"/>
    <d v="2025-06-19T00:00:00"/>
    <n v="34"/>
    <x v="0"/>
    <n v="31"/>
    <x v="1"/>
    <b v="1"/>
    <n v="20000"/>
  </r>
  <r>
    <s v="PROP00393"/>
    <x v="1"/>
    <x v="23"/>
    <x v="3"/>
    <n v="3672"/>
    <n v="50000000"/>
    <n v="13616"/>
    <n v="4"/>
    <n v="2"/>
    <n v="5"/>
    <s v="North-East"/>
    <s v="AC; Garden; Elevator; Security; Gym; Concierge; Library"/>
    <n v="7"/>
    <n v="5"/>
    <n v="141461"/>
    <n v="3.4"/>
    <s v="Luxury"/>
    <n v="0.41979999999999995"/>
    <d v="2025-03-06T00:00:00"/>
    <n v="147"/>
    <x v="0"/>
    <n v="107"/>
    <x v="1"/>
    <b v="1"/>
    <n v="0"/>
  </r>
  <r>
    <s v="PROP00394"/>
    <x v="2"/>
    <x v="26"/>
    <x v="2"/>
    <n v="3131"/>
    <n v="15000000"/>
    <n v="4790"/>
    <n v="5"/>
    <n v="2"/>
    <n v="15"/>
    <s v="North"/>
    <s v="Library; AC; Elevator; Concierge; Pool; Garden"/>
    <n v="6"/>
    <n v="6"/>
    <n v="48184"/>
    <n v="3.85"/>
    <s v="Premium"/>
    <n v="0.44270000000000004"/>
    <d v="2026-02-18T00:00:00"/>
    <n v="79"/>
    <x v="2"/>
    <n v="167"/>
    <x v="0"/>
    <b v="0"/>
    <n v="0"/>
  </r>
  <r>
    <s v="PROP00395"/>
    <x v="2"/>
    <x v="22"/>
    <x v="1"/>
    <n v="395"/>
    <n v="15000000"/>
    <n v="37974"/>
    <n v="1"/>
    <n v="2"/>
    <n v="2"/>
    <s v="North"/>
    <s v="Parking; Concierge; Garden; Pool; Library"/>
    <n v="5"/>
    <n v="7"/>
    <n v="50017"/>
    <n v="4"/>
    <s v="Premium"/>
    <n v="0.4501"/>
    <d v="2025-04-26T00:00:00"/>
    <n v="192"/>
    <x v="0"/>
    <n v="131"/>
    <x v="1"/>
    <b v="0"/>
    <n v="0"/>
  </r>
  <r>
    <s v="PROP00396"/>
    <x v="0"/>
    <x v="9"/>
    <x v="0"/>
    <n v="2074"/>
    <n v="10000000"/>
    <n v="4821"/>
    <n v="1"/>
    <n v="1"/>
    <n v="12"/>
    <s v="South-East"/>
    <s v="Parking; Garden; Library; Elevator; Playground; Concierge; AC"/>
    <n v="7"/>
    <n v="5"/>
    <n v="35848"/>
    <n v="4.3"/>
    <s v="Premium"/>
    <n v="0.46509999999999996"/>
    <d v="2025-03-06T00:00:00"/>
    <n v="18"/>
    <x v="2"/>
    <n v="152"/>
    <x v="1"/>
    <b v="1"/>
    <n v="20000"/>
  </r>
  <r>
    <s v="PROP00397"/>
    <x v="5"/>
    <x v="14"/>
    <x v="1"/>
    <n v="598"/>
    <n v="40000000"/>
    <n v="66889"/>
    <n v="0"/>
    <n v="2"/>
    <n v="7"/>
    <s v="South"/>
    <s v="Elevator; Parking; Gym; Concierge; Library; Garden; Security"/>
    <n v="7"/>
    <n v="7"/>
    <n v="112588"/>
    <n v="3.38"/>
    <s v="Luxury"/>
    <n v="0.41889999999999999"/>
    <d v="2025-03-07T00:00:00"/>
    <n v="355"/>
    <x v="0"/>
    <n v="94"/>
    <x v="1"/>
    <b v="0"/>
    <n v="0"/>
  </r>
  <r>
    <s v="PROP00398"/>
    <x v="0"/>
    <x v="8"/>
    <x v="0"/>
    <n v="847"/>
    <n v="10000000"/>
    <n v="11806"/>
    <n v="3"/>
    <n v="1"/>
    <n v="8"/>
    <s v="South"/>
    <s v="Garden; Library; Security; Gym; Pool; Elevator; AC; Concierge"/>
    <n v="8"/>
    <n v="9"/>
    <n v="31963"/>
    <n v="3.84"/>
    <s v="Premium"/>
    <n v="0.44179999999999997"/>
    <d v="2025-03-14T00:00:00"/>
    <n v="88"/>
    <x v="2"/>
    <n v="140"/>
    <x v="0"/>
    <b v="0"/>
    <n v="20000"/>
  </r>
  <r>
    <s v="PROP00399"/>
    <x v="0"/>
    <x v="34"/>
    <x v="3"/>
    <n v="5985"/>
    <n v="10000000"/>
    <n v="1670"/>
    <n v="4"/>
    <n v="2"/>
    <n v="14"/>
    <s v="North-East"/>
    <s v="Garden; Parking; Elevator; Gym; Playground; Pool; Security"/>
    <n v="7"/>
    <n v="8"/>
    <n v="39526"/>
    <n v="4.74"/>
    <s v="Premium"/>
    <n v="0.48719999999999997"/>
    <d v="2025-02-17T00:00:00"/>
    <n v="326"/>
    <x v="2"/>
    <n v="57"/>
    <x v="0"/>
    <b v="1"/>
    <n v="0"/>
  </r>
  <r>
    <s v="PROP00400"/>
    <x v="1"/>
    <x v="21"/>
    <x v="0"/>
    <n v="1533"/>
    <n v="50000000"/>
    <n v="32615"/>
    <n v="1"/>
    <n v="2"/>
    <n v="0"/>
    <s v="North-East"/>
    <s v="Garden; Concierge; AC; Playground; Gym; Library; Security"/>
    <n v="7"/>
    <n v="4"/>
    <n v="125602"/>
    <n v="3.01"/>
    <s v="Luxury"/>
    <n v="0.4007"/>
    <d v="2024-09-25T00:00:00"/>
    <n v="109"/>
    <x v="2"/>
    <n v="54"/>
    <x v="0"/>
    <b v="0"/>
    <n v="0"/>
  </r>
  <r>
    <s v="PROP00401"/>
    <x v="2"/>
    <x v="2"/>
    <x v="2"/>
    <n v="3975"/>
    <n v="15000000"/>
    <n v="3773"/>
    <n v="5"/>
    <n v="3"/>
    <n v="11"/>
    <s v="North"/>
    <s v="Playground; Elevator; Garden; Parking; AC; Concierge; Security; Library"/>
    <n v="8"/>
    <n v="10"/>
    <n v="59326"/>
    <n v="4.75"/>
    <s v="Premium"/>
    <n v="0.48729999999999996"/>
    <d v="2026-02-01T00:00:00"/>
    <n v="72"/>
    <x v="0"/>
    <n v="132"/>
    <x v="0"/>
    <b v="1"/>
    <n v="0"/>
  </r>
  <r>
    <s v="PROP00402"/>
    <x v="0"/>
    <x v="34"/>
    <x v="2"/>
    <n v="3351"/>
    <n v="10000000"/>
    <n v="2984"/>
    <n v="5"/>
    <n v="3"/>
    <n v="21"/>
    <s v="South-East"/>
    <s v="Gym; Playground; Elevator; AC"/>
    <n v="4"/>
    <n v="5"/>
    <n v="41159"/>
    <n v="4.9400000000000004"/>
    <s v="Premium"/>
    <n v="0.49700000000000005"/>
    <d v="2025-06-15T00:00:00"/>
    <n v="205"/>
    <x v="2"/>
    <n v="154"/>
    <x v="0"/>
    <b v="0"/>
    <n v="0"/>
  </r>
  <r>
    <s v="PROP00403"/>
    <x v="2"/>
    <x v="33"/>
    <x v="0"/>
    <n v="1976"/>
    <n v="15000000"/>
    <n v="7591"/>
    <n v="3"/>
    <n v="1"/>
    <n v="22"/>
    <s v="North-West"/>
    <s v="AC; Elevator; Gym; Pool"/>
    <n v="4"/>
    <n v="10"/>
    <n v="45033"/>
    <n v="3.6"/>
    <s v="Premium"/>
    <n v="0.43009999999999998"/>
    <d v="2024-06-24T00:00:00"/>
    <n v="87"/>
    <x v="1"/>
    <n v="149"/>
    <x v="1"/>
    <b v="1"/>
    <n v="0"/>
  </r>
  <r>
    <s v="PROP00404"/>
    <x v="0"/>
    <x v="9"/>
    <x v="3"/>
    <n v="3993"/>
    <n v="10000000"/>
    <n v="2504"/>
    <n v="4"/>
    <n v="2"/>
    <n v="24"/>
    <s v="North-East"/>
    <s v="Pool; Elevator; Library; Playground; Gym; AC; Parking; Security"/>
    <n v="8"/>
    <n v="9"/>
    <n v="29293"/>
    <n v="3.52"/>
    <s v="Premium"/>
    <n v="0.42579999999999996"/>
    <d v="2025-01-12T00:00:00"/>
    <n v="341"/>
    <x v="1"/>
    <n v="61"/>
    <x v="0"/>
    <b v="0"/>
    <n v="20000"/>
  </r>
  <r>
    <s v="PROP00405"/>
    <x v="0"/>
    <x v="18"/>
    <x v="3"/>
    <n v="6718"/>
    <n v="10000000"/>
    <n v="1488"/>
    <n v="3"/>
    <n v="2"/>
    <n v="12"/>
    <s v="North-East"/>
    <s v="Library; AC; Elevator; Concierge; Pool; Playground; Parking; Gym"/>
    <n v="8"/>
    <n v="9"/>
    <n v="26485"/>
    <n v="3.18"/>
    <s v="Premium"/>
    <n v="0.40889999999999999"/>
    <d v="2024-09-15T00:00:00"/>
    <n v="294"/>
    <x v="1"/>
    <n v="59"/>
    <x v="1"/>
    <b v="1"/>
    <n v="0"/>
  </r>
  <r>
    <s v="PROP00406"/>
    <x v="2"/>
    <x v="25"/>
    <x v="0"/>
    <n v="1673"/>
    <n v="15000000"/>
    <n v="8965"/>
    <n v="1"/>
    <n v="1"/>
    <n v="27"/>
    <s v="West"/>
    <s v="Library; Playground; AC; Elevator; Concierge; Pool"/>
    <n v="6"/>
    <n v="10"/>
    <n v="37729"/>
    <n v="3.02"/>
    <s v="Premium"/>
    <n v="0.40090000000000003"/>
    <d v="2025-01-28T00:00:00"/>
    <n v="113"/>
    <x v="0"/>
    <n v="105"/>
    <x v="1"/>
    <b v="0"/>
    <n v="30000"/>
  </r>
  <r>
    <s v="PROP00407"/>
    <x v="4"/>
    <x v="31"/>
    <x v="3"/>
    <n v="7450"/>
    <n v="12000000"/>
    <n v="1610"/>
    <n v="3"/>
    <n v="2"/>
    <n v="9"/>
    <s v="South-West"/>
    <s v="Pool; Security; Concierge; Playground; Elevator; Garden; Parking"/>
    <n v="7"/>
    <n v="5"/>
    <n v="46204"/>
    <n v="4.62"/>
    <s v="Premium"/>
    <n v="0.48100000000000004"/>
    <d v="2025-12-09T00:00:00"/>
    <n v="359"/>
    <x v="2"/>
    <n v="87"/>
    <x v="0"/>
    <b v="1"/>
    <n v="0"/>
  </r>
  <r>
    <s v="PROP00408"/>
    <x v="0"/>
    <x v="8"/>
    <x v="2"/>
    <n v="4838"/>
    <n v="10000000"/>
    <n v="2066"/>
    <n v="3"/>
    <n v="1"/>
    <n v="17"/>
    <s v="South"/>
    <s v="Playground; Library; Concierge; Parking; Garden; Elevator"/>
    <n v="6"/>
    <n v="9"/>
    <n v="29717"/>
    <n v="3.57"/>
    <s v="Premium"/>
    <n v="0.42829999999999996"/>
    <d v="2024-05-31T00:00:00"/>
    <n v="202"/>
    <x v="1"/>
    <n v="170"/>
    <x v="0"/>
    <b v="1"/>
    <n v="0"/>
  </r>
  <r>
    <s v="PROP00409"/>
    <x v="4"/>
    <x v="4"/>
    <x v="2"/>
    <n v="3374"/>
    <n v="12000000"/>
    <n v="3556"/>
    <n v="3"/>
    <n v="1"/>
    <n v="14"/>
    <s v="South"/>
    <s v="Concierge; Security; Parking; Pool; Library; Playground; Gym; AC"/>
    <n v="8"/>
    <n v="7"/>
    <n v="49769"/>
    <n v="4.9800000000000004"/>
    <s v="Premium"/>
    <n v="0.49880000000000002"/>
    <d v="2025-12-14T00:00:00"/>
    <n v="29"/>
    <x v="0"/>
    <n v="73"/>
    <x v="0"/>
    <b v="0"/>
    <n v="0"/>
  </r>
  <r>
    <s v="PROP00410"/>
    <x v="3"/>
    <x v="35"/>
    <x v="0"/>
    <n v="2511"/>
    <n v="30000000"/>
    <n v="11947"/>
    <n v="3"/>
    <n v="2"/>
    <n v="4"/>
    <s v="East"/>
    <s v="Library; Garden; Gym; Concierge; Pool; AC; Security; Playground"/>
    <n v="8"/>
    <n v="9"/>
    <n v="93768"/>
    <n v="3.75"/>
    <s v="Luxury"/>
    <n v="0.4375"/>
    <d v="2024-06-05T00:00:00"/>
    <n v="238"/>
    <x v="1"/>
    <n v="52"/>
    <x v="1"/>
    <b v="0"/>
    <n v="0"/>
  </r>
  <r>
    <s v="PROP00411"/>
    <x v="5"/>
    <x v="11"/>
    <x v="0"/>
    <n v="877"/>
    <n v="40000000"/>
    <n v="45610"/>
    <n v="1"/>
    <n v="1"/>
    <n v="15"/>
    <s v="South"/>
    <s v="AC; Garden; Gym; Security; Library; Playground; Elevator; Pool"/>
    <n v="8"/>
    <n v="9"/>
    <n v="112073"/>
    <n v="3.36"/>
    <s v="Luxury"/>
    <n v="0.41810000000000003"/>
    <d v="2025-01-04T00:00:00"/>
    <n v="153"/>
    <x v="1"/>
    <n v="141"/>
    <x v="0"/>
    <b v="1"/>
    <n v="0"/>
  </r>
  <r>
    <s v="PROP00412"/>
    <x v="1"/>
    <x v="23"/>
    <x v="4"/>
    <n v="4514"/>
    <n v="50000000"/>
    <n v="11076"/>
    <n v="5"/>
    <n v="2"/>
    <n v="12"/>
    <s v="West"/>
    <s v="AC; Elevator; Concierge; Gym; Security; Playground; Library"/>
    <n v="7"/>
    <n v="9"/>
    <n v="199800"/>
    <n v="4.8"/>
    <s v="Luxury"/>
    <n v="0.48979999999999996"/>
    <d v="2025-11-10T00:00:00"/>
    <n v="3"/>
    <x v="1"/>
    <n v="76"/>
    <x v="1"/>
    <b v="0"/>
    <n v="100000"/>
  </r>
  <r>
    <s v="PROP00413"/>
    <x v="1"/>
    <x v="1"/>
    <x v="4"/>
    <n v="4689"/>
    <n v="50000000"/>
    <n v="10663"/>
    <n v="6"/>
    <n v="3"/>
    <n v="2"/>
    <s v="East"/>
    <s v="Security; Gym; Pool; AC; Elevator; Parking; Playground"/>
    <n v="7"/>
    <n v="4"/>
    <n v="203769"/>
    <n v="4.8899999999999997"/>
    <s v="Luxury"/>
    <n v="0.49450000000000005"/>
    <d v="2026-05-14T00:00:00"/>
    <n v="151"/>
    <x v="0"/>
    <n v="162"/>
    <x v="1"/>
    <b v="1"/>
    <n v="0"/>
  </r>
  <r>
    <s v="PROP00414"/>
    <x v="0"/>
    <x v="18"/>
    <x v="4"/>
    <n v="5884"/>
    <n v="10000000"/>
    <n v="1699"/>
    <n v="6"/>
    <n v="3"/>
    <n v="22"/>
    <s v="West"/>
    <s v="Gym; Garden; Elevator"/>
    <n v="3"/>
    <n v="8"/>
    <n v="39268"/>
    <n v="4.71"/>
    <s v="Premium"/>
    <n v="0.48560000000000003"/>
    <d v="2025-10-06T00:00:00"/>
    <n v="111"/>
    <x v="1"/>
    <n v="171"/>
    <x v="1"/>
    <b v="0"/>
    <n v="20000"/>
  </r>
  <r>
    <s v="PROP00415"/>
    <x v="0"/>
    <x v="9"/>
    <x v="1"/>
    <n v="288"/>
    <n v="10000000"/>
    <n v="34722"/>
    <n v="1"/>
    <n v="2"/>
    <n v="12"/>
    <s v="West"/>
    <s v="Parking; Library; Concierge; Gym; Elevator; Garden; Pool; Playground"/>
    <n v="8"/>
    <n v="5"/>
    <n v="37211"/>
    <n v="4.47"/>
    <s v="Premium"/>
    <n v="0.4733"/>
    <d v="2024-08-04T00:00:00"/>
    <n v="289"/>
    <x v="2"/>
    <n v="125"/>
    <x v="0"/>
    <b v="0"/>
    <n v="20000"/>
  </r>
  <r>
    <s v="PROP00416"/>
    <x v="5"/>
    <x v="16"/>
    <x v="1"/>
    <n v="263"/>
    <n v="25142695"/>
    <n v="95599"/>
    <n v="0"/>
    <n v="1"/>
    <n v="8"/>
    <s v="South"/>
    <s v="AC; Pool; Library"/>
    <n v="3"/>
    <n v="5"/>
    <n v="66585"/>
    <n v="3.18"/>
    <s v="Luxury"/>
    <n v="0.40889999999999999"/>
    <d v="2025-06-07T00:00:00"/>
    <n v="141"/>
    <x v="2"/>
    <n v="87"/>
    <x v="0"/>
    <b v="1"/>
    <n v="0"/>
  </r>
  <r>
    <s v="PROP00417"/>
    <x v="3"/>
    <x v="17"/>
    <x v="0"/>
    <n v="905"/>
    <n v="30000000"/>
    <n v="33149"/>
    <n v="2"/>
    <n v="2"/>
    <n v="18"/>
    <s v="North-East"/>
    <s v="Pool; AC; Playground; Concierge; Security; Parking"/>
    <n v="6"/>
    <n v="10"/>
    <n v="119828"/>
    <n v="4.79"/>
    <s v="Luxury"/>
    <n v="0.48969999999999997"/>
    <d v="2025-11-21T00:00:00"/>
    <n v="93"/>
    <x v="0"/>
    <n v="129"/>
    <x v="1"/>
    <b v="0"/>
    <n v="0"/>
  </r>
  <r>
    <s v="PROP00418"/>
    <x v="4"/>
    <x v="6"/>
    <x v="2"/>
    <n v="1538"/>
    <n v="12000000"/>
    <n v="7802"/>
    <n v="3"/>
    <n v="1"/>
    <n v="4"/>
    <s v="West"/>
    <s v="Elevator; Security; Gym; Playground; Library; Parking"/>
    <n v="6"/>
    <n v="6"/>
    <n v="38364"/>
    <n v="3.84"/>
    <s v="Premium"/>
    <n v="0.44179999999999997"/>
    <d v="2025-01-31T00:00:00"/>
    <n v="258"/>
    <x v="0"/>
    <n v="149"/>
    <x v="1"/>
    <b v="0"/>
    <n v="0"/>
  </r>
  <r>
    <s v="PROP00419"/>
    <x v="4"/>
    <x v="29"/>
    <x v="3"/>
    <n v="4500"/>
    <n v="12000000"/>
    <n v="2666"/>
    <n v="3"/>
    <n v="2"/>
    <n v="13"/>
    <s v="South"/>
    <s v="Pool; Elevator; AC; Playground; Concierge"/>
    <n v="5"/>
    <n v="7"/>
    <n v="31148"/>
    <n v="3.11"/>
    <s v="Premium"/>
    <n v="0.40570000000000001"/>
    <d v="2025-07-26T00:00:00"/>
    <n v="218"/>
    <x v="0"/>
    <n v="32"/>
    <x v="0"/>
    <b v="0"/>
    <n v="0"/>
  </r>
  <r>
    <s v="PROP00420"/>
    <x v="4"/>
    <x v="29"/>
    <x v="4"/>
    <n v="8717"/>
    <n v="12000000"/>
    <n v="1376"/>
    <n v="4"/>
    <n v="3"/>
    <n v="0"/>
    <s v="North"/>
    <s v="Garden; Gym; Library; Playground; Security; Parking; Pool"/>
    <n v="7"/>
    <n v="10"/>
    <n v="49292"/>
    <n v="4.93"/>
    <s v="Premium"/>
    <n v="0.4965"/>
    <d v="2024-06-23T00:00:00"/>
    <n v="116"/>
    <x v="1"/>
    <n v="164"/>
    <x v="0"/>
    <b v="1"/>
    <n v="0"/>
  </r>
  <r>
    <s v="PROP00421"/>
    <x v="3"/>
    <x v="5"/>
    <x v="2"/>
    <n v="1708"/>
    <n v="30000000"/>
    <n v="17564"/>
    <n v="5"/>
    <n v="3"/>
    <n v="12"/>
    <s v="West"/>
    <s v="Playground; Pool; Elevator; Concierge"/>
    <n v="4"/>
    <n v="7"/>
    <n v="117538"/>
    <n v="4.7"/>
    <s v="Luxury"/>
    <n v="0.48509999999999998"/>
    <d v="2026-01-14T00:00:00"/>
    <n v="136"/>
    <x v="0"/>
    <n v="105"/>
    <x v="0"/>
    <b v="1"/>
    <n v="0"/>
  </r>
  <r>
    <s v="PROP00422"/>
    <x v="3"/>
    <x v="3"/>
    <x v="4"/>
    <n v="9764"/>
    <n v="30000000"/>
    <n v="3072"/>
    <n v="4"/>
    <n v="3"/>
    <n v="28"/>
    <s v="North-East"/>
    <s v="Concierge; Gym; Playground; AC; Security; Garden; Parking"/>
    <n v="7"/>
    <n v="4"/>
    <n v="75257"/>
    <n v="3.01"/>
    <s v="Luxury"/>
    <n v="0.40049999999999997"/>
    <d v="2025-11-05T00:00:00"/>
    <n v="221"/>
    <x v="0"/>
    <n v="55"/>
    <x v="1"/>
    <b v="1"/>
    <n v="60000"/>
  </r>
  <r>
    <s v="PROP00423"/>
    <x v="4"/>
    <x v="12"/>
    <x v="3"/>
    <n v="5364"/>
    <n v="12000000"/>
    <n v="2237"/>
    <n v="3"/>
    <n v="2"/>
    <n v="0"/>
    <s v="South-East"/>
    <s v="Security; Garden; Concierge; AC"/>
    <n v="4"/>
    <n v="6"/>
    <n v="38566"/>
    <n v="3.86"/>
    <s v="Premium"/>
    <n v="0.44280000000000003"/>
    <d v="2025-11-09T00:00:00"/>
    <n v="225"/>
    <x v="0"/>
    <n v="57"/>
    <x v="1"/>
    <b v="1"/>
    <n v="24000"/>
  </r>
  <r>
    <s v="PROP00424"/>
    <x v="5"/>
    <x v="19"/>
    <x v="1"/>
    <n v="252"/>
    <n v="29032345"/>
    <n v="115207"/>
    <n v="1"/>
    <n v="1"/>
    <n v="3"/>
    <s v="South-West"/>
    <s v="Security; Gym; Parking; Garden"/>
    <n v="4"/>
    <n v="7"/>
    <n v="116177"/>
    <n v="4.8"/>
    <s v="Luxury"/>
    <n v="0.49009999999999998"/>
    <d v="2025-12-01T00:00:00"/>
    <n v="61"/>
    <x v="2"/>
    <n v="98"/>
    <x v="1"/>
    <b v="0"/>
    <n v="0"/>
  </r>
  <r>
    <s v="PROP00425"/>
    <x v="0"/>
    <x v="7"/>
    <x v="3"/>
    <n v="4661"/>
    <n v="10000000"/>
    <n v="2145"/>
    <n v="6"/>
    <n v="4"/>
    <n v="4"/>
    <s v="East"/>
    <s v="Pool; Gym; Parking"/>
    <n v="3"/>
    <n v="9"/>
    <n v="25227"/>
    <n v="3.03"/>
    <s v="Premium"/>
    <n v="0.40139999999999998"/>
    <d v="2024-06-13T00:00:00"/>
    <n v="220"/>
    <x v="0"/>
    <n v="117"/>
    <x v="0"/>
    <b v="0"/>
    <n v="0"/>
  </r>
  <r>
    <s v="PROP00426"/>
    <x v="5"/>
    <x v="13"/>
    <x v="1"/>
    <n v="292"/>
    <n v="35334620"/>
    <n v="121008"/>
    <n v="1"/>
    <n v="1"/>
    <n v="19"/>
    <s v="South"/>
    <s v="AC; Parking; Garden; Elevator"/>
    <n v="4"/>
    <n v="7"/>
    <n v="146889"/>
    <n v="4.99"/>
    <s v="Luxury"/>
    <n v="0.49939999999999996"/>
    <d v="2025-09-03T00:00:00"/>
    <n v="243"/>
    <x v="2"/>
    <n v="80"/>
    <x v="0"/>
    <b v="1"/>
    <n v="70669"/>
  </r>
  <r>
    <s v="PROP00427"/>
    <x v="4"/>
    <x v="29"/>
    <x v="3"/>
    <n v="3879"/>
    <n v="12000000"/>
    <n v="3093"/>
    <n v="3"/>
    <n v="1"/>
    <n v="12"/>
    <s v="South-West"/>
    <s v="Security; Garden; Parking"/>
    <n v="3"/>
    <n v="8"/>
    <n v="33992"/>
    <n v="3.4"/>
    <s v="Premium"/>
    <n v="0.42"/>
    <d v="2026-03-23T00:00:00"/>
    <n v="359"/>
    <x v="0"/>
    <n v="108"/>
    <x v="0"/>
    <b v="1"/>
    <n v="0"/>
  </r>
  <r>
    <s v="PROP00428"/>
    <x v="2"/>
    <x v="2"/>
    <x v="0"/>
    <n v="2488"/>
    <n v="15000000"/>
    <n v="6028"/>
    <n v="4"/>
    <n v="2"/>
    <n v="9"/>
    <s v="South-East"/>
    <s v="Security; Playground; Elevator"/>
    <n v="3"/>
    <n v="4"/>
    <n v="43674"/>
    <n v="3.49"/>
    <s v="Premium"/>
    <n v="0.42469999999999997"/>
    <d v="2026-03-27T00:00:00"/>
    <n v="339"/>
    <x v="0"/>
    <n v="43"/>
    <x v="1"/>
    <b v="1"/>
    <n v="0"/>
  </r>
  <r>
    <s v="PROP00429"/>
    <x v="2"/>
    <x v="22"/>
    <x v="4"/>
    <n v="3825"/>
    <n v="15000000"/>
    <n v="3921"/>
    <n v="5"/>
    <n v="2"/>
    <n v="8"/>
    <s v="East"/>
    <s v="Playground; Elevator; Security; Gym; Library; AC"/>
    <n v="6"/>
    <n v="8"/>
    <n v="56032"/>
    <n v="4.4800000000000004"/>
    <s v="Premium"/>
    <n v="0.47409999999999997"/>
    <d v="2025-05-09T00:00:00"/>
    <n v="310"/>
    <x v="2"/>
    <n v="165"/>
    <x v="1"/>
    <b v="1"/>
    <n v="0"/>
  </r>
  <r>
    <s v="PROP00430"/>
    <x v="3"/>
    <x v="5"/>
    <x v="1"/>
    <n v="294"/>
    <n v="27172447"/>
    <n v="92423"/>
    <n v="0"/>
    <n v="1"/>
    <n v="20"/>
    <s v="North-West"/>
    <s v="Elevator; Pool; Gym; Security; Playground; AC; Library; Parking"/>
    <n v="8"/>
    <n v="6"/>
    <n v="71322"/>
    <n v="3.15"/>
    <s v="Luxury"/>
    <n v="0.40749999999999997"/>
    <d v="2024-11-01T00:00:00"/>
    <n v="104"/>
    <x v="2"/>
    <n v="151"/>
    <x v="0"/>
    <b v="1"/>
    <n v="54344"/>
  </r>
  <r>
    <s v="PROP00431"/>
    <x v="3"/>
    <x v="17"/>
    <x v="4"/>
    <n v="8829"/>
    <n v="30000000"/>
    <n v="3397"/>
    <n v="5"/>
    <n v="3"/>
    <n v="28"/>
    <s v="South-West"/>
    <s v="Concierge; Pool; Library; Gym; Garden"/>
    <n v="5"/>
    <n v="6"/>
    <n v="122622"/>
    <n v="4.9000000000000004"/>
    <s v="Luxury"/>
    <n v="0.49520000000000003"/>
    <d v="2026-04-22T00:00:00"/>
    <n v="149"/>
    <x v="0"/>
    <n v="63"/>
    <x v="0"/>
    <b v="1"/>
    <n v="60000"/>
  </r>
  <r>
    <s v="PROP00432"/>
    <x v="0"/>
    <x v="8"/>
    <x v="1"/>
    <n v="600"/>
    <n v="10000000"/>
    <n v="16666"/>
    <n v="0"/>
    <n v="1"/>
    <n v="14"/>
    <s v="East"/>
    <s v="Library; AC; Elevator; Garden; Security; Parking; Pool"/>
    <n v="7"/>
    <n v="10"/>
    <n v="34531"/>
    <n v="4.1399999999999997"/>
    <s v="Premium"/>
    <n v="0.4572"/>
    <d v="2024-09-15T00:00:00"/>
    <n v="234"/>
    <x v="2"/>
    <n v="161"/>
    <x v="1"/>
    <b v="0"/>
    <n v="20000"/>
  </r>
  <r>
    <s v="PROP00433"/>
    <x v="5"/>
    <x v="19"/>
    <x v="2"/>
    <n v="3761"/>
    <n v="40000000"/>
    <n v="10635"/>
    <n v="2"/>
    <n v="1"/>
    <n v="7"/>
    <s v="North"/>
    <s v="AC; Garden; Security"/>
    <n v="3"/>
    <n v="6"/>
    <n v="162803"/>
    <n v="4.88"/>
    <s v="Luxury"/>
    <n v="0.49420000000000003"/>
    <d v="2025-08-03T00:00:00"/>
    <n v="329"/>
    <x v="1"/>
    <n v="43"/>
    <x v="0"/>
    <b v="1"/>
    <n v="80000"/>
  </r>
  <r>
    <s v="PROP00434"/>
    <x v="1"/>
    <x v="23"/>
    <x v="2"/>
    <n v="4091"/>
    <n v="50000000"/>
    <n v="12221"/>
    <n v="4"/>
    <n v="3"/>
    <n v="2"/>
    <s v="North"/>
    <s v="AC; Security; Parking; Garden; Elevator; Concierge; Playground; Gym"/>
    <n v="8"/>
    <n v="4"/>
    <n v="143273"/>
    <n v="3.44"/>
    <s v="Luxury"/>
    <n v="0.4219"/>
    <d v="2025-08-01T00:00:00"/>
    <n v="337"/>
    <x v="0"/>
    <n v="167"/>
    <x v="0"/>
    <b v="0"/>
    <n v="0"/>
  </r>
  <r>
    <s v="PROP00435"/>
    <x v="0"/>
    <x v="7"/>
    <x v="4"/>
    <n v="7512"/>
    <n v="10000000"/>
    <n v="1331"/>
    <n v="4"/>
    <n v="3"/>
    <n v="7"/>
    <s v="West"/>
    <s v="Security; Garden; Library; Pool; AC"/>
    <n v="5"/>
    <n v="4"/>
    <n v="32231"/>
    <n v="3.87"/>
    <s v="Premium"/>
    <n v="0.44340000000000002"/>
    <d v="2025-12-14T00:00:00"/>
    <n v="93"/>
    <x v="1"/>
    <n v="156"/>
    <x v="1"/>
    <b v="1"/>
    <n v="20000"/>
  </r>
  <r>
    <s v="PROP00436"/>
    <x v="3"/>
    <x v="5"/>
    <x v="1"/>
    <n v="342"/>
    <n v="25291572"/>
    <n v="73951"/>
    <n v="1"/>
    <n v="1"/>
    <n v="9"/>
    <s v="East"/>
    <s v="Parking; Library; Garden; Gym"/>
    <n v="4"/>
    <n v="4"/>
    <n v="73567"/>
    <n v="3.49"/>
    <s v="Luxury"/>
    <n v="0.42450000000000004"/>
    <d v="2024-07-23T00:00:00"/>
    <n v="71"/>
    <x v="1"/>
    <n v="164"/>
    <x v="0"/>
    <b v="1"/>
    <n v="0"/>
  </r>
  <r>
    <s v="PROP00437"/>
    <x v="2"/>
    <x v="26"/>
    <x v="0"/>
    <n v="455"/>
    <n v="15000000"/>
    <n v="32967"/>
    <n v="1"/>
    <n v="1"/>
    <n v="7"/>
    <s v="North"/>
    <s v="Security; Parking; Gym"/>
    <n v="3"/>
    <n v="4"/>
    <n v="40158"/>
    <n v="3.21"/>
    <s v="Premium"/>
    <n v="0.41060000000000002"/>
    <d v="2025-06-02T00:00:00"/>
    <n v="72"/>
    <x v="1"/>
    <n v="81"/>
    <x v="1"/>
    <b v="0"/>
    <n v="30000"/>
  </r>
  <r>
    <s v="PROP00438"/>
    <x v="5"/>
    <x v="13"/>
    <x v="1"/>
    <n v="329"/>
    <n v="30272733"/>
    <n v="92014"/>
    <n v="0"/>
    <n v="1"/>
    <n v="17"/>
    <s v="South-West"/>
    <s v="Security; AC; Pool; Gym; Library; Playground; Parking; Elevator"/>
    <n v="8"/>
    <n v="7"/>
    <n v="121704"/>
    <n v="4.82"/>
    <s v="Luxury"/>
    <n v="0.49119999999999997"/>
    <d v="2026-04-20T00:00:00"/>
    <n v="181"/>
    <x v="0"/>
    <n v="67"/>
    <x v="1"/>
    <b v="1"/>
    <n v="0"/>
  </r>
  <r>
    <s v="PROP00439"/>
    <x v="0"/>
    <x v="7"/>
    <x v="0"/>
    <n v="2414"/>
    <n v="10000000"/>
    <n v="4142"/>
    <n v="2"/>
    <n v="1"/>
    <n v="7"/>
    <s v="South-East"/>
    <s v="Security; Playground; Pool"/>
    <n v="3"/>
    <n v="8"/>
    <n v="40388"/>
    <n v="4.8499999999999996"/>
    <s v="Premium"/>
    <n v="0.49229999999999996"/>
    <d v="2026-02-17T00:00:00"/>
    <n v="92"/>
    <x v="1"/>
    <n v="68"/>
    <x v="1"/>
    <b v="0"/>
    <n v="20000"/>
  </r>
  <r>
    <s v="PROP00440"/>
    <x v="0"/>
    <x v="8"/>
    <x v="3"/>
    <n v="7466"/>
    <n v="10000000"/>
    <n v="1339"/>
    <n v="5"/>
    <n v="3"/>
    <n v="11"/>
    <s v="North-East"/>
    <s v="Security; Concierge; Playground"/>
    <n v="3"/>
    <n v="10"/>
    <n v="36855"/>
    <n v="4.42"/>
    <s v="Premium"/>
    <n v="0.47110000000000002"/>
    <d v="2026-02-25T00:00:00"/>
    <n v="336"/>
    <x v="2"/>
    <n v="68"/>
    <x v="0"/>
    <b v="0"/>
    <n v="20000"/>
  </r>
  <r>
    <s v="PROP00441"/>
    <x v="2"/>
    <x v="2"/>
    <x v="1"/>
    <n v="284"/>
    <n v="15000000"/>
    <n v="52816"/>
    <n v="0"/>
    <n v="2"/>
    <n v="30"/>
    <s v="South-East"/>
    <s v="Security; Parking; Pool; AC; Concierge; Playground; Garden; Elevator"/>
    <n v="8"/>
    <n v="9"/>
    <n v="49532"/>
    <n v="3.96"/>
    <s v="Premium"/>
    <n v="0.4481"/>
    <d v="2025-03-17T00:00:00"/>
    <n v="71"/>
    <x v="2"/>
    <n v="115"/>
    <x v="0"/>
    <b v="0"/>
    <n v="0"/>
  </r>
  <r>
    <s v="PROP00442"/>
    <x v="4"/>
    <x v="30"/>
    <x v="4"/>
    <n v="7372"/>
    <n v="12000000"/>
    <n v="1627"/>
    <n v="5"/>
    <n v="2"/>
    <n v="12"/>
    <s v="South"/>
    <s v="Elevator; Library; Garden"/>
    <n v="3"/>
    <n v="7"/>
    <n v="30057"/>
    <n v="3.01"/>
    <s v="Premium"/>
    <n v="0.40029999999999999"/>
    <d v="2026-04-27T00:00:00"/>
    <n v="57"/>
    <x v="0"/>
    <n v="64"/>
    <x v="0"/>
    <b v="0"/>
    <n v="0"/>
  </r>
  <r>
    <s v="PROP00443"/>
    <x v="3"/>
    <x v="3"/>
    <x v="1"/>
    <n v="323"/>
    <n v="26558706"/>
    <n v="82225"/>
    <n v="1"/>
    <n v="1"/>
    <n v="6"/>
    <s v="East"/>
    <s v="Gym; Parking; Pool; Playground"/>
    <n v="4"/>
    <n v="9"/>
    <n v="67562"/>
    <n v="3.05"/>
    <s v="Luxury"/>
    <n v="0.40259999999999996"/>
    <d v="2025-03-06T00:00:00"/>
    <n v="340"/>
    <x v="0"/>
    <n v="57"/>
    <x v="0"/>
    <b v="0"/>
    <n v="53117"/>
  </r>
  <r>
    <s v="PROP00444"/>
    <x v="1"/>
    <x v="1"/>
    <x v="2"/>
    <n v="2078"/>
    <n v="50000000"/>
    <n v="24061"/>
    <n v="2"/>
    <n v="1"/>
    <n v="2"/>
    <s v="East"/>
    <s v="Elevator; Library; Parking"/>
    <n v="3"/>
    <n v="6"/>
    <n v="136676"/>
    <n v="3.28"/>
    <s v="Luxury"/>
    <n v="0.41399999999999998"/>
    <d v="2024-11-20T00:00:00"/>
    <n v="211"/>
    <x v="2"/>
    <n v="150"/>
    <x v="1"/>
    <b v="0"/>
    <n v="100000"/>
  </r>
  <r>
    <s v="PROP00445"/>
    <x v="5"/>
    <x v="11"/>
    <x v="3"/>
    <n v="2491"/>
    <n v="40000000"/>
    <n v="16057"/>
    <n v="3"/>
    <n v="1"/>
    <n v="16"/>
    <s v="North-West"/>
    <s v="Gym; Library; AC; Playground"/>
    <n v="4"/>
    <n v="9"/>
    <n v="155301"/>
    <n v="4.66"/>
    <s v="Luxury"/>
    <n v="0.48299999999999998"/>
    <d v="2024-10-06T00:00:00"/>
    <n v="217"/>
    <x v="0"/>
    <n v="88"/>
    <x v="0"/>
    <b v="0"/>
    <n v="80000"/>
  </r>
  <r>
    <s v="PROP00446"/>
    <x v="4"/>
    <x v="30"/>
    <x v="3"/>
    <n v="3735"/>
    <n v="12000000"/>
    <n v="3212"/>
    <n v="6"/>
    <n v="3"/>
    <n v="7"/>
    <s v="North-West"/>
    <s v="Parking; AC; Pool; Library; Playground; Garden"/>
    <n v="6"/>
    <n v="10"/>
    <n v="42837"/>
    <n v="4.28"/>
    <s v="Premium"/>
    <n v="0.4642"/>
    <d v="2025-04-20T00:00:00"/>
    <n v="332"/>
    <x v="0"/>
    <n v="125"/>
    <x v="1"/>
    <b v="1"/>
    <n v="0"/>
  </r>
  <r>
    <s v="PROP00447"/>
    <x v="1"/>
    <x v="28"/>
    <x v="0"/>
    <n v="1885"/>
    <n v="50000000"/>
    <n v="26525"/>
    <n v="3"/>
    <n v="1"/>
    <n v="7"/>
    <s v="North"/>
    <s v="Parking; AC; Pool; Gym; Concierge"/>
    <n v="5"/>
    <n v="4"/>
    <n v="150760"/>
    <n v="3.62"/>
    <s v="Luxury"/>
    <n v="0.43090000000000006"/>
    <d v="2024-10-27T00:00:00"/>
    <n v="138"/>
    <x v="0"/>
    <n v="91"/>
    <x v="0"/>
    <b v="1"/>
    <n v="0"/>
  </r>
  <r>
    <s v="PROP00448"/>
    <x v="1"/>
    <x v="28"/>
    <x v="2"/>
    <n v="1881"/>
    <n v="50000000"/>
    <n v="26581"/>
    <n v="4"/>
    <n v="2"/>
    <n v="11"/>
    <s v="South-East"/>
    <s v="Library; AC; Garden; Parking; Concierge"/>
    <n v="5"/>
    <n v="9"/>
    <n v="183554"/>
    <n v="4.41"/>
    <s v="Luxury"/>
    <n v="0.4703"/>
    <d v="2026-02-04T00:00:00"/>
    <n v="52"/>
    <x v="0"/>
    <n v="158"/>
    <x v="0"/>
    <b v="1"/>
    <n v="0"/>
  </r>
  <r>
    <s v="PROP00449"/>
    <x v="2"/>
    <x v="25"/>
    <x v="0"/>
    <n v="1588"/>
    <n v="15000000"/>
    <n v="9445"/>
    <n v="2"/>
    <n v="1"/>
    <n v="21"/>
    <s v="East"/>
    <s v="Pool; Elevator; Garden; AC; Playground; Library"/>
    <n v="6"/>
    <n v="10"/>
    <n v="50040"/>
    <n v="4"/>
    <s v="Premium"/>
    <n v="0.45020000000000004"/>
    <d v="2024-08-29T00:00:00"/>
    <n v="230"/>
    <x v="2"/>
    <n v="117"/>
    <x v="0"/>
    <b v="0"/>
    <n v="0"/>
  </r>
  <r>
    <s v="PROP00450"/>
    <x v="5"/>
    <x v="14"/>
    <x v="1"/>
    <n v="270"/>
    <n v="28507727"/>
    <n v="105584"/>
    <n v="1"/>
    <n v="1"/>
    <n v="6"/>
    <s v="North"/>
    <s v="Elevator; Pool; Parking; Security; Playground; Garden; Gym"/>
    <n v="7"/>
    <n v="10"/>
    <n v="112627"/>
    <n v="4.74"/>
    <s v="Luxury"/>
    <n v="0.48700000000000004"/>
    <d v="2024-10-31T00:00:00"/>
    <n v="256"/>
    <x v="1"/>
    <n v="52"/>
    <x v="0"/>
    <b v="0"/>
    <n v="0"/>
  </r>
  <r>
    <s v="PROP00451"/>
    <x v="3"/>
    <x v="3"/>
    <x v="3"/>
    <n v="2558"/>
    <n v="30000000"/>
    <n v="11727"/>
    <n v="5"/>
    <n v="3"/>
    <n v="11"/>
    <s v="North-East"/>
    <s v="Pool; Parking; Concierge"/>
    <n v="3"/>
    <n v="5"/>
    <n v="123924"/>
    <n v="4.96"/>
    <s v="Luxury"/>
    <n v="0.49780000000000002"/>
    <d v="2025-02-16T00:00:00"/>
    <n v="292"/>
    <x v="2"/>
    <n v="61"/>
    <x v="1"/>
    <b v="1"/>
    <n v="0"/>
  </r>
  <r>
    <s v="PROP00452"/>
    <x v="5"/>
    <x v="16"/>
    <x v="1"/>
    <n v="567"/>
    <n v="40000000"/>
    <n v="70546"/>
    <n v="0"/>
    <n v="2"/>
    <n v="11"/>
    <s v="North-East"/>
    <s v="Elevator; Playground; AC; Gym; Concierge; Garden; Security"/>
    <n v="7"/>
    <n v="9"/>
    <n v="166083"/>
    <n v="4.9800000000000004"/>
    <s v="Luxury"/>
    <n v="0.49909999999999999"/>
    <d v="2026-04-01T00:00:00"/>
    <n v="126"/>
    <x v="2"/>
    <n v="44"/>
    <x v="0"/>
    <b v="1"/>
    <n v="80000"/>
  </r>
  <r>
    <s v="PROP00453"/>
    <x v="5"/>
    <x v="16"/>
    <x v="3"/>
    <n v="6670"/>
    <n v="40000000"/>
    <n v="5997"/>
    <n v="6"/>
    <n v="3"/>
    <n v="7"/>
    <s v="North-West"/>
    <s v="Concierge; Pool; Playground; Garden; Library; Security"/>
    <n v="6"/>
    <n v="7"/>
    <n v="112018"/>
    <n v="3.36"/>
    <s v="Luxury"/>
    <n v="0.41799999999999998"/>
    <d v="2026-01-24T00:00:00"/>
    <n v="103"/>
    <x v="1"/>
    <n v="140"/>
    <x v="1"/>
    <b v="0"/>
    <n v="80000"/>
  </r>
  <r>
    <s v="PROP00454"/>
    <x v="5"/>
    <x v="13"/>
    <x v="4"/>
    <n v="6983"/>
    <n v="40000000"/>
    <n v="5728"/>
    <n v="4"/>
    <n v="3"/>
    <n v="3"/>
    <s v="West"/>
    <s v="Concierge; Gym; Parking; Garden; Pool"/>
    <n v="5"/>
    <n v="4"/>
    <n v="102088"/>
    <n v="3.06"/>
    <s v="Luxury"/>
    <n v="0.40310000000000001"/>
    <d v="2024-09-06T00:00:00"/>
    <n v="221"/>
    <x v="2"/>
    <n v="122"/>
    <x v="1"/>
    <b v="1"/>
    <n v="80000"/>
  </r>
  <r>
    <s v="PROP00455"/>
    <x v="3"/>
    <x v="35"/>
    <x v="1"/>
    <n v="388"/>
    <n v="30000000"/>
    <n v="77319"/>
    <n v="1"/>
    <n v="1"/>
    <n v="2"/>
    <s v="North-East"/>
    <s v="Pool; Security; Library; Gym"/>
    <n v="4"/>
    <n v="9"/>
    <n v="97571"/>
    <n v="3.9"/>
    <s v="Luxury"/>
    <n v="0.4451"/>
    <d v="2025-03-11T00:00:00"/>
    <n v="95"/>
    <x v="0"/>
    <n v="96"/>
    <x v="0"/>
    <b v="1"/>
    <n v="0"/>
  </r>
  <r>
    <s v="PROP00456"/>
    <x v="5"/>
    <x v="13"/>
    <x v="3"/>
    <n v="3626"/>
    <n v="40000000"/>
    <n v="11031"/>
    <n v="5"/>
    <n v="3"/>
    <n v="15"/>
    <s v="South-West"/>
    <s v="AC; Parking; Library; Elevator; Playground; Security"/>
    <n v="6"/>
    <n v="9"/>
    <n v="137393"/>
    <n v="4.12"/>
    <s v="Luxury"/>
    <n v="0.45610000000000001"/>
    <d v="2024-09-10T00:00:00"/>
    <n v="316"/>
    <x v="0"/>
    <n v="178"/>
    <x v="0"/>
    <b v="0"/>
    <n v="0"/>
  </r>
  <r>
    <s v="PROP00457"/>
    <x v="1"/>
    <x v="1"/>
    <x v="1"/>
    <n v="325"/>
    <n v="50000000"/>
    <n v="153846"/>
    <n v="1"/>
    <n v="2"/>
    <n v="3"/>
    <s v="West"/>
    <s v="Library; Security; Gym; Garden; Pool; Elevator; Concierge; AC"/>
    <n v="8"/>
    <n v="5"/>
    <n v="140638"/>
    <n v="3.38"/>
    <s v="Luxury"/>
    <n v="0.41880000000000001"/>
    <d v="2024-05-31T00:00:00"/>
    <n v="111"/>
    <x v="0"/>
    <n v="126"/>
    <x v="1"/>
    <b v="1"/>
    <n v="100000"/>
  </r>
  <r>
    <s v="PROP00458"/>
    <x v="0"/>
    <x v="9"/>
    <x v="0"/>
    <n v="1916"/>
    <n v="10000000"/>
    <n v="5219"/>
    <n v="3"/>
    <n v="1"/>
    <n v="9"/>
    <s v="South-West"/>
    <s v="AC; Pool; Concierge; Playground; Garden"/>
    <n v="5"/>
    <n v="10"/>
    <n v="30870"/>
    <n v="3.7"/>
    <s v="Premium"/>
    <n v="0.43520000000000003"/>
    <d v="2024-11-05T00:00:00"/>
    <n v="59"/>
    <x v="0"/>
    <n v="115"/>
    <x v="0"/>
    <b v="0"/>
    <n v="0"/>
  </r>
  <r>
    <s v="PROP00459"/>
    <x v="5"/>
    <x v="10"/>
    <x v="4"/>
    <n v="7873"/>
    <n v="40000000"/>
    <n v="5080"/>
    <n v="4"/>
    <n v="3"/>
    <n v="12"/>
    <s v="South"/>
    <s v="Library; Security; Pool; Gym; Elevator"/>
    <n v="5"/>
    <n v="9"/>
    <n v="141084"/>
    <n v="4.2300000000000004"/>
    <s v="Luxury"/>
    <n v="0.46159999999999995"/>
    <d v="2025-03-19T00:00:00"/>
    <n v="52"/>
    <x v="0"/>
    <n v="169"/>
    <x v="1"/>
    <b v="1"/>
    <n v="0"/>
  </r>
  <r>
    <s v="PROP00460"/>
    <x v="2"/>
    <x v="32"/>
    <x v="3"/>
    <n v="5724"/>
    <n v="15000000"/>
    <n v="2620"/>
    <n v="6"/>
    <n v="3"/>
    <n v="6"/>
    <s v="North"/>
    <s v="Pool; Playground; Concierge; Garden; AC; Library"/>
    <n v="6"/>
    <n v="9"/>
    <n v="57054"/>
    <n v="4.5599999999999996"/>
    <s v="Premium"/>
    <n v="0.47820000000000001"/>
    <d v="2024-12-11T00:00:00"/>
    <n v="158"/>
    <x v="0"/>
    <n v="97"/>
    <x v="1"/>
    <b v="1"/>
    <n v="30000"/>
  </r>
  <r>
    <s v="PROP00461"/>
    <x v="2"/>
    <x v="26"/>
    <x v="0"/>
    <n v="507"/>
    <n v="15000000"/>
    <n v="29585"/>
    <n v="2"/>
    <n v="2"/>
    <n v="26"/>
    <s v="South-West"/>
    <s v="Elevator; Playground; AC; Pool; Security; Garden; Library"/>
    <n v="7"/>
    <n v="8"/>
    <n v="53610"/>
    <n v="4.29"/>
    <s v="Premium"/>
    <n v="0.46439999999999998"/>
    <d v="2026-03-23T00:00:00"/>
    <n v="66"/>
    <x v="2"/>
    <n v="139"/>
    <x v="1"/>
    <b v="1"/>
    <n v="0"/>
  </r>
  <r>
    <s v="PROP00462"/>
    <x v="5"/>
    <x v="14"/>
    <x v="3"/>
    <n v="5583"/>
    <n v="40000000"/>
    <n v="7164"/>
    <n v="4"/>
    <n v="2"/>
    <n v="22"/>
    <s v="North-East"/>
    <s v="AC; Pool; Library; Concierge"/>
    <n v="4"/>
    <n v="4"/>
    <n v="110603"/>
    <n v="3.32"/>
    <s v="Luxury"/>
    <n v="0.41590000000000005"/>
    <d v="2025-06-18T00:00:00"/>
    <n v="224"/>
    <x v="0"/>
    <n v="36"/>
    <x v="0"/>
    <b v="1"/>
    <n v="80000"/>
  </r>
  <r>
    <s v="PROP00463"/>
    <x v="4"/>
    <x v="29"/>
    <x v="4"/>
    <n v="3645"/>
    <n v="12000000"/>
    <n v="3292"/>
    <n v="6"/>
    <n v="4"/>
    <n v="0"/>
    <s v="West"/>
    <s v="Parking; Concierge; Playground; Pool; Library; AC; Elevator; Gym"/>
    <n v="8"/>
    <n v="9"/>
    <n v="46141"/>
    <n v="4.6100000000000003"/>
    <s v="Premium"/>
    <n v="0.48070000000000002"/>
    <d v="2025-04-22T00:00:00"/>
    <n v="141"/>
    <x v="2"/>
    <n v="43"/>
    <x v="0"/>
    <b v="1"/>
    <n v="24000"/>
  </r>
  <r>
    <s v="PROP00464"/>
    <x v="0"/>
    <x v="9"/>
    <x v="0"/>
    <n v="854"/>
    <n v="10000000"/>
    <n v="11709"/>
    <n v="4"/>
    <n v="2"/>
    <n v="3"/>
    <s v="South"/>
    <s v="Security; Elevator; Parking; Gym"/>
    <n v="4"/>
    <n v="7"/>
    <n v="31023"/>
    <n v="3.72"/>
    <s v="Premium"/>
    <n v="0.43609999999999999"/>
    <d v="2025-10-14T00:00:00"/>
    <n v="212"/>
    <x v="0"/>
    <n v="35"/>
    <x v="0"/>
    <b v="0"/>
    <n v="20000"/>
  </r>
  <r>
    <s v="PROP00465"/>
    <x v="3"/>
    <x v="27"/>
    <x v="1"/>
    <n v="442"/>
    <n v="30000000"/>
    <n v="67873"/>
    <n v="1"/>
    <n v="2"/>
    <n v="25"/>
    <s v="North"/>
    <s v="Parking; Security; Gym; Pool"/>
    <n v="4"/>
    <n v="8"/>
    <n v="92140"/>
    <n v="3.69"/>
    <s v="Luxury"/>
    <n v="0.43430000000000002"/>
    <d v="2025-05-24T00:00:00"/>
    <n v="3"/>
    <x v="0"/>
    <n v="169"/>
    <x v="0"/>
    <b v="0"/>
    <n v="60000"/>
  </r>
  <r>
    <s v="PROP00466"/>
    <x v="3"/>
    <x v="5"/>
    <x v="0"/>
    <n v="2595"/>
    <n v="30000000"/>
    <n v="11560"/>
    <n v="1"/>
    <n v="1"/>
    <n v="6"/>
    <s v="West"/>
    <s v="Pool; Garden; Gym; Parking; Elevator"/>
    <n v="5"/>
    <n v="7"/>
    <n v="109580"/>
    <n v="4.38"/>
    <s v="Luxury"/>
    <n v="0.46920000000000001"/>
    <d v="2026-01-05T00:00:00"/>
    <n v="48"/>
    <x v="0"/>
    <n v="81"/>
    <x v="1"/>
    <b v="0"/>
    <n v="0"/>
  </r>
  <r>
    <s v="PROP00467"/>
    <x v="0"/>
    <x v="8"/>
    <x v="1"/>
    <n v="512"/>
    <n v="10000000"/>
    <n v="19531"/>
    <n v="1"/>
    <n v="1"/>
    <n v="8"/>
    <s v="North-East"/>
    <s v="Garden; Security; Library; Gym"/>
    <n v="4"/>
    <n v="7"/>
    <n v="28430"/>
    <n v="3.41"/>
    <s v="Premium"/>
    <n v="0.42060000000000003"/>
    <d v="2024-12-31T00:00:00"/>
    <n v="306"/>
    <x v="0"/>
    <n v="138"/>
    <x v="1"/>
    <b v="0"/>
    <n v="20000"/>
  </r>
  <r>
    <s v="PROP00468"/>
    <x v="4"/>
    <x v="30"/>
    <x v="1"/>
    <n v="352"/>
    <n v="12000000"/>
    <n v="34090"/>
    <n v="1"/>
    <n v="2"/>
    <n v="28"/>
    <s v="South-East"/>
    <s v="Pool; Concierge; Parking; Gym; Security; AC; Garden; Elevator"/>
    <n v="8"/>
    <n v="5"/>
    <n v="32292"/>
    <n v="3.23"/>
    <s v="Premium"/>
    <n v="0.41149999999999998"/>
    <d v="2025-06-18T00:00:00"/>
    <n v="126"/>
    <x v="0"/>
    <n v="121"/>
    <x v="0"/>
    <b v="1"/>
    <n v="0"/>
  </r>
  <r>
    <s v="PROP00469"/>
    <x v="5"/>
    <x v="10"/>
    <x v="2"/>
    <n v="2000"/>
    <n v="40000000"/>
    <n v="20000"/>
    <n v="2"/>
    <n v="2"/>
    <n v="22"/>
    <s v="South-East"/>
    <s v="Playground; Garden; Concierge"/>
    <n v="3"/>
    <n v="5"/>
    <n v="137442"/>
    <n v="4.12"/>
    <s v="Luxury"/>
    <n v="0.45619999999999999"/>
    <d v="2025-04-15T00:00:00"/>
    <n v="112"/>
    <x v="0"/>
    <n v="164"/>
    <x v="0"/>
    <b v="0"/>
    <n v="80000"/>
  </r>
  <r>
    <s v="PROP00470"/>
    <x v="4"/>
    <x v="29"/>
    <x v="1"/>
    <n v="599"/>
    <n v="12000000"/>
    <n v="20033"/>
    <n v="1"/>
    <n v="2"/>
    <n v="26"/>
    <s v="North-West"/>
    <s v="Garden; Elevator; Gym; Library; AC"/>
    <n v="5"/>
    <n v="5"/>
    <n v="35488"/>
    <n v="3.55"/>
    <s v="Premium"/>
    <n v="0.4274"/>
    <d v="2026-01-12T00:00:00"/>
    <n v="303"/>
    <x v="0"/>
    <n v="113"/>
    <x v="1"/>
    <b v="1"/>
    <n v="24000"/>
  </r>
  <r>
    <s v="PROP00471"/>
    <x v="5"/>
    <x v="11"/>
    <x v="4"/>
    <n v="3038"/>
    <n v="40000000"/>
    <n v="13166"/>
    <n v="5"/>
    <n v="3"/>
    <n v="4"/>
    <s v="South"/>
    <s v="Gym; AC; Elevator; Parking; Playground; Concierge"/>
    <n v="6"/>
    <n v="6"/>
    <n v="155323"/>
    <n v="4.66"/>
    <s v="Luxury"/>
    <n v="0.48299999999999998"/>
    <d v="2025-03-15T00:00:00"/>
    <n v="178"/>
    <x v="2"/>
    <n v="111"/>
    <x v="1"/>
    <b v="1"/>
    <n v="0"/>
  </r>
  <r>
    <s v="PROP00472"/>
    <x v="2"/>
    <x v="25"/>
    <x v="0"/>
    <n v="2011"/>
    <n v="15000000"/>
    <n v="7458"/>
    <n v="3"/>
    <n v="2"/>
    <n v="15"/>
    <s v="South"/>
    <s v="Pool; Playground; Elevator; Gym; Concierge; Library; Security; Garden"/>
    <n v="8"/>
    <n v="4"/>
    <n v="59034"/>
    <n v="4.72"/>
    <s v="Premium"/>
    <n v="0.48609999999999998"/>
    <d v="2025-02-22T00:00:00"/>
    <n v="189"/>
    <x v="0"/>
    <n v="78"/>
    <x v="0"/>
    <b v="1"/>
    <n v="0"/>
  </r>
  <r>
    <s v="PROP00473"/>
    <x v="1"/>
    <x v="28"/>
    <x v="0"/>
    <n v="1646"/>
    <n v="50000000"/>
    <n v="30376"/>
    <n v="1"/>
    <n v="2"/>
    <n v="10"/>
    <s v="East"/>
    <s v="Elevator; Library; Security; Playground; Pool; AC; Garden; Gym"/>
    <n v="8"/>
    <n v="7"/>
    <n v="137333"/>
    <n v="3.3"/>
    <s v="Luxury"/>
    <n v="0.41479999999999995"/>
    <d v="2024-09-23T00:00:00"/>
    <n v="343"/>
    <x v="1"/>
    <n v="144"/>
    <x v="0"/>
    <b v="1"/>
    <n v="0"/>
  </r>
  <r>
    <s v="PROP00474"/>
    <x v="0"/>
    <x v="8"/>
    <x v="2"/>
    <n v="2818"/>
    <n v="10000000"/>
    <n v="3548"/>
    <n v="5"/>
    <n v="2"/>
    <n v="2"/>
    <s v="West"/>
    <s v="Security; Pool; Playground; Elevator; AC"/>
    <n v="5"/>
    <n v="4"/>
    <n v="26252"/>
    <n v="3.15"/>
    <s v="Premium"/>
    <n v="0.40749999999999997"/>
    <d v="2024-12-24T00:00:00"/>
    <n v="240"/>
    <x v="0"/>
    <n v="85"/>
    <x v="1"/>
    <b v="1"/>
    <n v="0"/>
  </r>
  <r>
    <s v="PROP00475"/>
    <x v="1"/>
    <x v="24"/>
    <x v="3"/>
    <n v="6837"/>
    <n v="50000000"/>
    <n v="7313"/>
    <n v="5"/>
    <n v="3"/>
    <n v="22"/>
    <s v="South-West"/>
    <s v="Parking; AC; Pool; Concierge; Library; Elevator"/>
    <n v="6"/>
    <n v="7"/>
    <n v="197321"/>
    <n v="4.74"/>
    <s v="Luxury"/>
    <n v="0.48680000000000001"/>
    <d v="2024-12-05T00:00:00"/>
    <n v="36"/>
    <x v="0"/>
    <n v="78"/>
    <x v="1"/>
    <b v="0"/>
    <n v="100000"/>
  </r>
  <r>
    <s v="PROP00476"/>
    <x v="0"/>
    <x v="18"/>
    <x v="4"/>
    <n v="8311"/>
    <n v="10000000"/>
    <n v="1203"/>
    <n v="4"/>
    <n v="2"/>
    <n v="14"/>
    <s v="North-West"/>
    <s v="Pool; Garden; Gym"/>
    <n v="3"/>
    <n v="6"/>
    <n v="25476"/>
    <n v="3.06"/>
    <s v="Premium"/>
    <n v="0.40289999999999998"/>
    <d v="2024-07-06T00:00:00"/>
    <n v="61"/>
    <x v="0"/>
    <n v="97"/>
    <x v="0"/>
    <b v="0"/>
    <n v="0"/>
  </r>
  <r>
    <s v="PROP00477"/>
    <x v="3"/>
    <x v="15"/>
    <x v="1"/>
    <n v="507"/>
    <n v="30000000"/>
    <n v="59171"/>
    <n v="1"/>
    <n v="2"/>
    <n v="1"/>
    <s v="South-West"/>
    <s v="Security; Playground; Pool; Gym; AC; Garden"/>
    <n v="6"/>
    <n v="8"/>
    <n v="84472"/>
    <n v="3.38"/>
    <s v="Luxury"/>
    <n v="0.41889999999999999"/>
    <d v="2025-11-15T00:00:00"/>
    <n v="266"/>
    <x v="0"/>
    <n v="156"/>
    <x v="1"/>
    <b v="1"/>
    <n v="60000"/>
  </r>
  <r>
    <s v="PROP00478"/>
    <x v="0"/>
    <x v="34"/>
    <x v="0"/>
    <n v="1299"/>
    <n v="10000000"/>
    <n v="7698"/>
    <n v="1"/>
    <n v="1"/>
    <n v="28"/>
    <s v="South"/>
    <s v="Elevator; Security; Garden"/>
    <n v="3"/>
    <n v="7"/>
    <n v="29590"/>
    <n v="3.55"/>
    <s v="Premium"/>
    <n v="0.42749999999999999"/>
    <d v="2024-08-17T00:00:00"/>
    <n v="202"/>
    <x v="2"/>
    <n v="130"/>
    <x v="0"/>
    <b v="1"/>
    <n v="0"/>
  </r>
  <r>
    <s v="PROP00479"/>
    <x v="2"/>
    <x v="32"/>
    <x v="3"/>
    <n v="3667"/>
    <n v="15000000"/>
    <n v="4090"/>
    <n v="5"/>
    <n v="3"/>
    <n v="22"/>
    <s v="North-East"/>
    <s v="Security; Gym; Pool; Concierge; Elevator; Playground; Garden"/>
    <n v="7"/>
    <n v="4"/>
    <n v="54698"/>
    <n v="4.38"/>
    <s v="Premium"/>
    <n v="0.46880000000000005"/>
    <d v="2025-11-21T00:00:00"/>
    <n v="96"/>
    <x v="0"/>
    <n v="72"/>
    <x v="1"/>
    <b v="0"/>
    <n v="30000"/>
  </r>
  <r>
    <s v="PROP00480"/>
    <x v="1"/>
    <x v="23"/>
    <x v="1"/>
    <n v="469"/>
    <n v="50000000"/>
    <n v="106609"/>
    <n v="1"/>
    <n v="1"/>
    <n v="5"/>
    <s v="North-West"/>
    <s v="Pool; Parking; Gym; Security; AC"/>
    <n v="5"/>
    <n v="4"/>
    <n v="165692"/>
    <n v="3.98"/>
    <s v="Luxury"/>
    <n v="0.44880000000000003"/>
    <d v="2025-09-03T00:00:00"/>
    <n v="291"/>
    <x v="0"/>
    <n v="34"/>
    <x v="1"/>
    <b v="1"/>
    <n v="100000"/>
  </r>
  <r>
    <s v="PROP00481"/>
    <x v="3"/>
    <x v="35"/>
    <x v="0"/>
    <n v="1647"/>
    <n v="30000000"/>
    <n v="18214"/>
    <n v="3"/>
    <n v="2"/>
    <n v="15"/>
    <s v="North"/>
    <s v="Playground; AC; Security; Elevator; Garden; Parking; Concierge; Pool"/>
    <n v="8"/>
    <n v="10"/>
    <n v="90056"/>
    <n v="3.6"/>
    <s v="Luxury"/>
    <n v="0.43009999999999998"/>
    <d v="2025-06-07T00:00:00"/>
    <n v="58"/>
    <x v="1"/>
    <n v="153"/>
    <x v="1"/>
    <b v="1"/>
    <n v="60000"/>
  </r>
  <r>
    <s v="PROP00482"/>
    <x v="2"/>
    <x v="32"/>
    <x v="3"/>
    <n v="4926"/>
    <n v="15000000"/>
    <n v="3045"/>
    <n v="6"/>
    <n v="3"/>
    <n v="7"/>
    <s v="South"/>
    <s v="Library; Playground; Garden; AC; Gym; Pool; Concierge"/>
    <n v="7"/>
    <n v="7"/>
    <n v="59428"/>
    <n v="4.75"/>
    <s v="Premium"/>
    <n v="0.48770000000000002"/>
    <d v="2024-06-18T00:00:00"/>
    <n v="90"/>
    <x v="0"/>
    <n v="164"/>
    <x v="1"/>
    <b v="0"/>
    <n v="0"/>
  </r>
  <r>
    <s v="PROP00483"/>
    <x v="2"/>
    <x v="25"/>
    <x v="1"/>
    <n v="391"/>
    <n v="15000000"/>
    <n v="38363"/>
    <n v="1"/>
    <n v="1"/>
    <n v="1"/>
    <s v="North-East"/>
    <s v="AC; Playground; Pool; Garden; Library; Security; Parking"/>
    <n v="7"/>
    <n v="9"/>
    <n v="37708"/>
    <n v="3.02"/>
    <s v="Premium"/>
    <n v="0.40079999999999999"/>
    <d v="2024-06-12T00:00:00"/>
    <n v="268"/>
    <x v="0"/>
    <n v="68"/>
    <x v="1"/>
    <b v="1"/>
    <n v="0"/>
  </r>
  <r>
    <s v="PROP00484"/>
    <x v="2"/>
    <x v="22"/>
    <x v="0"/>
    <n v="1607"/>
    <n v="15000000"/>
    <n v="9334"/>
    <n v="1"/>
    <n v="2"/>
    <n v="1"/>
    <s v="North-East"/>
    <s v="Security; Pool; Gym; Garden"/>
    <n v="4"/>
    <n v="5"/>
    <n v="46306"/>
    <n v="3.7"/>
    <s v="Premium"/>
    <n v="0.43520000000000003"/>
    <d v="2026-05-14T00:00:00"/>
    <n v="146"/>
    <x v="0"/>
    <n v="119"/>
    <x v="0"/>
    <b v="1"/>
    <n v="0"/>
  </r>
  <r>
    <s v="PROP00485"/>
    <x v="3"/>
    <x v="27"/>
    <x v="3"/>
    <n v="5539"/>
    <n v="30000000"/>
    <n v="5416"/>
    <n v="3"/>
    <n v="2"/>
    <n v="7"/>
    <s v="South-West"/>
    <s v="Concierge; Playground; Garden"/>
    <n v="3"/>
    <n v="6"/>
    <n v="123345"/>
    <n v="4.93"/>
    <s v="Luxury"/>
    <n v="0.49670000000000003"/>
    <d v="2026-02-03T00:00:00"/>
    <n v="89"/>
    <x v="1"/>
    <n v="109"/>
    <x v="1"/>
    <b v="0"/>
    <n v="60000"/>
  </r>
  <r>
    <s v="PROP00486"/>
    <x v="0"/>
    <x v="34"/>
    <x v="2"/>
    <n v="2055"/>
    <n v="10000000"/>
    <n v="4866"/>
    <n v="5"/>
    <n v="2"/>
    <n v="9"/>
    <s v="South-West"/>
    <s v="Pool; Security; Concierge; AC; Elevator"/>
    <n v="5"/>
    <n v="7"/>
    <n v="38897"/>
    <n v="4.67"/>
    <s v="Premium"/>
    <n v="0.48340000000000005"/>
    <d v="2026-02-05T00:00:00"/>
    <n v="258"/>
    <x v="0"/>
    <n v="110"/>
    <x v="1"/>
    <b v="0"/>
    <n v="0"/>
  </r>
  <r>
    <s v="PROP00487"/>
    <x v="2"/>
    <x v="2"/>
    <x v="1"/>
    <n v="460"/>
    <n v="15000000"/>
    <n v="32608"/>
    <n v="1"/>
    <n v="1"/>
    <n v="29"/>
    <s v="West"/>
    <s v="Gym; Library; Pool; AC; Concierge; Security; Parking"/>
    <n v="7"/>
    <n v="8"/>
    <n v="46827"/>
    <n v="3.75"/>
    <s v="Premium"/>
    <n v="0.43729999999999997"/>
    <d v="2024-08-17T00:00:00"/>
    <n v="28"/>
    <x v="0"/>
    <n v="105"/>
    <x v="1"/>
    <b v="1"/>
    <n v="0"/>
  </r>
  <r>
    <s v="PROP00488"/>
    <x v="0"/>
    <x v="0"/>
    <x v="1"/>
    <n v="515"/>
    <n v="10000000"/>
    <n v="19417"/>
    <n v="1"/>
    <n v="1"/>
    <n v="2"/>
    <s v="South"/>
    <s v="Security; Pool; Playground"/>
    <n v="3"/>
    <n v="4"/>
    <n v="34424"/>
    <n v="4.13"/>
    <s v="Premium"/>
    <n v="0.45649999999999996"/>
    <d v="2024-06-06T00:00:00"/>
    <n v="300"/>
    <x v="0"/>
    <n v="61"/>
    <x v="0"/>
    <b v="1"/>
    <n v="20000"/>
  </r>
  <r>
    <s v="PROP00489"/>
    <x v="4"/>
    <x v="29"/>
    <x v="1"/>
    <n v="319"/>
    <n v="12000000"/>
    <n v="37617"/>
    <n v="0"/>
    <n v="1"/>
    <n v="9"/>
    <s v="North"/>
    <s v="Security; Gym; Concierge; Elevator; Playground; Pool; AC; Garden"/>
    <n v="8"/>
    <n v="5"/>
    <n v="47597"/>
    <n v="4.76"/>
    <s v="Premium"/>
    <n v="0.48799999999999999"/>
    <d v="2024-11-28T00:00:00"/>
    <n v="243"/>
    <x v="0"/>
    <n v="56"/>
    <x v="0"/>
    <b v="0"/>
    <n v="0"/>
  </r>
  <r>
    <s v="PROP00490"/>
    <x v="1"/>
    <x v="28"/>
    <x v="2"/>
    <n v="3157"/>
    <n v="50000000"/>
    <n v="15837"/>
    <n v="5"/>
    <n v="2"/>
    <n v="26"/>
    <s v="South"/>
    <s v="AC; Security; Concierge; Library"/>
    <n v="4"/>
    <n v="9"/>
    <n v="178016"/>
    <n v="4.2699999999999996"/>
    <s v="Luxury"/>
    <n v="0.46360000000000001"/>
    <d v="2025-11-06T00:00:00"/>
    <n v="88"/>
    <x v="0"/>
    <n v="91"/>
    <x v="0"/>
    <b v="0"/>
    <n v="0"/>
  </r>
  <r>
    <s v="PROP00491"/>
    <x v="5"/>
    <x v="13"/>
    <x v="0"/>
    <n v="2811"/>
    <n v="40000000"/>
    <n v="14229"/>
    <n v="4"/>
    <n v="3"/>
    <n v="21"/>
    <s v="South-West"/>
    <s v="Library; Elevator; Pool; Garden; AC"/>
    <n v="5"/>
    <n v="4"/>
    <n v="118894"/>
    <n v="3.57"/>
    <s v="Luxury"/>
    <n v="0.42829999999999996"/>
    <d v="2026-01-11T00:00:00"/>
    <n v="156"/>
    <x v="0"/>
    <n v="178"/>
    <x v="0"/>
    <b v="0"/>
    <n v="80000"/>
  </r>
  <r>
    <s v="PROP00492"/>
    <x v="5"/>
    <x v="10"/>
    <x v="1"/>
    <n v="484"/>
    <n v="40000000"/>
    <n v="82644"/>
    <n v="1"/>
    <n v="1"/>
    <n v="5"/>
    <s v="South-West"/>
    <s v="AC; Elevator; Garden; Parking; Playground"/>
    <n v="5"/>
    <n v="9"/>
    <n v="111633"/>
    <n v="3.35"/>
    <s v="Luxury"/>
    <n v="0.41739999999999999"/>
    <d v="2025-12-10T00:00:00"/>
    <n v="174"/>
    <x v="0"/>
    <n v="174"/>
    <x v="1"/>
    <b v="1"/>
    <n v="0"/>
  </r>
  <r>
    <s v="PROP00493"/>
    <x v="0"/>
    <x v="18"/>
    <x v="1"/>
    <n v="284"/>
    <n v="10000000"/>
    <n v="35211"/>
    <n v="1"/>
    <n v="2"/>
    <n v="30"/>
    <s v="South-East"/>
    <s v="Elevator; Parking; Security; Pool; Playground; AC"/>
    <n v="6"/>
    <n v="10"/>
    <n v="38831"/>
    <n v="4.66"/>
    <s v="Premium"/>
    <n v="0.48299999999999998"/>
    <d v="2026-03-06T00:00:00"/>
    <n v="119"/>
    <x v="0"/>
    <n v="70"/>
    <x v="0"/>
    <b v="1"/>
    <n v="0"/>
  </r>
  <r>
    <s v="PROP00494"/>
    <x v="0"/>
    <x v="8"/>
    <x v="2"/>
    <n v="4612"/>
    <n v="10000000"/>
    <n v="2168"/>
    <n v="3"/>
    <n v="1"/>
    <n v="3"/>
    <s v="North-East"/>
    <s v="Library; Elevator; Pool; Gym"/>
    <n v="4"/>
    <n v="6"/>
    <n v="39113"/>
    <n v="4.6900000000000004"/>
    <s v="Premium"/>
    <n v="0.48469999999999996"/>
    <d v="2026-03-01T00:00:00"/>
    <n v="90"/>
    <x v="0"/>
    <n v="37"/>
    <x v="1"/>
    <b v="1"/>
    <n v="0"/>
  </r>
  <r>
    <s v="PROP00495"/>
    <x v="2"/>
    <x v="32"/>
    <x v="4"/>
    <n v="7558"/>
    <n v="15000000"/>
    <n v="1984"/>
    <n v="4"/>
    <n v="2"/>
    <n v="8"/>
    <s v="South-West"/>
    <s v="Concierge; Security; Garden; Pool; Playground; Library"/>
    <n v="6"/>
    <n v="4"/>
    <n v="57716"/>
    <n v="4.62"/>
    <s v="Premium"/>
    <n v="0.48090000000000005"/>
    <d v="2025-10-30T00:00:00"/>
    <n v="105"/>
    <x v="0"/>
    <n v="54"/>
    <x v="0"/>
    <b v="1"/>
    <n v="30000"/>
  </r>
  <r>
    <s v="PROP00496"/>
    <x v="5"/>
    <x v="16"/>
    <x v="4"/>
    <n v="7477"/>
    <n v="40000000"/>
    <n v="5349"/>
    <n v="4"/>
    <n v="3"/>
    <n v="5"/>
    <s v="South-East"/>
    <s v="AC; Concierge; Garden; Library; Pool; Security; Elevator; Parking"/>
    <n v="8"/>
    <n v="7"/>
    <n v="159983"/>
    <n v="4.8"/>
    <s v="Luxury"/>
    <n v="0.49"/>
    <d v="2025-12-24T00:00:00"/>
    <n v="321"/>
    <x v="2"/>
    <n v="139"/>
    <x v="1"/>
    <b v="1"/>
    <n v="80000"/>
  </r>
  <r>
    <s v="PROP00497"/>
    <x v="3"/>
    <x v="5"/>
    <x v="2"/>
    <n v="1913"/>
    <n v="30000000"/>
    <n v="15682"/>
    <n v="2"/>
    <n v="2"/>
    <n v="7"/>
    <s v="North"/>
    <s v="Elevator; AC; Playground"/>
    <n v="3"/>
    <n v="6"/>
    <n v="122030"/>
    <n v="4.88"/>
    <s v="Luxury"/>
    <n v="0.49409999999999998"/>
    <d v="2025-08-30T00:00:00"/>
    <n v="81"/>
    <x v="0"/>
    <n v="47"/>
    <x v="1"/>
    <b v="1"/>
    <n v="60000"/>
  </r>
  <r>
    <s v="PROP00498"/>
    <x v="4"/>
    <x v="12"/>
    <x v="4"/>
    <n v="5557"/>
    <n v="12000000"/>
    <n v="2159"/>
    <n v="5"/>
    <n v="2"/>
    <n v="17"/>
    <s v="North-East"/>
    <s v="Pool; Concierge; Security; Playground; Gym; Library; Parking; Elevator"/>
    <n v="8"/>
    <n v="8"/>
    <n v="47760"/>
    <n v="4.78"/>
    <s v="Premium"/>
    <n v="0.48880000000000001"/>
    <d v="2026-03-15T00:00:00"/>
    <n v="340"/>
    <x v="0"/>
    <n v="114"/>
    <x v="0"/>
    <b v="1"/>
    <n v="0"/>
  </r>
  <r>
    <s v="PROP00499"/>
    <x v="1"/>
    <x v="20"/>
    <x v="4"/>
    <n v="8759"/>
    <n v="50000000"/>
    <n v="5708"/>
    <n v="4"/>
    <n v="3"/>
    <n v="2"/>
    <s v="South"/>
    <s v="Elevator; Pool; Concierge; AC; Parking; Gym"/>
    <n v="6"/>
    <n v="7"/>
    <n v="167300"/>
    <n v="4.0199999999999996"/>
    <s v="Luxury"/>
    <n v="0.45079999999999998"/>
    <d v="2024-07-18T00:00:00"/>
    <n v="117"/>
    <x v="0"/>
    <n v="107"/>
    <x v="0"/>
    <b v="1"/>
    <n v="100000"/>
  </r>
  <r>
    <s v="PROP00500"/>
    <x v="3"/>
    <x v="5"/>
    <x v="4"/>
    <n v="6107"/>
    <n v="30000000"/>
    <n v="4912"/>
    <n v="6"/>
    <n v="3"/>
    <n v="17"/>
    <s v="South-West"/>
    <s v="Gym; Library; AC; Playground; Pool; Garden"/>
    <n v="6"/>
    <n v="6"/>
    <n v="80779"/>
    <n v="3.23"/>
    <s v="Luxury"/>
    <n v="0.41159999999999997"/>
    <d v="2026-01-14T00:00:00"/>
    <n v="100"/>
    <x v="1"/>
    <n v="120"/>
    <x v="1"/>
    <b v="0"/>
    <n v="60000"/>
  </r>
  <r>
    <s v="PROP00501"/>
    <x v="3"/>
    <x v="15"/>
    <x v="0"/>
    <n v="2810"/>
    <n v="30000000"/>
    <n v="10676"/>
    <n v="1"/>
    <n v="1"/>
    <n v="13"/>
    <s v="North"/>
    <s v="AC; Gym; Elevator; Library; Playground; Pool; Concierge; Garden"/>
    <n v="8"/>
    <n v="8"/>
    <n v="84029"/>
    <n v="3.36"/>
    <s v="Luxury"/>
    <n v="0.41810000000000003"/>
    <d v="2026-03-31T00:00:00"/>
    <n v="150"/>
    <x v="0"/>
    <n v="92"/>
    <x v="0"/>
    <b v="0"/>
    <n v="0"/>
  </r>
  <r>
    <s v="PROP00502"/>
    <x v="0"/>
    <x v="0"/>
    <x v="0"/>
    <n v="712"/>
    <n v="10000000"/>
    <n v="14044"/>
    <n v="3"/>
    <n v="1"/>
    <n v="15"/>
    <s v="West"/>
    <s v="Playground; Garden; Concierge; Elevator; Parking; Library; Security; AC"/>
    <n v="8"/>
    <n v="4"/>
    <n v="29458"/>
    <n v="3.53"/>
    <s v="Premium"/>
    <n v="0.42670000000000002"/>
    <d v="2024-05-30T00:00:00"/>
    <n v="178"/>
    <x v="0"/>
    <n v="43"/>
    <x v="1"/>
    <b v="0"/>
    <n v="0"/>
  </r>
  <r>
    <s v="PROP00503"/>
    <x v="1"/>
    <x v="1"/>
    <x v="3"/>
    <n v="6267"/>
    <n v="50000000"/>
    <n v="7978"/>
    <n v="4"/>
    <n v="3"/>
    <n v="23"/>
    <s v="North-West"/>
    <s v="Garden; Pool; Playground; Concierge; AC; Gym; Library"/>
    <n v="7"/>
    <n v="10"/>
    <n v="162813"/>
    <n v="3.91"/>
    <s v="Luxury"/>
    <n v="0.44540000000000002"/>
    <d v="2026-01-18T00:00:00"/>
    <n v="139"/>
    <x v="0"/>
    <n v="38"/>
    <x v="1"/>
    <b v="0"/>
    <n v="0"/>
  </r>
  <r>
    <s v="PROP00504"/>
    <x v="1"/>
    <x v="28"/>
    <x v="2"/>
    <n v="5000"/>
    <n v="50000000"/>
    <n v="10000"/>
    <n v="5"/>
    <n v="3"/>
    <n v="0"/>
    <s v="East"/>
    <s v="Library; Concierge; Gym; Pool; Elevator; Garden"/>
    <n v="6"/>
    <n v="8"/>
    <n v="169374"/>
    <n v="4.0599999999999996"/>
    <s v="Luxury"/>
    <n v="0.45319999999999999"/>
    <d v="2024-07-07T00:00:00"/>
    <n v="14"/>
    <x v="0"/>
    <n v="119"/>
    <x v="1"/>
    <b v="0"/>
    <n v="100000"/>
  </r>
  <r>
    <s v="PROP00505"/>
    <x v="1"/>
    <x v="24"/>
    <x v="4"/>
    <n v="6555"/>
    <n v="50000000"/>
    <n v="7627"/>
    <n v="5"/>
    <n v="2"/>
    <n v="25"/>
    <s v="North-West"/>
    <s v="AC; Library; Security"/>
    <n v="3"/>
    <n v="7"/>
    <n v="184935"/>
    <n v="4.4400000000000004"/>
    <s v="Luxury"/>
    <n v="0.47189999999999999"/>
    <d v="2024-11-29T00:00:00"/>
    <n v="122"/>
    <x v="0"/>
    <n v="149"/>
    <x v="0"/>
    <b v="1"/>
    <n v="0"/>
  </r>
  <r>
    <s v="PROP00506"/>
    <x v="0"/>
    <x v="18"/>
    <x v="0"/>
    <n v="1423"/>
    <n v="10000000"/>
    <n v="7027"/>
    <n v="3"/>
    <n v="2"/>
    <n v="18"/>
    <s v="North"/>
    <s v="Gym; Security; Playground; Parking; Concierge; Library"/>
    <n v="6"/>
    <n v="10"/>
    <n v="34474"/>
    <n v="4.1399999999999997"/>
    <s v="Premium"/>
    <n v="0.45679999999999998"/>
    <d v="2025-06-20T00:00:00"/>
    <n v="228"/>
    <x v="2"/>
    <n v="75"/>
    <x v="1"/>
    <b v="1"/>
    <n v="0"/>
  </r>
  <r>
    <s v="PROP00507"/>
    <x v="1"/>
    <x v="21"/>
    <x v="0"/>
    <n v="1869"/>
    <n v="50000000"/>
    <n v="26752"/>
    <n v="4"/>
    <n v="2"/>
    <n v="13"/>
    <s v="South-East"/>
    <s v="Elevator; Pool; Security"/>
    <n v="3"/>
    <n v="6"/>
    <n v="161703"/>
    <n v="3.88"/>
    <s v="Luxury"/>
    <n v="0.44400000000000001"/>
    <d v="2025-08-23T00:00:00"/>
    <n v="254"/>
    <x v="2"/>
    <n v="96"/>
    <x v="0"/>
    <b v="1"/>
    <n v="100000"/>
  </r>
  <r>
    <s v="PROP00508"/>
    <x v="3"/>
    <x v="5"/>
    <x v="0"/>
    <n v="1353"/>
    <n v="30000000"/>
    <n v="22172"/>
    <n v="1"/>
    <n v="1"/>
    <n v="5"/>
    <s v="North-East"/>
    <s v="AC; Concierge; Playground; Gym; Security; Pool; Library; Parking"/>
    <n v="8"/>
    <n v="4"/>
    <n v="75805"/>
    <n v="3.03"/>
    <s v="Luxury"/>
    <n v="0.40159999999999996"/>
    <d v="2025-05-18T00:00:00"/>
    <n v="180"/>
    <x v="0"/>
    <n v="90"/>
    <x v="0"/>
    <b v="1"/>
    <n v="0"/>
  </r>
  <r>
    <s v="PROP00509"/>
    <x v="1"/>
    <x v="20"/>
    <x v="0"/>
    <n v="1370"/>
    <n v="50000000"/>
    <n v="36496"/>
    <n v="2"/>
    <n v="2"/>
    <n v="18"/>
    <s v="North"/>
    <s v="Library; Pool; Elevator; Parking; AC"/>
    <n v="5"/>
    <n v="9"/>
    <n v="190680"/>
    <n v="4.58"/>
    <s v="Luxury"/>
    <n v="0.4788"/>
    <d v="2025-06-05T00:00:00"/>
    <n v="241"/>
    <x v="1"/>
    <n v="125"/>
    <x v="1"/>
    <b v="1"/>
    <n v="100000"/>
  </r>
  <r>
    <s v="PROP00510"/>
    <x v="5"/>
    <x v="11"/>
    <x v="2"/>
    <n v="2114"/>
    <n v="40000000"/>
    <n v="18921"/>
    <n v="2"/>
    <n v="1"/>
    <n v="19"/>
    <s v="South-West"/>
    <s v="Playground; AC; Elevator; Pool"/>
    <n v="4"/>
    <n v="9"/>
    <n v="102173"/>
    <n v="3.07"/>
    <s v="Luxury"/>
    <n v="0.40329999999999999"/>
    <d v="2025-12-12T00:00:00"/>
    <n v="40"/>
    <x v="0"/>
    <n v="50"/>
    <x v="0"/>
    <b v="0"/>
    <n v="80000"/>
  </r>
  <r>
    <s v="PROP00511"/>
    <x v="4"/>
    <x v="4"/>
    <x v="4"/>
    <n v="6869"/>
    <n v="12000000"/>
    <n v="1746"/>
    <n v="6"/>
    <n v="4"/>
    <n v="10"/>
    <s v="South-East"/>
    <s v="Garden; Security; Elevator; Parking; Pool"/>
    <n v="5"/>
    <n v="7"/>
    <n v="36296"/>
    <n v="3.63"/>
    <s v="Premium"/>
    <n v="0.43149999999999999"/>
    <d v="2026-01-16T00:00:00"/>
    <n v="186"/>
    <x v="2"/>
    <n v="134"/>
    <x v="0"/>
    <b v="0"/>
    <n v="24000"/>
  </r>
  <r>
    <s v="PROP00512"/>
    <x v="5"/>
    <x v="19"/>
    <x v="1"/>
    <n v="559"/>
    <n v="40000000"/>
    <n v="71556"/>
    <n v="0"/>
    <n v="2"/>
    <n v="25"/>
    <s v="East"/>
    <s v="Garden; Parking; Elevator; Library; Concierge; Security"/>
    <n v="6"/>
    <n v="4"/>
    <n v="153057"/>
    <n v="4.59"/>
    <s v="Luxury"/>
    <n v="0.47960000000000003"/>
    <d v="2025-05-30T00:00:00"/>
    <n v="216"/>
    <x v="0"/>
    <n v="134"/>
    <x v="0"/>
    <b v="0"/>
    <n v="80000"/>
  </r>
  <r>
    <s v="PROP00513"/>
    <x v="3"/>
    <x v="17"/>
    <x v="0"/>
    <n v="1083"/>
    <n v="30000000"/>
    <n v="27700"/>
    <n v="1"/>
    <n v="2"/>
    <n v="8"/>
    <s v="East"/>
    <s v="Concierge; Pool; Parking; Library; Gym; Garden; Playground"/>
    <n v="7"/>
    <n v="7"/>
    <n v="81618"/>
    <n v="3.26"/>
    <s v="Luxury"/>
    <n v="0.41320000000000001"/>
    <d v="2024-11-18T00:00:00"/>
    <n v="66"/>
    <x v="1"/>
    <n v="120"/>
    <x v="1"/>
    <b v="1"/>
    <n v="0"/>
  </r>
  <r>
    <s v="PROP00514"/>
    <x v="1"/>
    <x v="24"/>
    <x v="2"/>
    <n v="3922"/>
    <n v="50000000"/>
    <n v="12748"/>
    <n v="2"/>
    <n v="1"/>
    <n v="2"/>
    <s v="East"/>
    <s v="Playground; Concierge; Library; Elevator; Garden; AC; Parking; Pool"/>
    <n v="8"/>
    <n v="8"/>
    <n v="185308"/>
    <n v="4.45"/>
    <s v="Luxury"/>
    <n v="0.47240000000000004"/>
    <d v="2024-09-18T00:00:00"/>
    <n v="78"/>
    <x v="1"/>
    <n v="51"/>
    <x v="0"/>
    <b v="0"/>
    <n v="0"/>
  </r>
  <r>
    <s v="PROP00515"/>
    <x v="2"/>
    <x v="22"/>
    <x v="1"/>
    <n v="340"/>
    <n v="15000000"/>
    <n v="44117"/>
    <n v="1"/>
    <n v="1"/>
    <n v="7"/>
    <s v="South-West"/>
    <s v="Concierge; Playground; Gym; Security; Library"/>
    <n v="5"/>
    <n v="4"/>
    <n v="47101"/>
    <n v="3.77"/>
    <s v="Premium"/>
    <n v="0.43840000000000001"/>
    <d v="2025-11-13T00:00:00"/>
    <n v="221"/>
    <x v="1"/>
    <n v="83"/>
    <x v="1"/>
    <b v="0"/>
    <n v="30000"/>
  </r>
  <r>
    <s v="PROP00516"/>
    <x v="5"/>
    <x v="13"/>
    <x v="3"/>
    <n v="2971"/>
    <n v="40000000"/>
    <n v="13463"/>
    <n v="5"/>
    <n v="3"/>
    <n v="15"/>
    <s v="West"/>
    <s v="Garden; Parking; Security; AC; Concierge; Gym"/>
    <n v="6"/>
    <n v="8"/>
    <n v="109400"/>
    <n v="3.28"/>
    <s v="Luxury"/>
    <n v="0.41409999999999997"/>
    <d v="2025-10-15T00:00:00"/>
    <n v="15"/>
    <x v="0"/>
    <n v="73"/>
    <x v="0"/>
    <b v="1"/>
    <n v="80000"/>
  </r>
  <r>
    <s v="PROP00517"/>
    <x v="2"/>
    <x v="26"/>
    <x v="2"/>
    <n v="2332"/>
    <n v="15000000"/>
    <n v="6432"/>
    <n v="4"/>
    <n v="3"/>
    <n v="23"/>
    <s v="North-West"/>
    <s v="AC; Parking; Concierge; Elevator; Gym; Playground"/>
    <n v="6"/>
    <n v="6"/>
    <n v="49831"/>
    <n v="3.99"/>
    <s v="Premium"/>
    <n v="0.44929999999999998"/>
    <d v="2026-02-15T00:00:00"/>
    <n v="182"/>
    <x v="1"/>
    <n v="59"/>
    <x v="0"/>
    <b v="1"/>
    <n v="30000"/>
  </r>
  <r>
    <s v="PROP00518"/>
    <x v="5"/>
    <x v="10"/>
    <x v="4"/>
    <n v="5747"/>
    <n v="40000000"/>
    <n v="6960"/>
    <n v="5"/>
    <n v="3"/>
    <n v="20"/>
    <s v="North"/>
    <s v="AC; Pool; Playground; Gym; Garden; Library; Parking; Security"/>
    <n v="8"/>
    <n v="7"/>
    <n v="141819"/>
    <n v="4.25"/>
    <s v="Luxury"/>
    <n v="0.46270000000000006"/>
    <d v="2025-09-05T00:00:00"/>
    <n v="345"/>
    <x v="0"/>
    <n v="86"/>
    <x v="0"/>
    <b v="0"/>
    <n v="0"/>
  </r>
  <r>
    <s v="PROP00519"/>
    <x v="3"/>
    <x v="17"/>
    <x v="3"/>
    <n v="6069"/>
    <n v="30000000"/>
    <n v="4943"/>
    <n v="5"/>
    <n v="2"/>
    <n v="6"/>
    <s v="West"/>
    <s v="Pool; AC; Garden; Gym; Concierge; Library; Playground; Parking"/>
    <n v="8"/>
    <n v="7"/>
    <n v="76940"/>
    <n v="3.08"/>
    <s v="Luxury"/>
    <n v="0.40389999999999998"/>
    <d v="2024-06-09T00:00:00"/>
    <n v="121"/>
    <x v="0"/>
    <n v="179"/>
    <x v="1"/>
    <b v="0"/>
    <n v="60000"/>
  </r>
  <r>
    <s v="PROP00520"/>
    <x v="5"/>
    <x v="10"/>
    <x v="2"/>
    <n v="4236"/>
    <n v="40000000"/>
    <n v="9442"/>
    <n v="5"/>
    <n v="3"/>
    <n v="25"/>
    <s v="South-West"/>
    <s v="Library; Playground; Concierge; Parking; Gym; Pool; AC; Security"/>
    <n v="8"/>
    <n v="5"/>
    <n v="121693"/>
    <n v="3.65"/>
    <s v="Luxury"/>
    <n v="0.4325"/>
    <d v="2024-07-05T00:00:00"/>
    <n v="164"/>
    <x v="0"/>
    <n v="148"/>
    <x v="0"/>
    <b v="0"/>
    <n v="0"/>
  </r>
  <r>
    <s v="PROP00521"/>
    <x v="0"/>
    <x v="34"/>
    <x v="1"/>
    <n v="500"/>
    <n v="10000000"/>
    <n v="20000"/>
    <n v="1"/>
    <n v="1"/>
    <n v="0"/>
    <s v="North"/>
    <s v="Security; AC; Garden; Library; Concierge"/>
    <n v="5"/>
    <n v="7"/>
    <n v="30386"/>
    <n v="3.65"/>
    <s v="Premium"/>
    <n v="0.43229999999999996"/>
    <d v="2024-06-22T00:00:00"/>
    <n v="218"/>
    <x v="0"/>
    <n v="143"/>
    <x v="1"/>
    <b v="0"/>
    <n v="20000"/>
  </r>
  <r>
    <s v="PROP00522"/>
    <x v="5"/>
    <x v="16"/>
    <x v="3"/>
    <n v="4783"/>
    <n v="40000000"/>
    <n v="8362"/>
    <n v="3"/>
    <n v="2"/>
    <n v="14"/>
    <s v="South-East"/>
    <s v="Garden; Parking; Elevator; Library; Playground; Gym"/>
    <n v="6"/>
    <n v="4"/>
    <n v="135984"/>
    <n v="4.08"/>
    <s v="Luxury"/>
    <n v="0.45399999999999996"/>
    <d v="2026-04-23T00:00:00"/>
    <n v="181"/>
    <x v="2"/>
    <n v="115"/>
    <x v="0"/>
    <b v="1"/>
    <n v="80000"/>
  </r>
  <r>
    <s v="PROP00523"/>
    <x v="5"/>
    <x v="14"/>
    <x v="3"/>
    <n v="3286"/>
    <n v="40000000"/>
    <n v="12172"/>
    <n v="6"/>
    <n v="3"/>
    <n v="9"/>
    <s v="West"/>
    <s v="Playground; Elevator; Library; Pool"/>
    <n v="4"/>
    <n v="8"/>
    <n v="102404"/>
    <n v="3.07"/>
    <s v="Luxury"/>
    <n v="0.40360000000000001"/>
    <d v="2026-04-24T00:00:00"/>
    <n v="257"/>
    <x v="2"/>
    <n v="56"/>
    <x v="1"/>
    <b v="0"/>
    <n v="80000"/>
  </r>
  <r>
    <s v="PROP00524"/>
    <x v="3"/>
    <x v="3"/>
    <x v="2"/>
    <n v="1599"/>
    <n v="30000000"/>
    <n v="18761"/>
    <n v="3"/>
    <n v="1"/>
    <n v="1"/>
    <s v="North-East"/>
    <s v="Pool; Library; AC; Elevator; Playground"/>
    <n v="5"/>
    <n v="10"/>
    <n v="78826"/>
    <n v="3.15"/>
    <s v="Luxury"/>
    <n v="0.40770000000000001"/>
    <d v="2024-12-14T00:00:00"/>
    <n v="11"/>
    <x v="2"/>
    <n v="136"/>
    <x v="0"/>
    <b v="1"/>
    <n v="60000"/>
  </r>
  <r>
    <s v="PROP00525"/>
    <x v="0"/>
    <x v="9"/>
    <x v="1"/>
    <n v="349"/>
    <n v="10000000"/>
    <n v="28653"/>
    <n v="1"/>
    <n v="2"/>
    <n v="13"/>
    <s v="North-West"/>
    <s v="Gym; Security; AC; Garden; Pool; Elevator; Parking"/>
    <n v="7"/>
    <n v="8"/>
    <n v="32158"/>
    <n v="3.86"/>
    <s v="Premium"/>
    <n v="0.44290000000000002"/>
    <d v="2025-09-29T00:00:00"/>
    <n v="248"/>
    <x v="1"/>
    <n v="101"/>
    <x v="1"/>
    <b v="1"/>
    <n v="0"/>
  </r>
  <r>
    <s v="PROP00526"/>
    <x v="1"/>
    <x v="21"/>
    <x v="1"/>
    <n v="440"/>
    <n v="50000000"/>
    <n v="113636"/>
    <n v="0"/>
    <n v="2"/>
    <n v="7"/>
    <s v="North-East"/>
    <s v="Gym; Library; Garden; Concierge; Parking; AC; Elevator"/>
    <n v="7"/>
    <n v="5"/>
    <n v="192473"/>
    <n v="4.62"/>
    <s v="Luxury"/>
    <n v="0.48100000000000004"/>
    <d v="2026-02-18T00:00:00"/>
    <n v="251"/>
    <x v="0"/>
    <n v="83"/>
    <x v="0"/>
    <b v="1"/>
    <n v="100000"/>
  </r>
  <r>
    <s v="PROP00527"/>
    <x v="2"/>
    <x v="25"/>
    <x v="1"/>
    <n v="517"/>
    <n v="15000000"/>
    <n v="29013"/>
    <n v="0"/>
    <n v="1"/>
    <n v="24"/>
    <s v="North"/>
    <s v="Security; Library; Elevator; Playground; Parking; Pool"/>
    <n v="6"/>
    <n v="6"/>
    <n v="51632"/>
    <n v="4.13"/>
    <s v="Premium"/>
    <n v="0.45649999999999996"/>
    <d v="2025-03-24T00:00:00"/>
    <n v="288"/>
    <x v="1"/>
    <n v="83"/>
    <x v="1"/>
    <b v="0"/>
    <n v="0"/>
  </r>
  <r>
    <s v="PROP00528"/>
    <x v="0"/>
    <x v="34"/>
    <x v="2"/>
    <n v="3389"/>
    <n v="10000000"/>
    <n v="2950"/>
    <n v="5"/>
    <n v="2"/>
    <n v="29"/>
    <s v="East"/>
    <s v="Library; Pool; Elevator"/>
    <n v="3"/>
    <n v="7"/>
    <n v="27701"/>
    <n v="3.32"/>
    <s v="Premium"/>
    <n v="0.41619999999999996"/>
    <d v="2026-01-10T00:00:00"/>
    <n v="20"/>
    <x v="0"/>
    <n v="59"/>
    <x v="1"/>
    <b v="0"/>
    <n v="20000"/>
  </r>
  <r>
    <s v="PROP00529"/>
    <x v="0"/>
    <x v="9"/>
    <x v="1"/>
    <n v="321"/>
    <n v="10000000"/>
    <n v="31152"/>
    <n v="1"/>
    <n v="2"/>
    <n v="0"/>
    <s v="North-East"/>
    <s v="Pool; Library; Security; Playground; AC"/>
    <n v="5"/>
    <n v="5"/>
    <n v="35251"/>
    <n v="4.2300000000000004"/>
    <s v="Premium"/>
    <n v="0.46149999999999997"/>
    <d v="2025-04-29T00:00:00"/>
    <n v="149"/>
    <x v="0"/>
    <n v="66"/>
    <x v="0"/>
    <b v="0"/>
    <n v="0"/>
  </r>
  <r>
    <s v="PROP00530"/>
    <x v="2"/>
    <x v="2"/>
    <x v="3"/>
    <n v="4704"/>
    <n v="15000000"/>
    <n v="3188"/>
    <n v="4"/>
    <n v="2"/>
    <n v="16"/>
    <s v="North"/>
    <s v="Concierge; Gym; Playground; Garden; Pool; Elevator; Library; AC"/>
    <n v="8"/>
    <n v="7"/>
    <n v="42191"/>
    <n v="3.38"/>
    <s v="Premium"/>
    <n v="0.41880000000000001"/>
    <d v="2024-06-03T00:00:00"/>
    <n v="49"/>
    <x v="0"/>
    <n v="114"/>
    <x v="0"/>
    <b v="0"/>
    <n v="30000"/>
  </r>
  <r>
    <s v="PROP00531"/>
    <x v="1"/>
    <x v="24"/>
    <x v="4"/>
    <n v="4851"/>
    <n v="50000000"/>
    <n v="10307"/>
    <n v="5"/>
    <n v="2"/>
    <n v="29"/>
    <s v="North-East"/>
    <s v="Security; Elevator; Library; AC"/>
    <n v="4"/>
    <n v="9"/>
    <n v="188915"/>
    <n v="4.53"/>
    <s v="Luxury"/>
    <n v="0.47670000000000001"/>
    <d v="2025-08-27T00:00:00"/>
    <n v="40"/>
    <x v="0"/>
    <n v="81"/>
    <x v="0"/>
    <b v="1"/>
    <n v="100000"/>
  </r>
  <r>
    <s v="PROP00532"/>
    <x v="5"/>
    <x v="10"/>
    <x v="2"/>
    <n v="3808"/>
    <n v="40000000"/>
    <n v="10504"/>
    <n v="2"/>
    <n v="1"/>
    <n v="25"/>
    <s v="North-West"/>
    <s v="Elevator; Library; Playground; Security; AC; Concierge; Parking"/>
    <n v="7"/>
    <n v="4"/>
    <n v="100178"/>
    <n v="3.01"/>
    <s v="Luxury"/>
    <n v="0.40029999999999999"/>
    <d v="2025-09-19T00:00:00"/>
    <n v="74"/>
    <x v="1"/>
    <n v="67"/>
    <x v="0"/>
    <b v="0"/>
    <n v="80000"/>
  </r>
  <r>
    <s v="PROP00533"/>
    <x v="5"/>
    <x v="11"/>
    <x v="0"/>
    <n v="961"/>
    <n v="40000000"/>
    <n v="41623"/>
    <n v="4"/>
    <n v="3"/>
    <n v="21"/>
    <s v="South-West"/>
    <s v="Playground; Security; Pool; Concierge; AC; Garden"/>
    <n v="6"/>
    <n v="8"/>
    <n v="147082"/>
    <n v="4.41"/>
    <s v="Luxury"/>
    <n v="0.47060000000000002"/>
    <d v="2025-05-16T00:00:00"/>
    <n v="272"/>
    <x v="0"/>
    <n v="111"/>
    <x v="0"/>
    <b v="1"/>
    <n v="80000"/>
  </r>
  <r>
    <s v="PROP00534"/>
    <x v="0"/>
    <x v="18"/>
    <x v="3"/>
    <n v="5581"/>
    <n v="10000000"/>
    <n v="1791"/>
    <n v="6"/>
    <n v="4"/>
    <n v="22"/>
    <s v="East"/>
    <s v="Pool; AC; Library; Playground; Parking"/>
    <n v="5"/>
    <n v="6"/>
    <n v="31094"/>
    <n v="3.73"/>
    <s v="Premium"/>
    <n v="0.43659999999999999"/>
    <d v="2025-01-22T00:00:00"/>
    <n v="110"/>
    <x v="2"/>
    <n v="138"/>
    <x v="0"/>
    <b v="0"/>
    <n v="0"/>
  </r>
  <r>
    <s v="PROP00535"/>
    <x v="3"/>
    <x v="27"/>
    <x v="0"/>
    <n v="1202"/>
    <n v="30000000"/>
    <n v="24958"/>
    <n v="4"/>
    <n v="3"/>
    <n v="16"/>
    <s v="South-East"/>
    <s v="Gym; Security; Playground; Elevator"/>
    <n v="4"/>
    <n v="4"/>
    <n v="100139"/>
    <n v="4.01"/>
    <s v="Luxury"/>
    <n v="0.45030000000000003"/>
    <d v="2026-05-01T00:00:00"/>
    <n v="329"/>
    <x v="2"/>
    <n v="100"/>
    <x v="1"/>
    <b v="0"/>
    <n v="60000"/>
  </r>
  <r>
    <s v="PROP00536"/>
    <x v="0"/>
    <x v="7"/>
    <x v="2"/>
    <n v="2623"/>
    <n v="10000000"/>
    <n v="3812"/>
    <n v="2"/>
    <n v="1"/>
    <n v="27"/>
    <s v="South-East"/>
    <s v="Concierge; Elevator; AC; Pool; Garden; Security; Gym; Playground"/>
    <n v="8"/>
    <n v="5"/>
    <n v="39904"/>
    <n v="4.79"/>
    <s v="Premium"/>
    <n v="0.4894"/>
    <d v="2025-12-09T00:00:00"/>
    <n v="43"/>
    <x v="2"/>
    <n v="63"/>
    <x v="1"/>
    <b v="1"/>
    <n v="20000"/>
  </r>
  <r>
    <s v="PROP00537"/>
    <x v="2"/>
    <x v="33"/>
    <x v="0"/>
    <n v="1687"/>
    <n v="15000000"/>
    <n v="8891"/>
    <n v="1"/>
    <n v="2"/>
    <n v="27"/>
    <s v="South-East"/>
    <s v="Elevator; Gym; Playground; Library"/>
    <n v="4"/>
    <n v="6"/>
    <n v="41730"/>
    <n v="3.34"/>
    <s v="Premium"/>
    <n v="0.41689999999999999"/>
    <d v="2024-09-21T00:00:00"/>
    <n v="8"/>
    <x v="2"/>
    <n v="162"/>
    <x v="1"/>
    <b v="0"/>
    <n v="30000"/>
  </r>
  <r>
    <s v="PROP00538"/>
    <x v="1"/>
    <x v="1"/>
    <x v="4"/>
    <n v="4208"/>
    <n v="50000000"/>
    <n v="11882"/>
    <n v="6"/>
    <n v="4"/>
    <n v="2"/>
    <s v="West"/>
    <s v="Concierge; Gym; Security; Elevator"/>
    <n v="4"/>
    <n v="10"/>
    <n v="159104"/>
    <n v="3.82"/>
    <s v="Luxury"/>
    <n v="0.44090000000000001"/>
    <d v="2024-08-02T00:00:00"/>
    <n v="160"/>
    <x v="2"/>
    <n v="30"/>
    <x v="1"/>
    <b v="0"/>
    <n v="100000"/>
  </r>
  <r>
    <s v="PROP00539"/>
    <x v="5"/>
    <x v="16"/>
    <x v="4"/>
    <n v="9849"/>
    <n v="40000000"/>
    <n v="4061"/>
    <n v="6"/>
    <n v="3"/>
    <n v="18"/>
    <s v="East"/>
    <s v="Pool; Elevator; AC; Concierge; Playground; Gym"/>
    <n v="6"/>
    <n v="10"/>
    <n v="141774"/>
    <n v="4.25"/>
    <s v="Luxury"/>
    <n v="0.46270000000000006"/>
    <d v="2026-04-24T00:00:00"/>
    <n v="112"/>
    <x v="2"/>
    <n v="32"/>
    <x v="1"/>
    <b v="0"/>
    <n v="80000"/>
  </r>
  <r>
    <s v="PROP00540"/>
    <x v="0"/>
    <x v="34"/>
    <x v="2"/>
    <n v="4929"/>
    <n v="10000000"/>
    <n v="2028"/>
    <n v="3"/>
    <n v="1"/>
    <n v="9"/>
    <s v="North-East"/>
    <s v="Library; Security; Parking"/>
    <n v="3"/>
    <n v="6"/>
    <n v="30259"/>
    <n v="3.63"/>
    <s v="Premium"/>
    <n v="0.43159999999999998"/>
    <d v="2025-09-25T00:00:00"/>
    <n v="91"/>
    <x v="2"/>
    <n v="81"/>
    <x v="1"/>
    <b v="0"/>
    <n v="0"/>
  </r>
  <r>
    <s v="PROP00541"/>
    <x v="5"/>
    <x v="11"/>
    <x v="1"/>
    <n v="431"/>
    <n v="40000000"/>
    <n v="92807"/>
    <n v="1"/>
    <n v="2"/>
    <n v="24"/>
    <s v="West"/>
    <s v="AC; Concierge; Parking; Gym; Security; Garden; Pool; Elevator"/>
    <n v="8"/>
    <n v="10"/>
    <n v="128923"/>
    <n v="3.87"/>
    <s v="Luxury"/>
    <n v="0.44340000000000002"/>
    <d v="2024-07-22T00:00:00"/>
    <n v="107"/>
    <x v="2"/>
    <n v="103"/>
    <x v="1"/>
    <b v="0"/>
    <n v="80000"/>
  </r>
  <r>
    <s v="PROP00542"/>
    <x v="4"/>
    <x v="6"/>
    <x v="2"/>
    <n v="2393"/>
    <n v="12000000"/>
    <n v="5014"/>
    <n v="5"/>
    <n v="3"/>
    <n v="1"/>
    <s v="East"/>
    <s v="AC; Parking; Concierge"/>
    <n v="3"/>
    <n v="8"/>
    <n v="36459"/>
    <n v="3.65"/>
    <s v="Premium"/>
    <n v="0.43229999999999996"/>
    <d v="2024-10-14T00:00:00"/>
    <n v="166"/>
    <x v="0"/>
    <n v="38"/>
    <x v="0"/>
    <b v="0"/>
    <n v="24000"/>
  </r>
  <r>
    <s v="PROP00543"/>
    <x v="3"/>
    <x v="17"/>
    <x v="1"/>
    <n v="421"/>
    <n v="30000000"/>
    <n v="71258"/>
    <n v="1"/>
    <n v="1"/>
    <n v="5"/>
    <s v="North"/>
    <s v="Security; Parking; Concierge; Elevator; Pool"/>
    <n v="5"/>
    <n v="7"/>
    <n v="105830"/>
    <n v="4.2300000000000004"/>
    <s v="Luxury"/>
    <n v="0.4617"/>
    <d v="2024-09-14T00:00:00"/>
    <n v="243"/>
    <x v="0"/>
    <n v="132"/>
    <x v="0"/>
    <b v="0"/>
    <n v="0"/>
  </r>
  <r>
    <s v="PROP00544"/>
    <x v="4"/>
    <x v="31"/>
    <x v="1"/>
    <n v="597"/>
    <n v="12000000"/>
    <n v="20100"/>
    <n v="1"/>
    <n v="2"/>
    <n v="1"/>
    <s v="North-East"/>
    <s v="AC; Pool; Library; Garden"/>
    <n v="4"/>
    <n v="5"/>
    <n v="38015"/>
    <n v="3.8"/>
    <s v="Premium"/>
    <n v="0.44009999999999999"/>
    <d v="2026-04-15T00:00:00"/>
    <n v="306"/>
    <x v="0"/>
    <n v="106"/>
    <x v="0"/>
    <b v="1"/>
    <n v="24000"/>
  </r>
  <r>
    <s v="PROP00545"/>
    <x v="0"/>
    <x v="18"/>
    <x v="0"/>
    <n v="770"/>
    <n v="10000000"/>
    <n v="12987"/>
    <n v="3"/>
    <n v="1"/>
    <n v="25"/>
    <s v="East"/>
    <s v="Concierge; Library; Parking; Garden; Gym"/>
    <n v="5"/>
    <n v="5"/>
    <n v="27867"/>
    <n v="3.34"/>
    <s v="Premium"/>
    <n v="0.41720000000000002"/>
    <d v="2025-07-04T00:00:00"/>
    <n v="224"/>
    <x v="0"/>
    <n v="82"/>
    <x v="0"/>
    <b v="1"/>
    <n v="20000"/>
  </r>
  <r>
    <s v="PROP00546"/>
    <x v="0"/>
    <x v="9"/>
    <x v="2"/>
    <n v="1520"/>
    <n v="10000000"/>
    <n v="6578"/>
    <n v="5"/>
    <n v="2"/>
    <n v="11"/>
    <s v="West"/>
    <s v="Concierge; AC; Library"/>
    <n v="3"/>
    <n v="10"/>
    <n v="36140"/>
    <n v="4.34"/>
    <s v="Premium"/>
    <n v="0.46679999999999999"/>
    <d v="2025-01-25T00:00:00"/>
    <n v="199"/>
    <x v="2"/>
    <n v="54"/>
    <x v="0"/>
    <b v="0"/>
    <n v="20000"/>
  </r>
  <r>
    <s v="PROP00547"/>
    <x v="2"/>
    <x v="22"/>
    <x v="2"/>
    <n v="4857"/>
    <n v="15000000"/>
    <n v="3088"/>
    <n v="5"/>
    <n v="3"/>
    <n v="17"/>
    <s v="West"/>
    <s v="Playground; Concierge; Gym"/>
    <n v="3"/>
    <n v="6"/>
    <n v="41954"/>
    <n v="3.36"/>
    <s v="Premium"/>
    <n v="0.4178"/>
    <d v="2025-09-16T00:00:00"/>
    <n v="1"/>
    <x v="0"/>
    <n v="158"/>
    <x v="1"/>
    <b v="1"/>
    <n v="30000"/>
  </r>
  <r>
    <s v="PROP00548"/>
    <x v="3"/>
    <x v="17"/>
    <x v="3"/>
    <n v="2362"/>
    <n v="30000000"/>
    <n v="12701"/>
    <n v="4"/>
    <n v="3"/>
    <n v="13"/>
    <s v="South-West"/>
    <s v="Playground; Library; Parking"/>
    <n v="3"/>
    <n v="4"/>
    <n v="90554"/>
    <n v="3.62"/>
    <s v="Luxury"/>
    <n v="0.43109999999999998"/>
    <d v="2024-06-22T00:00:00"/>
    <n v="216"/>
    <x v="2"/>
    <n v="96"/>
    <x v="0"/>
    <b v="1"/>
    <n v="0"/>
  </r>
  <r>
    <s v="PROP00549"/>
    <x v="0"/>
    <x v="9"/>
    <x v="0"/>
    <n v="2304"/>
    <n v="10000000"/>
    <n v="4340"/>
    <n v="1"/>
    <n v="2"/>
    <n v="21"/>
    <s v="North-West"/>
    <s v="Pool; Library; Gym; Elevator; Parking; AC; Garden; Playground"/>
    <n v="8"/>
    <n v="10"/>
    <n v="35896"/>
    <n v="4.3099999999999996"/>
    <s v="Premium"/>
    <n v="0.46539999999999998"/>
    <d v="2024-06-27T00:00:00"/>
    <n v="156"/>
    <x v="0"/>
    <n v="43"/>
    <x v="1"/>
    <b v="0"/>
    <n v="20000"/>
  </r>
  <r>
    <s v="PROP00550"/>
    <x v="4"/>
    <x v="30"/>
    <x v="4"/>
    <n v="6054"/>
    <n v="12000000"/>
    <n v="1982"/>
    <n v="5"/>
    <n v="3"/>
    <n v="27"/>
    <s v="East"/>
    <s v="Playground; Pool; Parking; Garden; Security; Library; Gym"/>
    <n v="7"/>
    <n v="5"/>
    <n v="48964"/>
    <n v="4.9000000000000004"/>
    <s v="Premium"/>
    <n v="0.49479999999999996"/>
    <d v="2024-05-20T00:00:00"/>
    <n v="315"/>
    <x v="0"/>
    <n v="161"/>
    <x v="1"/>
    <b v="0"/>
    <n v="24000"/>
  </r>
  <r>
    <s v="PROP00551"/>
    <x v="2"/>
    <x v="22"/>
    <x v="0"/>
    <n v="897"/>
    <n v="15000000"/>
    <n v="16722"/>
    <n v="4"/>
    <n v="3"/>
    <n v="11"/>
    <s v="South-West"/>
    <s v="Elevator; Playground; Security"/>
    <n v="3"/>
    <n v="5"/>
    <n v="44903"/>
    <n v="3.59"/>
    <s v="Premium"/>
    <n v="0.42959999999999998"/>
    <d v="2026-04-20T00:00:00"/>
    <n v="183"/>
    <x v="0"/>
    <n v="105"/>
    <x v="1"/>
    <b v="1"/>
    <n v="0"/>
  </r>
  <r>
    <s v="PROP00552"/>
    <x v="5"/>
    <x v="13"/>
    <x v="0"/>
    <n v="2840"/>
    <n v="40000000"/>
    <n v="14084"/>
    <n v="1"/>
    <n v="2"/>
    <n v="23"/>
    <s v="East"/>
    <s v="AC; Library; Garden"/>
    <n v="3"/>
    <n v="7"/>
    <n v="106304"/>
    <n v="3.19"/>
    <s v="Luxury"/>
    <n v="0.40950000000000003"/>
    <d v="2025-12-17T00:00:00"/>
    <n v="177"/>
    <x v="2"/>
    <n v="100"/>
    <x v="1"/>
    <b v="1"/>
    <n v="0"/>
  </r>
  <r>
    <s v="PROP00553"/>
    <x v="1"/>
    <x v="28"/>
    <x v="2"/>
    <n v="3026"/>
    <n v="50000000"/>
    <n v="16523"/>
    <n v="2"/>
    <n v="1"/>
    <n v="19"/>
    <s v="North"/>
    <s v="Pool; Library; Elevator; Parking; Playground; AC; Garden; Concierge"/>
    <n v="8"/>
    <n v="4"/>
    <n v="187230"/>
    <n v="4.49"/>
    <s v="Luxury"/>
    <n v="0.47470000000000001"/>
    <d v="2024-07-15T00:00:00"/>
    <n v="60"/>
    <x v="2"/>
    <n v="140"/>
    <x v="0"/>
    <b v="0"/>
    <n v="0"/>
  </r>
  <r>
    <s v="PROP00554"/>
    <x v="4"/>
    <x v="12"/>
    <x v="4"/>
    <n v="9997"/>
    <n v="12000000"/>
    <n v="1200"/>
    <n v="4"/>
    <n v="2"/>
    <n v="11"/>
    <s v="North"/>
    <s v="Concierge; Garden; Library; Parking; Playground; Pool; Elevator"/>
    <n v="7"/>
    <n v="4"/>
    <n v="48194"/>
    <n v="4.82"/>
    <s v="Premium"/>
    <n v="0.49099999999999999"/>
    <d v="2024-06-19T00:00:00"/>
    <n v="107"/>
    <x v="0"/>
    <n v="134"/>
    <x v="0"/>
    <b v="0"/>
    <n v="24000"/>
  </r>
  <r>
    <s v="PROP00555"/>
    <x v="5"/>
    <x v="13"/>
    <x v="1"/>
    <n v="556"/>
    <n v="40000000"/>
    <n v="71942"/>
    <n v="1"/>
    <n v="1"/>
    <n v="7"/>
    <s v="North-East"/>
    <s v="Gym; Playground; Garden; Elevator"/>
    <n v="4"/>
    <n v="9"/>
    <n v="140621"/>
    <n v="4.22"/>
    <s v="Luxury"/>
    <n v="0.46090000000000003"/>
    <d v="2025-01-28T00:00:00"/>
    <n v="278"/>
    <x v="0"/>
    <n v="114"/>
    <x v="1"/>
    <b v="0"/>
    <n v="80000"/>
  </r>
  <r>
    <s v="PROP00556"/>
    <x v="5"/>
    <x v="13"/>
    <x v="2"/>
    <n v="2918"/>
    <n v="40000000"/>
    <n v="13708"/>
    <n v="5"/>
    <n v="2"/>
    <n v="14"/>
    <s v="South"/>
    <s v="Concierge; Garden; Parking; Playground; AC; Elevator; Library; Gym"/>
    <n v="8"/>
    <n v="9"/>
    <n v="137421"/>
    <n v="4.12"/>
    <s v="Luxury"/>
    <n v="0.45610000000000001"/>
    <d v="2025-05-26T00:00:00"/>
    <n v="190"/>
    <x v="0"/>
    <n v="165"/>
    <x v="1"/>
    <b v="0"/>
    <n v="0"/>
  </r>
  <r>
    <s v="PROP00557"/>
    <x v="2"/>
    <x v="33"/>
    <x v="1"/>
    <n v="265"/>
    <n v="15000000"/>
    <n v="56603"/>
    <n v="0"/>
    <n v="1"/>
    <n v="19"/>
    <s v="North-East"/>
    <s v="Elevator; Library; AC; Concierge; Gym"/>
    <n v="5"/>
    <n v="8"/>
    <n v="49768"/>
    <n v="3.98"/>
    <s v="Premium"/>
    <n v="0.44909999999999994"/>
    <d v="2025-09-16T00:00:00"/>
    <n v="194"/>
    <x v="0"/>
    <n v="63"/>
    <x v="0"/>
    <b v="1"/>
    <n v="0"/>
  </r>
  <r>
    <s v="PROP00558"/>
    <x v="3"/>
    <x v="15"/>
    <x v="0"/>
    <n v="2737"/>
    <n v="30000000"/>
    <n v="10960"/>
    <n v="3"/>
    <n v="1"/>
    <n v="27"/>
    <s v="West"/>
    <s v="Library; AC; Elevator; Parking"/>
    <n v="4"/>
    <n v="9"/>
    <n v="104962"/>
    <n v="4.2"/>
    <s v="Luxury"/>
    <n v="0.45990000000000003"/>
    <d v="2025-06-21T00:00:00"/>
    <n v="341"/>
    <x v="2"/>
    <n v="57"/>
    <x v="1"/>
    <b v="0"/>
    <n v="60000"/>
  </r>
  <r>
    <s v="PROP00559"/>
    <x v="2"/>
    <x v="2"/>
    <x v="1"/>
    <n v="396"/>
    <n v="15000000"/>
    <n v="37878"/>
    <n v="1"/>
    <n v="1"/>
    <n v="29"/>
    <s v="South-East"/>
    <s v="Library; Security; Gym; AC"/>
    <n v="4"/>
    <n v="7"/>
    <n v="53904"/>
    <n v="4.3099999999999996"/>
    <s v="Premium"/>
    <n v="0.46560000000000001"/>
    <d v="2024-06-14T00:00:00"/>
    <n v="335"/>
    <x v="1"/>
    <n v="178"/>
    <x v="1"/>
    <b v="0"/>
    <n v="0"/>
  </r>
  <r>
    <s v="PROP00560"/>
    <x v="3"/>
    <x v="27"/>
    <x v="0"/>
    <n v="2934"/>
    <n v="30000000"/>
    <n v="10224"/>
    <n v="2"/>
    <n v="1"/>
    <n v="19"/>
    <s v="East"/>
    <s v="AC; Pool; Library; Gym; Parking; Security; Elevator"/>
    <n v="7"/>
    <n v="4"/>
    <n v="98595"/>
    <n v="3.94"/>
    <s v="Luxury"/>
    <n v="0.44719999999999999"/>
    <d v="2026-02-10T00:00:00"/>
    <n v="283"/>
    <x v="1"/>
    <n v="129"/>
    <x v="0"/>
    <b v="1"/>
    <n v="0"/>
  </r>
  <r>
    <s v="PROP00561"/>
    <x v="5"/>
    <x v="19"/>
    <x v="3"/>
    <n v="3435"/>
    <n v="40000000"/>
    <n v="11644"/>
    <n v="6"/>
    <n v="3"/>
    <n v="10"/>
    <s v="North-West"/>
    <s v="Security; Pool; Gym; AC"/>
    <n v="4"/>
    <n v="10"/>
    <n v="145578"/>
    <n v="4.37"/>
    <s v="Luxury"/>
    <n v="0.46840000000000004"/>
    <d v="2025-02-14T00:00:00"/>
    <n v="237"/>
    <x v="1"/>
    <n v="75"/>
    <x v="0"/>
    <b v="0"/>
    <n v="80000"/>
  </r>
  <r>
    <s v="PROP00562"/>
    <x v="3"/>
    <x v="17"/>
    <x v="0"/>
    <n v="428"/>
    <n v="30000000"/>
    <n v="70093"/>
    <n v="1"/>
    <n v="2"/>
    <n v="27"/>
    <s v="North"/>
    <s v="Concierge; Library; Pool; AC; Garden; Parking; Gym"/>
    <n v="7"/>
    <n v="7"/>
    <n v="116387"/>
    <n v="4.66"/>
    <s v="Luxury"/>
    <n v="0.48280000000000001"/>
    <d v="2026-03-14T00:00:00"/>
    <n v="187"/>
    <x v="0"/>
    <n v="40"/>
    <x v="1"/>
    <b v="0"/>
    <n v="0"/>
  </r>
  <r>
    <s v="PROP00563"/>
    <x v="1"/>
    <x v="28"/>
    <x v="3"/>
    <n v="4150"/>
    <n v="50000000"/>
    <n v="12048"/>
    <n v="3"/>
    <n v="1"/>
    <n v="11"/>
    <s v="North-East"/>
    <s v="Playground; Parking; Garden; Library; Concierge; Pool"/>
    <n v="6"/>
    <n v="9"/>
    <n v="178502"/>
    <n v="4.28"/>
    <s v="Luxury"/>
    <n v="0.4642"/>
    <d v="2026-02-28T00:00:00"/>
    <n v="126"/>
    <x v="0"/>
    <n v="155"/>
    <x v="1"/>
    <b v="0"/>
    <n v="0"/>
  </r>
  <r>
    <s v="PROP00564"/>
    <x v="0"/>
    <x v="8"/>
    <x v="2"/>
    <n v="4725"/>
    <n v="10000000"/>
    <n v="2116"/>
    <n v="5"/>
    <n v="3"/>
    <n v="18"/>
    <s v="North-East"/>
    <s v="Elevator; Gym; Parking; Pool; Security"/>
    <n v="5"/>
    <n v="6"/>
    <n v="39669"/>
    <n v="4.76"/>
    <s v="Premium"/>
    <n v="0.48799999999999999"/>
    <d v="2024-10-14T00:00:00"/>
    <n v="82"/>
    <x v="0"/>
    <n v="108"/>
    <x v="1"/>
    <b v="0"/>
    <n v="0"/>
  </r>
  <r>
    <s v="PROP00565"/>
    <x v="0"/>
    <x v="18"/>
    <x v="3"/>
    <n v="7694"/>
    <n v="10000000"/>
    <n v="1299"/>
    <n v="4"/>
    <n v="2"/>
    <n v="19"/>
    <s v="North-East"/>
    <s v="Library; Security; Garden; Gym; Pool"/>
    <n v="5"/>
    <n v="9"/>
    <n v="25201"/>
    <n v="3.02"/>
    <s v="Premium"/>
    <n v="0.4012"/>
    <d v="2025-05-07T00:00:00"/>
    <n v="208"/>
    <x v="2"/>
    <n v="162"/>
    <x v="1"/>
    <b v="1"/>
    <n v="0"/>
  </r>
  <r>
    <s v="PROP00566"/>
    <x v="0"/>
    <x v="34"/>
    <x v="4"/>
    <n v="9984"/>
    <n v="10000000"/>
    <n v="1001"/>
    <n v="6"/>
    <n v="4"/>
    <n v="16"/>
    <s v="North-West"/>
    <s v="Library; Concierge; Parking; Elevator; Security"/>
    <n v="5"/>
    <n v="4"/>
    <n v="39952"/>
    <n v="4.79"/>
    <s v="Premium"/>
    <n v="0.48969999999999997"/>
    <d v="2026-04-30T00:00:00"/>
    <n v="116"/>
    <x v="2"/>
    <n v="117"/>
    <x v="1"/>
    <b v="1"/>
    <n v="20000"/>
  </r>
  <r>
    <s v="PROP00567"/>
    <x v="3"/>
    <x v="3"/>
    <x v="4"/>
    <n v="9373"/>
    <n v="30000000"/>
    <n v="3200"/>
    <n v="6"/>
    <n v="3"/>
    <n v="20"/>
    <s v="North"/>
    <s v="Playground; Concierge; AC; Security"/>
    <n v="4"/>
    <n v="9"/>
    <n v="117287"/>
    <n v="4.6900000000000004"/>
    <s v="Luxury"/>
    <n v="0.48460000000000003"/>
    <d v="2024-11-24T00:00:00"/>
    <n v="187"/>
    <x v="1"/>
    <n v="81"/>
    <x v="0"/>
    <b v="0"/>
    <n v="60000"/>
  </r>
  <r>
    <s v="PROP00568"/>
    <x v="5"/>
    <x v="14"/>
    <x v="0"/>
    <n v="1511"/>
    <n v="40000000"/>
    <n v="26472"/>
    <n v="1"/>
    <n v="1"/>
    <n v="14"/>
    <s v="West"/>
    <s v="AC; Garden; Elevator; Parking; Playground; Pool; Security"/>
    <n v="7"/>
    <n v="6"/>
    <n v="130404"/>
    <n v="3.91"/>
    <s v="Luxury"/>
    <n v="0.4456"/>
    <d v="2026-04-03T00:00:00"/>
    <n v="143"/>
    <x v="1"/>
    <n v="171"/>
    <x v="0"/>
    <b v="1"/>
    <n v="80000"/>
  </r>
  <r>
    <s v="PROP00569"/>
    <x v="3"/>
    <x v="5"/>
    <x v="2"/>
    <n v="1749"/>
    <n v="30000000"/>
    <n v="17152"/>
    <n v="3"/>
    <n v="1"/>
    <n v="7"/>
    <s v="South"/>
    <s v="Elevator; Concierge; AC; Gym; Security; Library; Parking"/>
    <n v="7"/>
    <n v="4"/>
    <n v="80820"/>
    <n v="3.23"/>
    <s v="Luxury"/>
    <n v="0.41159999999999997"/>
    <d v="2026-02-18T00:00:00"/>
    <n v="302"/>
    <x v="0"/>
    <n v="168"/>
    <x v="0"/>
    <b v="0"/>
    <n v="0"/>
  </r>
  <r>
    <s v="PROP00570"/>
    <x v="4"/>
    <x v="4"/>
    <x v="4"/>
    <n v="6520"/>
    <n v="12000000"/>
    <n v="1840"/>
    <n v="4"/>
    <n v="3"/>
    <n v="24"/>
    <s v="East"/>
    <s v="Garden; Concierge; Gym; Parking; Elevator; Security; Library; Pool"/>
    <n v="8"/>
    <n v="6"/>
    <n v="39665"/>
    <n v="3.97"/>
    <s v="Premium"/>
    <n v="0.44829999999999998"/>
    <d v="2025-07-28T00:00:00"/>
    <n v="273"/>
    <x v="1"/>
    <n v="97"/>
    <x v="0"/>
    <b v="0"/>
    <n v="0"/>
  </r>
  <r>
    <s v="PROP00571"/>
    <x v="0"/>
    <x v="9"/>
    <x v="4"/>
    <n v="5529"/>
    <n v="10000000"/>
    <n v="1808"/>
    <n v="6"/>
    <n v="4"/>
    <n v="3"/>
    <s v="North-West"/>
    <s v="Concierge; Gym; Playground; Security"/>
    <n v="4"/>
    <n v="4"/>
    <n v="27979"/>
    <n v="3.36"/>
    <s v="Premium"/>
    <n v="0.41789999999999999"/>
    <d v="2025-02-26T00:00:00"/>
    <n v="176"/>
    <x v="2"/>
    <n v="143"/>
    <x v="0"/>
    <b v="1"/>
    <n v="20000"/>
  </r>
  <r>
    <s v="PROP00572"/>
    <x v="3"/>
    <x v="15"/>
    <x v="2"/>
    <n v="3555"/>
    <n v="30000000"/>
    <n v="8438"/>
    <n v="4"/>
    <n v="3"/>
    <n v="24"/>
    <s v="South-East"/>
    <s v="Concierge; Pool; Security; Elevator; AC; Library; Playground"/>
    <n v="7"/>
    <n v="8"/>
    <n v="113319"/>
    <n v="4.53"/>
    <s v="Luxury"/>
    <n v="0.47659999999999997"/>
    <d v="2025-11-20T00:00:00"/>
    <n v="167"/>
    <x v="1"/>
    <n v="70"/>
    <x v="1"/>
    <b v="0"/>
    <n v="0"/>
  </r>
  <r>
    <s v="PROP00573"/>
    <x v="3"/>
    <x v="3"/>
    <x v="1"/>
    <n v="405"/>
    <n v="30000000"/>
    <n v="74074"/>
    <n v="1"/>
    <n v="1"/>
    <n v="9"/>
    <s v="South-West"/>
    <s v="Playground; Elevator; Concierge; Parking; Garden"/>
    <n v="5"/>
    <n v="7"/>
    <n v="75283"/>
    <n v="3.01"/>
    <s v="Luxury"/>
    <n v="0.40060000000000001"/>
    <d v="2025-03-27T00:00:00"/>
    <n v="331"/>
    <x v="0"/>
    <n v="120"/>
    <x v="0"/>
    <b v="0"/>
    <n v="0"/>
  </r>
  <r>
    <s v="PROP00574"/>
    <x v="1"/>
    <x v="23"/>
    <x v="3"/>
    <n v="3708"/>
    <n v="50000000"/>
    <n v="13484"/>
    <n v="5"/>
    <n v="3"/>
    <n v="26"/>
    <s v="South-East"/>
    <s v="Gym; Playground; Library; Concierge; Garden"/>
    <n v="5"/>
    <n v="7"/>
    <n v="186584"/>
    <n v="4.4800000000000004"/>
    <s v="Luxury"/>
    <n v="0.47389999999999999"/>
    <d v="2025-10-06T00:00:00"/>
    <n v="55"/>
    <x v="2"/>
    <n v="100"/>
    <x v="0"/>
    <b v="1"/>
    <n v="100000"/>
  </r>
  <r>
    <s v="PROP00575"/>
    <x v="5"/>
    <x v="19"/>
    <x v="1"/>
    <n v="553"/>
    <n v="40000000"/>
    <n v="72332"/>
    <n v="1"/>
    <n v="1"/>
    <n v="24"/>
    <s v="South"/>
    <s v="Library; Concierge; Garden; Parking; Security; Playground; AC; Gym"/>
    <n v="8"/>
    <n v="6"/>
    <n v="122846"/>
    <n v="3.69"/>
    <s v="Luxury"/>
    <n v="0.43430000000000002"/>
    <d v="2024-11-10T00:00:00"/>
    <n v="242"/>
    <x v="0"/>
    <n v="58"/>
    <x v="0"/>
    <b v="1"/>
    <n v="0"/>
  </r>
  <r>
    <s v="PROP00576"/>
    <x v="0"/>
    <x v="8"/>
    <x v="3"/>
    <n v="3232"/>
    <n v="10000000"/>
    <n v="3094"/>
    <n v="5"/>
    <n v="2"/>
    <n v="17"/>
    <s v="North-East"/>
    <s v="Concierge; Garden; Playground"/>
    <n v="3"/>
    <n v="10"/>
    <n v="38621"/>
    <n v="4.63"/>
    <s v="Premium"/>
    <n v="0.48170000000000002"/>
    <d v="2024-06-07T00:00:00"/>
    <n v="359"/>
    <x v="0"/>
    <n v="47"/>
    <x v="1"/>
    <b v="0"/>
    <n v="0"/>
  </r>
  <r>
    <s v="PROP00577"/>
    <x v="0"/>
    <x v="34"/>
    <x v="3"/>
    <n v="4631"/>
    <n v="10000000"/>
    <n v="2159"/>
    <n v="6"/>
    <n v="3"/>
    <n v="14"/>
    <s v="North"/>
    <s v="Playground; Garden; Security; Parking; Concierge"/>
    <n v="5"/>
    <n v="7"/>
    <n v="35704"/>
    <n v="4.28"/>
    <s v="Premium"/>
    <n v="0.4642"/>
    <d v="2025-03-03T00:00:00"/>
    <n v="271"/>
    <x v="0"/>
    <n v="42"/>
    <x v="0"/>
    <b v="0"/>
    <n v="20000"/>
  </r>
  <r>
    <s v="PROP00578"/>
    <x v="4"/>
    <x v="30"/>
    <x v="0"/>
    <n v="2465"/>
    <n v="12000000"/>
    <n v="4868"/>
    <n v="3"/>
    <n v="2"/>
    <n v="9"/>
    <s v="East"/>
    <s v="Playground; Pool; AC; Security; Gym; Library; Elevator"/>
    <n v="7"/>
    <n v="7"/>
    <n v="46925"/>
    <n v="4.6900000000000004"/>
    <s v="Premium"/>
    <n v="0.48460000000000003"/>
    <d v="2026-02-14T00:00:00"/>
    <n v="38"/>
    <x v="0"/>
    <n v="78"/>
    <x v="1"/>
    <b v="0"/>
    <n v="0"/>
  </r>
  <r>
    <s v="PROP00579"/>
    <x v="2"/>
    <x v="33"/>
    <x v="3"/>
    <n v="7328"/>
    <n v="15000000"/>
    <n v="2046"/>
    <n v="5"/>
    <n v="2"/>
    <n v="5"/>
    <s v="North-East"/>
    <s v="Elevator; Playground; Concierge; Security; AC; Garden; Gym; Pool"/>
    <n v="8"/>
    <n v="6"/>
    <n v="58205"/>
    <n v="4.66"/>
    <s v="Premium"/>
    <n v="0.48280000000000001"/>
    <d v="2026-04-25T00:00:00"/>
    <n v="78"/>
    <x v="0"/>
    <n v="139"/>
    <x v="1"/>
    <b v="1"/>
    <n v="0"/>
  </r>
  <r>
    <s v="PROP00580"/>
    <x v="4"/>
    <x v="30"/>
    <x v="3"/>
    <n v="6705"/>
    <n v="12000000"/>
    <n v="1789"/>
    <n v="5"/>
    <n v="2"/>
    <n v="6"/>
    <s v="North"/>
    <s v="Garden; Security; Parking; Gym"/>
    <n v="4"/>
    <n v="8"/>
    <n v="48889"/>
    <n v="4.8899999999999997"/>
    <s v="Premium"/>
    <n v="0.49439999999999995"/>
    <d v="2026-04-04T00:00:00"/>
    <n v="36"/>
    <x v="2"/>
    <n v="119"/>
    <x v="1"/>
    <b v="0"/>
    <n v="24000"/>
  </r>
  <r>
    <s v="PROP00581"/>
    <x v="0"/>
    <x v="34"/>
    <x v="3"/>
    <n v="4481"/>
    <n v="10000000"/>
    <n v="2231"/>
    <n v="4"/>
    <n v="3"/>
    <n v="8"/>
    <s v="North-West"/>
    <s v="Garden; Playground; Gym; Pool"/>
    <n v="4"/>
    <n v="9"/>
    <n v="40800"/>
    <n v="4.9000000000000004"/>
    <s v="Premium"/>
    <n v="0.49479999999999996"/>
    <d v="2026-04-18T00:00:00"/>
    <n v="195"/>
    <x v="0"/>
    <n v="83"/>
    <x v="0"/>
    <b v="0"/>
    <n v="0"/>
  </r>
  <r>
    <s v="PROP00582"/>
    <x v="2"/>
    <x v="32"/>
    <x v="3"/>
    <n v="5117"/>
    <n v="15000000"/>
    <n v="2931"/>
    <n v="3"/>
    <n v="1"/>
    <n v="5"/>
    <s v="South-East"/>
    <s v="Elevator; AC; Pool; Concierge; Library; Gym; Garden"/>
    <n v="7"/>
    <n v="4"/>
    <n v="45421"/>
    <n v="3.63"/>
    <s v="Premium"/>
    <n v="0.43170000000000003"/>
    <d v="2025-10-31T00:00:00"/>
    <n v="185"/>
    <x v="0"/>
    <n v="159"/>
    <x v="1"/>
    <b v="0"/>
    <n v="30000"/>
  </r>
  <r>
    <s v="PROP00583"/>
    <x v="2"/>
    <x v="26"/>
    <x v="0"/>
    <n v="1956"/>
    <n v="15000000"/>
    <n v="7668"/>
    <n v="4"/>
    <n v="3"/>
    <n v="30"/>
    <s v="South"/>
    <s v="Playground; Elevator; Security"/>
    <n v="3"/>
    <n v="9"/>
    <n v="58695"/>
    <n v="4.7"/>
    <s v="Premium"/>
    <n v="0.48479999999999995"/>
    <d v="2025-07-11T00:00:00"/>
    <n v="334"/>
    <x v="0"/>
    <n v="51"/>
    <x v="1"/>
    <b v="0"/>
    <n v="30000"/>
  </r>
  <r>
    <s v="PROP00584"/>
    <x v="5"/>
    <x v="19"/>
    <x v="2"/>
    <n v="1685"/>
    <n v="40000000"/>
    <n v="23738"/>
    <n v="3"/>
    <n v="1"/>
    <n v="5"/>
    <s v="North"/>
    <s v="Gym; Parking; AC; Pool; Playground; Garden; Elevator"/>
    <n v="7"/>
    <n v="8"/>
    <n v="113988"/>
    <n v="3.42"/>
    <s v="Luxury"/>
    <n v="0.42100000000000004"/>
    <d v="2024-07-07T00:00:00"/>
    <n v="81"/>
    <x v="0"/>
    <n v="136"/>
    <x v="1"/>
    <b v="1"/>
    <n v="80000"/>
  </r>
  <r>
    <s v="PROP00585"/>
    <x v="4"/>
    <x v="6"/>
    <x v="3"/>
    <n v="4990"/>
    <n v="12000000"/>
    <n v="2404"/>
    <n v="3"/>
    <n v="1"/>
    <n v="0"/>
    <s v="South-East"/>
    <s v="Garden; Security; Library; Playground; Parking; Concierge"/>
    <n v="6"/>
    <n v="4"/>
    <n v="30516"/>
    <n v="3.05"/>
    <s v="Premium"/>
    <n v="0.40259999999999996"/>
    <d v="2026-04-15T00:00:00"/>
    <n v="209"/>
    <x v="1"/>
    <n v="66"/>
    <x v="0"/>
    <b v="0"/>
    <n v="24000"/>
  </r>
  <r>
    <s v="PROP00586"/>
    <x v="3"/>
    <x v="35"/>
    <x v="0"/>
    <n v="1828"/>
    <n v="30000000"/>
    <n v="16411"/>
    <n v="2"/>
    <n v="1"/>
    <n v="13"/>
    <s v="South-West"/>
    <s v="Pool; Concierge; AC"/>
    <n v="3"/>
    <n v="10"/>
    <n v="101836"/>
    <n v="4.07"/>
    <s v="Luxury"/>
    <n v="0.45369999999999999"/>
    <d v="2025-12-28T00:00:00"/>
    <n v="160"/>
    <x v="1"/>
    <n v="30"/>
    <x v="1"/>
    <b v="0"/>
    <n v="0"/>
  </r>
  <r>
    <s v="PROP00587"/>
    <x v="3"/>
    <x v="3"/>
    <x v="4"/>
    <n v="5994"/>
    <n v="30000000"/>
    <n v="5005"/>
    <n v="6"/>
    <n v="3"/>
    <n v="15"/>
    <s v="East"/>
    <s v="Elevator; Garden; Parking; Pool; Security; Library"/>
    <n v="6"/>
    <n v="6"/>
    <n v="79109"/>
    <n v="3.16"/>
    <s v="Luxury"/>
    <n v="0.40820000000000001"/>
    <d v="2026-02-06T00:00:00"/>
    <n v="128"/>
    <x v="2"/>
    <n v="56"/>
    <x v="0"/>
    <b v="0"/>
    <n v="60000"/>
  </r>
  <r>
    <s v="PROP00588"/>
    <x v="0"/>
    <x v="7"/>
    <x v="2"/>
    <n v="2846"/>
    <n v="10000000"/>
    <n v="3513"/>
    <n v="5"/>
    <n v="3"/>
    <n v="24"/>
    <s v="East"/>
    <s v="Playground; Library; Elevator; Concierge"/>
    <n v="4"/>
    <n v="10"/>
    <n v="40577"/>
    <n v="4.87"/>
    <s v="Premium"/>
    <n v="0.49349999999999999"/>
    <d v="2026-04-09T00:00:00"/>
    <n v="324"/>
    <x v="2"/>
    <n v="128"/>
    <x v="0"/>
    <b v="1"/>
    <n v="20000"/>
  </r>
  <r>
    <s v="PROP00589"/>
    <x v="1"/>
    <x v="1"/>
    <x v="0"/>
    <n v="1374"/>
    <n v="50000000"/>
    <n v="36390"/>
    <n v="2"/>
    <n v="2"/>
    <n v="10"/>
    <s v="South-East"/>
    <s v="Elevator; Concierge; AC"/>
    <n v="3"/>
    <n v="5"/>
    <n v="197460"/>
    <n v="4.74"/>
    <s v="Luxury"/>
    <n v="0.48700000000000004"/>
    <d v="2024-09-30T00:00:00"/>
    <n v="319"/>
    <x v="0"/>
    <n v="146"/>
    <x v="1"/>
    <b v="0"/>
    <n v="100000"/>
  </r>
  <r>
    <s v="PROP00590"/>
    <x v="0"/>
    <x v="18"/>
    <x v="4"/>
    <n v="5763"/>
    <n v="10000000"/>
    <n v="1735"/>
    <n v="5"/>
    <n v="2"/>
    <n v="8"/>
    <s v="South-East"/>
    <s v="Concierge; AC; Elevator; Playground; Gym"/>
    <n v="5"/>
    <n v="4"/>
    <n v="29381"/>
    <n v="3.53"/>
    <s v="Premium"/>
    <n v="0.42630000000000001"/>
    <d v="2025-05-05T00:00:00"/>
    <n v="65"/>
    <x v="0"/>
    <n v="169"/>
    <x v="0"/>
    <b v="1"/>
    <n v="0"/>
  </r>
  <r>
    <s v="PROP00591"/>
    <x v="1"/>
    <x v="28"/>
    <x v="4"/>
    <n v="8838"/>
    <n v="50000000"/>
    <n v="5657"/>
    <n v="5"/>
    <n v="2"/>
    <n v="27"/>
    <s v="East"/>
    <s v="Security; Concierge; Library; Elevator; Gym"/>
    <n v="5"/>
    <n v="10"/>
    <n v="203437"/>
    <n v="4.88"/>
    <s v="Luxury"/>
    <n v="0.49409999999999998"/>
    <d v="2024-12-07T00:00:00"/>
    <n v="9"/>
    <x v="0"/>
    <n v="86"/>
    <x v="0"/>
    <b v="0"/>
    <n v="100000"/>
  </r>
  <r>
    <s v="PROP00592"/>
    <x v="4"/>
    <x v="12"/>
    <x v="4"/>
    <n v="3384"/>
    <n v="12000000"/>
    <n v="3546"/>
    <n v="6"/>
    <n v="4"/>
    <n v="17"/>
    <s v="South"/>
    <s v="AC; Parking; Playground; Pool"/>
    <n v="4"/>
    <n v="10"/>
    <n v="42698"/>
    <n v="4.2699999999999996"/>
    <s v="Premium"/>
    <n v="0.46350000000000002"/>
    <d v="2024-08-19T00:00:00"/>
    <n v="277"/>
    <x v="0"/>
    <n v="68"/>
    <x v="1"/>
    <b v="1"/>
    <n v="0"/>
  </r>
  <r>
    <s v="PROP00593"/>
    <x v="1"/>
    <x v="21"/>
    <x v="2"/>
    <n v="3096"/>
    <n v="50000000"/>
    <n v="16149"/>
    <n v="5"/>
    <n v="3"/>
    <n v="14"/>
    <s v="North-East"/>
    <s v="Parking; Security; Gym; Concierge; Elevator"/>
    <n v="5"/>
    <n v="4"/>
    <n v="186121"/>
    <n v="4.47"/>
    <s v="Luxury"/>
    <n v="0.4733"/>
    <d v="2024-09-13T00:00:00"/>
    <n v="72"/>
    <x v="1"/>
    <n v="135"/>
    <x v="0"/>
    <b v="0"/>
    <n v="100000"/>
  </r>
  <r>
    <s v="PROP00594"/>
    <x v="3"/>
    <x v="17"/>
    <x v="3"/>
    <n v="7292"/>
    <n v="30000000"/>
    <n v="4114"/>
    <n v="6"/>
    <n v="4"/>
    <n v="18"/>
    <s v="North-East"/>
    <s v="Garden; Playground; Pool; Concierge"/>
    <n v="4"/>
    <n v="5"/>
    <n v="95072"/>
    <n v="3.8"/>
    <s v="Luxury"/>
    <n v="0.44009999999999999"/>
    <d v="2024-09-22T00:00:00"/>
    <n v="228"/>
    <x v="1"/>
    <n v="82"/>
    <x v="0"/>
    <b v="0"/>
    <n v="0"/>
  </r>
  <r>
    <s v="PROP00595"/>
    <x v="1"/>
    <x v="23"/>
    <x v="0"/>
    <n v="2532"/>
    <n v="50000000"/>
    <n v="19747"/>
    <n v="3"/>
    <n v="1"/>
    <n v="24"/>
    <s v="North-West"/>
    <s v="Elevator; Concierge; Garden; Playground; AC; Parking; Gym; Security"/>
    <n v="8"/>
    <n v="4"/>
    <n v="198352"/>
    <n v="4.76"/>
    <s v="Luxury"/>
    <n v="0.48799999999999999"/>
    <d v="2025-05-30T00:00:00"/>
    <n v="131"/>
    <x v="1"/>
    <n v="127"/>
    <x v="0"/>
    <b v="0"/>
    <n v="0"/>
  </r>
  <r>
    <s v="PROP00596"/>
    <x v="4"/>
    <x v="6"/>
    <x v="1"/>
    <n v="399"/>
    <n v="12000000"/>
    <n v="30075"/>
    <n v="0"/>
    <n v="1"/>
    <n v="2"/>
    <s v="North"/>
    <s v="Elevator; Playground; Garden; Library; AC; Concierge; Security; Pool"/>
    <n v="8"/>
    <n v="9"/>
    <n v="47303"/>
    <n v="4.7300000000000004"/>
    <s v="Premium"/>
    <n v="0.48649999999999999"/>
    <d v="2025-08-01T00:00:00"/>
    <n v="129"/>
    <x v="2"/>
    <n v="100"/>
    <x v="1"/>
    <b v="0"/>
    <n v="0"/>
  </r>
  <r>
    <s v="PROP00597"/>
    <x v="5"/>
    <x v="11"/>
    <x v="0"/>
    <n v="814"/>
    <n v="40000000"/>
    <n v="49140"/>
    <n v="4"/>
    <n v="2"/>
    <n v="18"/>
    <s v="South-West"/>
    <s v="Garden; Library; Security; Gym; Playground; Elevator"/>
    <n v="6"/>
    <n v="8"/>
    <n v="158026"/>
    <n v="4.74"/>
    <s v="Luxury"/>
    <n v="0.48700000000000004"/>
    <d v="2024-06-30T00:00:00"/>
    <n v="303"/>
    <x v="0"/>
    <n v="57"/>
    <x v="0"/>
    <b v="1"/>
    <n v="80000"/>
  </r>
  <r>
    <s v="PROP00598"/>
    <x v="3"/>
    <x v="3"/>
    <x v="4"/>
    <n v="8510"/>
    <n v="30000000"/>
    <n v="3525"/>
    <n v="6"/>
    <n v="4"/>
    <n v="26"/>
    <s v="North"/>
    <s v="Gym; Playground; Concierge; Library; Garden; Security"/>
    <n v="6"/>
    <n v="7"/>
    <n v="115658"/>
    <n v="4.63"/>
    <s v="Luxury"/>
    <n v="0.48130000000000001"/>
    <d v="2024-08-09T00:00:00"/>
    <n v="111"/>
    <x v="2"/>
    <n v="36"/>
    <x v="0"/>
    <b v="1"/>
    <n v="0"/>
  </r>
  <r>
    <s v="PROP00599"/>
    <x v="1"/>
    <x v="24"/>
    <x v="1"/>
    <n v="264"/>
    <n v="48545647"/>
    <n v="183885"/>
    <n v="1"/>
    <n v="2"/>
    <n v="11"/>
    <s v="North-East"/>
    <s v="Playground; Elevator; Garden; Parking; Concierge; Gym; Library; Pool"/>
    <n v="8"/>
    <n v="8"/>
    <n v="134357"/>
    <n v="3.32"/>
    <s v="Luxury"/>
    <n v="0.41609999999999997"/>
    <d v="2024-10-20T00:00:00"/>
    <n v="206"/>
    <x v="2"/>
    <n v="112"/>
    <x v="1"/>
    <b v="1"/>
    <n v="0"/>
  </r>
  <r>
    <s v="PROP00600"/>
    <x v="1"/>
    <x v="24"/>
    <x v="2"/>
    <n v="4024"/>
    <n v="50000000"/>
    <n v="12425"/>
    <n v="3"/>
    <n v="2"/>
    <n v="26"/>
    <s v="North-West"/>
    <s v="Pool; Elevator; Library; Parking; Security"/>
    <n v="5"/>
    <n v="9"/>
    <n v="188047"/>
    <n v="4.51"/>
    <s v="Luxury"/>
    <n v="0.47570000000000001"/>
    <d v="2025-10-19T00:00:00"/>
    <n v="180"/>
    <x v="0"/>
    <n v="154"/>
    <x v="1"/>
    <b v="0"/>
    <n v="0"/>
  </r>
  <r>
    <s v="PROP00601"/>
    <x v="3"/>
    <x v="15"/>
    <x v="2"/>
    <n v="1565"/>
    <n v="30000000"/>
    <n v="19169"/>
    <n v="2"/>
    <n v="1"/>
    <n v="18"/>
    <s v="East"/>
    <s v="AC; Elevator; Security; Library; Concierge"/>
    <n v="5"/>
    <n v="9"/>
    <n v="109781"/>
    <n v="4.3899999999999997"/>
    <s v="Luxury"/>
    <n v="0.46960000000000002"/>
    <d v="2025-10-23T00:00:00"/>
    <n v="135"/>
    <x v="0"/>
    <n v="133"/>
    <x v="0"/>
    <b v="0"/>
    <n v="0"/>
  </r>
  <r>
    <s v="PROP00602"/>
    <x v="2"/>
    <x v="32"/>
    <x v="1"/>
    <n v="303"/>
    <n v="15000000"/>
    <n v="49504"/>
    <n v="1"/>
    <n v="1"/>
    <n v="10"/>
    <s v="East"/>
    <s v="Concierge; Gym; Garden; Security"/>
    <n v="4"/>
    <n v="9"/>
    <n v="44344"/>
    <n v="3.55"/>
    <s v="Premium"/>
    <n v="0.4274"/>
    <d v="2024-12-24T00:00:00"/>
    <n v="126"/>
    <x v="0"/>
    <n v="86"/>
    <x v="0"/>
    <b v="0"/>
    <n v="30000"/>
  </r>
  <r>
    <s v="PROP00603"/>
    <x v="3"/>
    <x v="35"/>
    <x v="2"/>
    <n v="2498"/>
    <n v="30000000"/>
    <n v="12009"/>
    <n v="2"/>
    <n v="2"/>
    <n v="26"/>
    <s v="South-West"/>
    <s v="Library; AC; Garden; Concierge; Pool; Security"/>
    <n v="6"/>
    <n v="9"/>
    <n v="119430"/>
    <n v="4.78"/>
    <s v="Luxury"/>
    <n v="0.4889"/>
    <d v="2025-04-13T00:00:00"/>
    <n v="135"/>
    <x v="2"/>
    <n v="123"/>
    <x v="1"/>
    <b v="0"/>
    <n v="0"/>
  </r>
  <r>
    <s v="PROP00604"/>
    <x v="3"/>
    <x v="3"/>
    <x v="4"/>
    <n v="5925"/>
    <n v="30000000"/>
    <n v="5063"/>
    <n v="4"/>
    <n v="2"/>
    <n v="10"/>
    <s v="West"/>
    <s v="Garden; AC; Parking; Gym; Security; Elevator; Concierge; Library"/>
    <n v="8"/>
    <n v="10"/>
    <n v="110878"/>
    <n v="4.4400000000000004"/>
    <s v="Luxury"/>
    <n v="0.4718"/>
    <d v="2024-07-23T00:00:00"/>
    <n v="239"/>
    <x v="1"/>
    <n v="87"/>
    <x v="1"/>
    <b v="1"/>
    <n v="0"/>
  </r>
  <r>
    <s v="PROP00605"/>
    <x v="4"/>
    <x v="30"/>
    <x v="1"/>
    <n v="552"/>
    <n v="12000000"/>
    <n v="21739"/>
    <n v="1"/>
    <n v="1"/>
    <n v="30"/>
    <s v="North"/>
    <s v="Gym; AC; Concierge; Security"/>
    <n v="4"/>
    <n v="9"/>
    <n v="39532"/>
    <n v="3.95"/>
    <s v="Premium"/>
    <n v="0.44770000000000004"/>
    <d v="2024-05-21T00:00:00"/>
    <n v="34"/>
    <x v="0"/>
    <n v="120"/>
    <x v="1"/>
    <b v="0"/>
    <n v="24000"/>
  </r>
  <r>
    <s v="PROP00606"/>
    <x v="0"/>
    <x v="9"/>
    <x v="1"/>
    <n v="470"/>
    <n v="10000000"/>
    <n v="21276"/>
    <n v="0"/>
    <n v="2"/>
    <n v="6"/>
    <s v="South-East"/>
    <s v="Concierge; Security; AC; Parking; Pool; Elevator; Garden; Gym"/>
    <n v="8"/>
    <n v="6"/>
    <n v="41181"/>
    <n v="4.9400000000000004"/>
    <s v="Premium"/>
    <n v="0.49709999999999999"/>
    <d v="2026-03-21T00:00:00"/>
    <n v="62"/>
    <x v="2"/>
    <n v="180"/>
    <x v="0"/>
    <b v="1"/>
    <n v="0"/>
  </r>
  <r>
    <s v="PROP00607"/>
    <x v="0"/>
    <x v="34"/>
    <x v="3"/>
    <n v="4038"/>
    <n v="10000000"/>
    <n v="2476"/>
    <n v="4"/>
    <n v="2"/>
    <n v="0"/>
    <s v="South-West"/>
    <s v="Concierge; Pool; Playground; Gym; Library; Garden; Security; AC"/>
    <n v="8"/>
    <n v="6"/>
    <n v="27308"/>
    <n v="3.28"/>
    <s v="Premium"/>
    <n v="0.4138"/>
    <d v="2025-05-28T00:00:00"/>
    <n v="91"/>
    <x v="0"/>
    <n v="120"/>
    <x v="1"/>
    <b v="0"/>
    <n v="0"/>
  </r>
  <r>
    <s v="PROP00608"/>
    <x v="1"/>
    <x v="1"/>
    <x v="2"/>
    <n v="3144"/>
    <n v="50000000"/>
    <n v="15903"/>
    <n v="3"/>
    <n v="1"/>
    <n v="11"/>
    <s v="North"/>
    <s v="Pool; Playground; Concierge; Library; Gym; Security; Parking; AC"/>
    <n v="8"/>
    <n v="4"/>
    <n v="129928"/>
    <n v="3.12"/>
    <s v="Luxury"/>
    <n v="0.40590000000000004"/>
    <d v="2025-04-27T00:00:00"/>
    <n v="7"/>
    <x v="0"/>
    <n v="165"/>
    <x v="0"/>
    <b v="0"/>
    <n v="0"/>
  </r>
  <r>
    <s v="PROP00609"/>
    <x v="5"/>
    <x v="11"/>
    <x v="4"/>
    <n v="7615"/>
    <n v="40000000"/>
    <n v="5252"/>
    <n v="5"/>
    <n v="2"/>
    <n v="30"/>
    <s v="West"/>
    <s v="Garden; Concierge; Parking; Security"/>
    <n v="4"/>
    <n v="8"/>
    <n v="106464"/>
    <n v="3.19"/>
    <s v="Luxury"/>
    <n v="0.40970000000000001"/>
    <d v="2024-06-14T00:00:00"/>
    <n v="294"/>
    <x v="1"/>
    <n v="125"/>
    <x v="0"/>
    <b v="0"/>
    <n v="80000"/>
  </r>
  <r>
    <s v="PROP00610"/>
    <x v="4"/>
    <x v="6"/>
    <x v="1"/>
    <n v="265"/>
    <n v="12000000"/>
    <n v="45283"/>
    <n v="0"/>
    <n v="1"/>
    <n v="25"/>
    <s v="East"/>
    <s v="Security; Pool; Playground; Concierge; AC"/>
    <n v="5"/>
    <n v="8"/>
    <n v="39953"/>
    <n v="4"/>
    <s v="Premium"/>
    <n v="0.44979999999999998"/>
    <d v="2024-09-04T00:00:00"/>
    <n v="233"/>
    <x v="0"/>
    <n v="116"/>
    <x v="1"/>
    <b v="0"/>
    <n v="24000"/>
  </r>
  <r>
    <s v="PROP00611"/>
    <x v="0"/>
    <x v="9"/>
    <x v="0"/>
    <n v="1785"/>
    <n v="10000000"/>
    <n v="5602"/>
    <n v="2"/>
    <n v="2"/>
    <n v="4"/>
    <s v="South-East"/>
    <s v="Concierge; Garden; Library; Gym"/>
    <n v="4"/>
    <n v="9"/>
    <n v="41372"/>
    <n v="4.96"/>
    <s v="Premium"/>
    <n v="0.49819999999999998"/>
    <d v="2025-01-08T00:00:00"/>
    <n v="267"/>
    <x v="2"/>
    <n v="55"/>
    <x v="0"/>
    <b v="0"/>
    <n v="0"/>
  </r>
  <r>
    <s v="PROP00612"/>
    <x v="4"/>
    <x v="29"/>
    <x v="3"/>
    <n v="4314"/>
    <n v="12000000"/>
    <n v="2781"/>
    <n v="5"/>
    <n v="2"/>
    <n v="14"/>
    <s v="South-West"/>
    <s v="Security; Library; AC; Garden"/>
    <n v="4"/>
    <n v="7"/>
    <n v="30476"/>
    <n v="3.05"/>
    <s v="Premium"/>
    <n v="0.40240000000000004"/>
    <d v="2026-01-28T00:00:00"/>
    <n v="157"/>
    <x v="0"/>
    <n v="129"/>
    <x v="1"/>
    <b v="0"/>
    <n v="24000"/>
  </r>
  <r>
    <s v="PROP00613"/>
    <x v="4"/>
    <x v="4"/>
    <x v="3"/>
    <n v="2730"/>
    <n v="12000000"/>
    <n v="4395"/>
    <n v="5"/>
    <n v="2"/>
    <n v="20"/>
    <s v="South-West"/>
    <s v="Gym; AC; Elevator; Concierge; Parking"/>
    <n v="5"/>
    <n v="9"/>
    <n v="49283"/>
    <n v="4.93"/>
    <s v="Premium"/>
    <n v="0.49640000000000001"/>
    <d v="2026-03-22T00:00:00"/>
    <n v="261"/>
    <x v="2"/>
    <n v="141"/>
    <x v="0"/>
    <b v="0"/>
    <n v="24000"/>
  </r>
  <r>
    <s v="PROP00614"/>
    <x v="3"/>
    <x v="35"/>
    <x v="1"/>
    <n v="345"/>
    <n v="26749649"/>
    <n v="77535"/>
    <n v="0"/>
    <n v="2"/>
    <n v="2"/>
    <s v="South-West"/>
    <s v="Garden; Concierge; Elevator; Security; Playground; Library; Gym; AC"/>
    <n v="8"/>
    <n v="5"/>
    <n v="97609"/>
    <n v="4.38"/>
    <s v="Luxury"/>
    <n v="0.46889999999999998"/>
    <d v="2025-07-21T00:00:00"/>
    <n v="91"/>
    <x v="0"/>
    <n v="114"/>
    <x v="1"/>
    <b v="1"/>
    <n v="0"/>
  </r>
  <r>
    <s v="PROP00615"/>
    <x v="2"/>
    <x v="26"/>
    <x v="3"/>
    <n v="3160"/>
    <n v="15000000"/>
    <n v="4746"/>
    <n v="4"/>
    <n v="3"/>
    <n v="28"/>
    <s v="South-West"/>
    <s v="Elevator; Security; Garden; Playground; Library; Parking"/>
    <n v="6"/>
    <n v="10"/>
    <n v="47897"/>
    <n v="3.83"/>
    <s v="Premium"/>
    <n v="0.44159999999999999"/>
    <d v="2025-03-17T00:00:00"/>
    <n v="250"/>
    <x v="0"/>
    <n v="78"/>
    <x v="1"/>
    <b v="1"/>
    <n v="0"/>
  </r>
  <r>
    <s v="PROP00616"/>
    <x v="1"/>
    <x v="23"/>
    <x v="1"/>
    <n v="315"/>
    <n v="42034728"/>
    <n v="133443"/>
    <n v="0"/>
    <n v="1"/>
    <n v="20"/>
    <s v="South"/>
    <s v="Pool; Parking; Concierge"/>
    <n v="3"/>
    <n v="9"/>
    <n v="128022"/>
    <n v="3.65"/>
    <s v="Luxury"/>
    <n v="0.43270000000000003"/>
    <d v="2025-08-25T00:00:00"/>
    <n v="146"/>
    <x v="1"/>
    <n v="131"/>
    <x v="1"/>
    <b v="0"/>
    <n v="0"/>
  </r>
  <r>
    <s v="PROP00617"/>
    <x v="1"/>
    <x v="28"/>
    <x v="1"/>
    <n v="353"/>
    <n v="48216090"/>
    <n v="136589"/>
    <n v="0"/>
    <n v="2"/>
    <n v="6"/>
    <s v="South"/>
    <s v="AC; Gym; Concierge; Garden"/>
    <n v="4"/>
    <n v="10"/>
    <n v="123596"/>
    <n v="3.08"/>
    <s v="Luxury"/>
    <n v="0.40380000000000005"/>
    <d v="2025-04-12T00:00:00"/>
    <n v="124"/>
    <x v="0"/>
    <n v="47"/>
    <x v="1"/>
    <b v="0"/>
    <n v="0"/>
  </r>
  <r>
    <s v="PROP00618"/>
    <x v="0"/>
    <x v="34"/>
    <x v="1"/>
    <n v="555"/>
    <n v="10000000"/>
    <n v="18018"/>
    <n v="0"/>
    <n v="1"/>
    <n v="24"/>
    <s v="South-East"/>
    <s v="Playground; Gym; AC; Pool"/>
    <n v="4"/>
    <n v="5"/>
    <n v="29180"/>
    <n v="3.5"/>
    <s v="Premium"/>
    <n v="0.42509999999999998"/>
    <d v="2025-11-16T00:00:00"/>
    <n v="201"/>
    <x v="0"/>
    <n v="44"/>
    <x v="1"/>
    <b v="1"/>
    <n v="0"/>
  </r>
  <r>
    <s v="PROP00619"/>
    <x v="4"/>
    <x v="4"/>
    <x v="3"/>
    <n v="3507"/>
    <n v="12000000"/>
    <n v="3421"/>
    <n v="4"/>
    <n v="3"/>
    <n v="21"/>
    <s v="East"/>
    <s v="Concierge; Gym; Elevator; AC; Pool; Security; Parking; Garden"/>
    <n v="8"/>
    <n v="4"/>
    <n v="49283"/>
    <n v="4.93"/>
    <s v="Premium"/>
    <n v="0.49640000000000001"/>
    <d v="2026-03-17T00:00:00"/>
    <n v="266"/>
    <x v="0"/>
    <n v="134"/>
    <x v="0"/>
    <b v="1"/>
    <n v="0"/>
  </r>
  <r>
    <s v="PROP00620"/>
    <x v="5"/>
    <x v="11"/>
    <x v="3"/>
    <n v="2850"/>
    <n v="40000000"/>
    <n v="14035"/>
    <n v="4"/>
    <n v="2"/>
    <n v="12"/>
    <s v="South"/>
    <s v="Elevator; Gym; Library"/>
    <n v="3"/>
    <n v="4"/>
    <n v="150811"/>
    <n v="4.5199999999999996"/>
    <s v="Luxury"/>
    <n v="0.47619999999999996"/>
    <d v="2026-04-08T00:00:00"/>
    <n v="333"/>
    <x v="0"/>
    <n v="35"/>
    <x v="1"/>
    <b v="0"/>
    <n v="0"/>
  </r>
  <r>
    <s v="PROP00621"/>
    <x v="0"/>
    <x v="9"/>
    <x v="1"/>
    <n v="480"/>
    <n v="10000000"/>
    <n v="20833"/>
    <n v="0"/>
    <n v="2"/>
    <n v="19"/>
    <s v="South-East"/>
    <s v="Playground; Concierge; AC; Pool; Garden"/>
    <n v="5"/>
    <n v="7"/>
    <n v="29781"/>
    <n v="3.57"/>
    <s v="Premium"/>
    <n v="0.42869999999999997"/>
    <d v="2025-11-17T00:00:00"/>
    <n v="83"/>
    <x v="1"/>
    <n v="95"/>
    <x v="1"/>
    <b v="1"/>
    <n v="0"/>
  </r>
  <r>
    <s v="PROP00622"/>
    <x v="5"/>
    <x v="10"/>
    <x v="0"/>
    <n v="2283"/>
    <n v="40000000"/>
    <n v="17520"/>
    <n v="4"/>
    <n v="2"/>
    <n v="12"/>
    <s v="South-West"/>
    <s v="Playground; Garden; Library; AC"/>
    <n v="4"/>
    <n v="6"/>
    <n v="130154"/>
    <n v="3.9"/>
    <s v="Luxury"/>
    <n v="0.44520000000000004"/>
    <d v="2025-04-12T00:00:00"/>
    <n v="341"/>
    <x v="0"/>
    <n v="113"/>
    <x v="1"/>
    <b v="1"/>
    <n v="80000"/>
  </r>
  <r>
    <s v="PROP00623"/>
    <x v="3"/>
    <x v="15"/>
    <x v="3"/>
    <n v="6656"/>
    <n v="30000000"/>
    <n v="4507"/>
    <n v="4"/>
    <n v="3"/>
    <n v="28"/>
    <s v="South-West"/>
    <s v="AC; Library; Playground; Concierge; Parking; Pool"/>
    <n v="6"/>
    <n v="10"/>
    <n v="80432"/>
    <n v="3.22"/>
    <s v="Luxury"/>
    <n v="0.41090000000000004"/>
    <d v="2024-07-16T00:00:00"/>
    <n v="27"/>
    <x v="0"/>
    <n v="135"/>
    <x v="0"/>
    <b v="1"/>
    <n v="0"/>
  </r>
  <r>
    <s v="PROP00624"/>
    <x v="4"/>
    <x v="6"/>
    <x v="1"/>
    <n v="514"/>
    <n v="12000000"/>
    <n v="23346"/>
    <n v="1"/>
    <n v="1"/>
    <n v="30"/>
    <s v="North-East"/>
    <s v="Gym; Garden; Library; Security; Playground; Pool"/>
    <n v="6"/>
    <n v="8"/>
    <n v="43612"/>
    <n v="4.3600000000000003"/>
    <s v="Premium"/>
    <n v="0.46810000000000002"/>
    <d v="2025-12-06T00:00:00"/>
    <n v="78"/>
    <x v="2"/>
    <n v="80"/>
    <x v="1"/>
    <b v="0"/>
    <n v="0"/>
  </r>
  <r>
    <s v="PROP00625"/>
    <x v="3"/>
    <x v="27"/>
    <x v="3"/>
    <n v="5986"/>
    <n v="30000000"/>
    <n v="5011"/>
    <n v="5"/>
    <n v="2"/>
    <n v="21"/>
    <s v="North"/>
    <s v="Pool; Elevator; Gym"/>
    <n v="3"/>
    <n v="6"/>
    <n v="118473"/>
    <n v="4.74"/>
    <s v="Luxury"/>
    <n v="0.4869"/>
    <d v="2025-06-09T00:00:00"/>
    <n v="104"/>
    <x v="1"/>
    <n v="121"/>
    <x v="0"/>
    <b v="1"/>
    <n v="0"/>
  </r>
  <r>
    <s v="PROP00626"/>
    <x v="1"/>
    <x v="24"/>
    <x v="4"/>
    <n v="5584"/>
    <n v="50000000"/>
    <n v="8954"/>
    <n v="6"/>
    <n v="4"/>
    <n v="15"/>
    <s v="East"/>
    <s v="Parking; Security; AC; Gym; Concierge"/>
    <n v="5"/>
    <n v="8"/>
    <n v="137668"/>
    <n v="3.3"/>
    <s v="Luxury"/>
    <n v="0.41520000000000001"/>
    <d v="2025-03-15T00:00:00"/>
    <n v="82"/>
    <x v="0"/>
    <n v="134"/>
    <x v="1"/>
    <b v="0"/>
    <n v="100000"/>
  </r>
  <r>
    <s v="PROP00627"/>
    <x v="1"/>
    <x v="23"/>
    <x v="3"/>
    <n v="5644"/>
    <n v="50000000"/>
    <n v="8858"/>
    <n v="3"/>
    <n v="1"/>
    <n v="4"/>
    <s v="South-East"/>
    <s v="Concierge; Library; Elevator; Pool; Gym; Security"/>
    <n v="6"/>
    <n v="4"/>
    <n v="173740"/>
    <n v="4.17"/>
    <s v="Luxury"/>
    <n v="0.45850000000000002"/>
    <d v="2025-11-09T00:00:00"/>
    <n v="344"/>
    <x v="0"/>
    <n v="155"/>
    <x v="1"/>
    <b v="0"/>
    <n v="100000"/>
  </r>
  <r>
    <s v="PROP00628"/>
    <x v="5"/>
    <x v="11"/>
    <x v="3"/>
    <n v="3105"/>
    <n v="40000000"/>
    <n v="12882"/>
    <n v="5"/>
    <n v="3"/>
    <n v="29"/>
    <s v="South"/>
    <s v="Pool; Garden; Playground; Parking"/>
    <n v="4"/>
    <n v="8"/>
    <n v="165571"/>
    <n v="4.97"/>
    <s v="Luxury"/>
    <n v="0.49840000000000001"/>
    <d v="2024-12-24T00:00:00"/>
    <n v="87"/>
    <x v="0"/>
    <n v="136"/>
    <x v="1"/>
    <b v="0"/>
    <n v="80000"/>
  </r>
  <r>
    <s v="PROP00629"/>
    <x v="4"/>
    <x v="31"/>
    <x v="4"/>
    <n v="3192"/>
    <n v="12000000"/>
    <n v="3759"/>
    <n v="5"/>
    <n v="3"/>
    <n v="28"/>
    <s v="North-West"/>
    <s v="Gym; Garden; Security; Parking"/>
    <n v="4"/>
    <n v="10"/>
    <n v="36750"/>
    <n v="3.67"/>
    <s v="Premium"/>
    <n v="0.43380000000000002"/>
    <d v="2025-08-08T00:00:00"/>
    <n v="338"/>
    <x v="2"/>
    <n v="147"/>
    <x v="0"/>
    <b v="0"/>
    <n v="24000"/>
  </r>
  <r>
    <s v="PROP00630"/>
    <x v="3"/>
    <x v="5"/>
    <x v="0"/>
    <n v="2749"/>
    <n v="30000000"/>
    <n v="10913"/>
    <n v="1"/>
    <n v="2"/>
    <n v="12"/>
    <s v="North-East"/>
    <s v="Concierge; Library; AC; Gym"/>
    <n v="4"/>
    <n v="10"/>
    <n v="91781"/>
    <n v="3.67"/>
    <s v="Luxury"/>
    <n v="0.43359999999999999"/>
    <d v="2024-12-06T00:00:00"/>
    <n v="209"/>
    <x v="1"/>
    <n v="138"/>
    <x v="1"/>
    <b v="1"/>
    <n v="0"/>
  </r>
  <r>
    <s v="PROP00631"/>
    <x v="0"/>
    <x v="18"/>
    <x v="4"/>
    <n v="4580"/>
    <n v="10000000"/>
    <n v="2183"/>
    <n v="5"/>
    <n v="3"/>
    <n v="8"/>
    <s v="South"/>
    <s v="Concierge; Pool; Playground"/>
    <n v="3"/>
    <n v="5"/>
    <n v="27142"/>
    <n v="3.26"/>
    <s v="Premium"/>
    <n v="0.41289999999999999"/>
    <d v="2026-01-25T00:00:00"/>
    <n v="34"/>
    <x v="0"/>
    <n v="125"/>
    <x v="0"/>
    <b v="1"/>
    <n v="20000"/>
  </r>
  <r>
    <s v="PROP00632"/>
    <x v="1"/>
    <x v="28"/>
    <x v="0"/>
    <n v="1797"/>
    <n v="50000000"/>
    <n v="27824"/>
    <n v="1"/>
    <n v="1"/>
    <n v="18"/>
    <s v="South"/>
    <s v="Concierge; Playground; Pool; Security; Gym; AC; Elevator; Library"/>
    <n v="8"/>
    <n v="10"/>
    <n v="184854"/>
    <n v="4.4400000000000004"/>
    <s v="Luxury"/>
    <n v="0.4718"/>
    <d v="2026-02-10T00:00:00"/>
    <n v="108"/>
    <x v="0"/>
    <n v="89"/>
    <x v="0"/>
    <b v="1"/>
    <n v="0"/>
  </r>
  <r>
    <s v="PROP00633"/>
    <x v="5"/>
    <x v="19"/>
    <x v="4"/>
    <n v="4578"/>
    <n v="40000000"/>
    <n v="8737"/>
    <n v="5"/>
    <n v="2"/>
    <n v="22"/>
    <s v="North"/>
    <s v="Elevator; Parking; Concierge; AC; Playground; Security"/>
    <n v="6"/>
    <n v="5"/>
    <n v="133838"/>
    <n v="4.0199999999999996"/>
    <s v="Luxury"/>
    <n v="0.45079999999999998"/>
    <d v="2026-02-22T00:00:00"/>
    <n v="74"/>
    <x v="0"/>
    <n v="97"/>
    <x v="0"/>
    <b v="1"/>
    <n v="80000"/>
  </r>
  <r>
    <s v="PROP00634"/>
    <x v="3"/>
    <x v="15"/>
    <x v="2"/>
    <n v="4597"/>
    <n v="30000000"/>
    <n v="6525"/>
    <n v="3"/>
    <n v="1"/>
    <n v="12"/>
    <s v="North-East"/>
    <s v="Elevator; Security; Library; AC; Playground; Parking; Pool; Garden"/>
    <n v="8"/>
    <n v="9"/>
    <n v="111772"/>
    <n v="4.47"/>
    <s v="Luxury"/>
    <n v="0.47350000000000003"/>
    <d v="2024-11-17T00:00:00"/>
    <n v="145"/>
    <x v="0"/>
    <n v="94"/>
    <x v="0"/>
    <b v="1"/>
    <n v="60000"/>
  </r>
  <r>
    <s v="PROP00635"/>
    <x v="1"/>
    <x v="21"/>
    <x v="2"/>
    <n v="4502"/>
    <n v="50000000"/>
    <n v="11106"/>
    <n v="2"/>
    <n v="2"/>
    <n v="2"/>
    <s v="North-East"/>
    <s v="Concierge; Gym; Pool; Parking; Security; Library; AC; Playground"/>
    <n v="8"/>
    <n v="7"/>
    <n v="151588"/>
    <n v="3.64"/>
    <s v="Luxury"/>
    <n v="0.43189999999999995"/>
    <d v="2025-05-13T00:00:00"/>
    <n v="256"/>
    <x v="2"/>
    <n v="124"/>
    <x v="1"/>
    <b v="0"/>
    <n v="0"/>
  </r>
  <r>
    <s v="PROP00636"/>
    <x v="4"/>
    <x v="29"/>
    <x v="3"/>
    <n v="3868"/>
    <n v="12000000"/>
    <n v="3102"/>
    <n v="4"/>
    <n v="2"/>
    <n v="22"/>
    <s v="North-West"/>
    <s v="Library; Concierge; AC; Parking; Garden"/>
    <n v="5"/>
    <n v="10"/>
    <n v="39287"/>
    <n v="3.93"/>
    <s v="Premium"/>
    <n v="0.44640000000000002"/>
    <d v="2025-12-09T00:00:00"/>
    <n v="215"/>
    <x v="0"/>
    <n v="128"/>
    <x v="0"/>
    <b v="1"/>
    <n v="0"/>
  </r>
  <r>
    <s v="PROP00637"/>
    <x v="2"/>
    <x v="33"/>
    <x v="3"/>
    <n v="5272"/>
    <n v="15000000"/>
    <n v="2845"/>
    <n v="5"/>
    <n v="2"/>
    <n v="13"/>
    <s v="East"/>
    <s v="Parking; Elevator; AC; Pool; Gym; Playground; Garden; Library"/>
    <n v="8"/>
    <n v="6"/>
    <n v="42443"/>
    <n v="3.4"/>
    <s v="Premium"/>
    <n v="0.41979999999999995"/>
    <d v="2024-12-21T00:00:00"/>
    <n v="143"/>
    <x v="0"/>
    <n v="170"/>
    <x v="0"/>
    <b v="1"/>
    <n v="0"/>
  </r>
  <r>
    <s v="PROP00638"/>
    <x v="4"/>
    <x v="29"/>
    <x v="1"/>
    <n v="471"/>
    <n v="12000000"/>
    <n v="25477"/>
    <n v="1"/>
    <n v="1"/>
    <n v="15"/>
    <s v="West"/>
    <s v="Gym; Playground; Pool; Elevator; Parking; Garden; AC; Library"/>
    <n v="8"/>
    <n v="4"/>
    <n v="39884"/>
    <n v="3.99"/>
    <s v="Premium"/>
    <n v="0.44939999999999997"/>
    <d v="2025-10-05T00:00:00"/>
    <n v="324"/>
    <x v="0"/>
    <n v="108"/>
    <x v="0"/>
    <b v="0"/>
    <n v="0"/>
  </r>
  <r>
    <s v="PROP00639"/>
    <x v="0"/>
    <x v="9"/>
    <x v="1"/>
    <n v="563"/>
    <n v="10000000"/>
    <n v="17761"/>
    <n v="0"/>
    <n v="1"/>
    <n v="16"/>
    <s v="North-West"/>
    <s v="Playground; Elevator; Parking; Concierge; Security"/>
    <n v="5"/>
    <n v="6"/>
    <n v="32451"/>
    <n v="3.89"/>
    <s v="Premium"/>
    <n v="0.44469999999999998"/>
    <d v="2025-03-13T00:00:00"/>
    <n v="161"/>
    <x v="0"/>
    <n v="89"/>
    <x v="1"/>
    <b v="0"/>
    <n v="0"/>
  </r>
  <r>
    <s v="PROP00640"/>
    <x v="4"/>
    <x v="31"/>
    <x v="3"/>
    <n v="3041"/>
    <n v="12000000"/>
    <n v="3946"/>
    <n v="5"/>
    <n v="2"/>
    <n v="22"/>
    <s v="South-East"/>
    <s v="Elevator; Garden; AC; Concierge; Security; Library; Gym"/>
    <n v="7"/>
    <n v="4"/>
    <n v="31911"/>
    <n v="3.19"/>
    <s v="Premium"/>
    <n v="0.40960000000000002"/>
    <d v="2025-12-14T00:00:00"/>
    <n v="252"/>
    <x v="2"/>
    <n v="165"/>
    <x v="1"/>
    <b v="0"/>
    <n v="24000"/>
  </r>
  <r>
    <s v="PROP00641"/>
    <x v="2"/>
    <x v="2"/>
    <x v="3"/>
    <n v="4262"/>
    <n v="15000000"/>
    <n v="3519"/>
    <n v="4"/>
    <n v="3"/>
    <n v="27"/>
    <s v="North"/>
    <s v="Concierge; Garden; AC"/>
    <n v="3"/>
    <n v="10"/>
    <n v="58120"/>
    <n v="4.6500000000000004"/>
    <s v="Premium"/>
    <n v="0.48249999999999998"/>
    <d v="2025-01-05T00:00:00"/>
    <n v="164"/>
    <x v="0"/>
    <n v="99"/>
    <x v="1"/>
    <b v="0"/>
    <n v="30000"/>
  </r>
  <r>
    <s v="PROP00642"/>
    <x v="0"/>
    <x v="34"/>
    <x v="4"/>
    <n v="7956"/>
    <n v="10000000"/>
    <n v="1256"/>
    <n v="4"/>
    <n v="3"/>
    <n v="23"/>
    <s v="West"/>
    <s v="Garden; AC; Security"/>
    <n v="3"/>
    <n v="5"/>
    <n v="32049"/>
    <n v="3.85"/>
    <s v="Premium"/>
    <n v="0.44229999999999997"/>
    <d v="2026-05-03T00:00:00"/>
    <n v="152"/>
    <x v="0"/>
    <n v="66"/>
    <x v="0"/>
    <b v="1"/>
    <n v="0"/>
  </r>
  <r>
    <s v="PROP00643"/>
    <x v="1"/>
    <x v="24"/>
    <x v="1"/>
    <n v="325"/>
    <n v="50000000"/>
    <n v="153846"/>
    <n v="1"/>
    <n v="2"/>
    <n v="17"/>
    <s v="North-East"/>
    <s v="Elevator; Concierge; Playground; Gym"/>
    <n v="4"/>
    <n v="5"/>
    <n v="141481"/>
    <n v="3.4"/>
    <s v="Luxury"/>
    <n v="0.41979999999999995"/>
    <d v="2024-08-31T00:00:00"/>
    <n v="66"/>
    <x v="0"/>
    <n v="180"/>
    <x v="1"/>
    <b v="1"/>
    <n v="100000"/>
  </r>
  <r>
    <s v="PROP00644"/>
    <x v="1"/>
    <x v="24"/>
    <x v="4"/>
    <n v="6908"/>
    <n v="50000000"/>
    <n v="7237"/>
    <n v="5"/>
    <n v="2"/>
    <n v="10"/>
    <s v="South-East"/>
    <s v="Library; AC; Gym; Playground; Garden; Parking; Elevator; Concierge"/>
    <n v="8"/>
    <n v="8"/>
    <n v="188377"/>
    <n v="4.5199999999999996"/>
    <s v="Luxury"/>
    <n v="0.47609999999999997"/>
    <d v="2024-07-24T00:00:00"/>
    <n v="21"/>
    <x v="0"/>
    <n v="175"/>
    <x v="0"/>
    <b v="1"/>
    <n v="0"/>
  </r>
  <r>
    <s v="PROP00645"/>
    <x v="1"/>
    <x v="28"/>
    <x v="3"/>
    <n v="3241"/>
    <n v="50000000"/>
    <n v="15427"/>
    <n v="3"/>
    <n v="1"/>
    <n v="30"/>
    <s v="South"/>
    <s v="Garden; Pool; Playground; Parking; Library; Gym; Elevator; AC"/>
    <n v="8"/>
    <n v="10"/>
    <n v="170425"/>
    <n v="4.09"/>
    <s v="Luxury"/>
    <n v="0.45450000000000002"/>
    <d v="2024-11-23T00:00:00"/>
    <n v="356"/>
    <x v="0"/>
    <n v="131"/>
    <x v="0"/>
    <b v="1"/>
    <n v="100000"/>
  </r>
  <r>
    <s v="PROP00646"/>
    <x v="2"/>
    <x v="32"/>
    <x v="0"/>
    <n v="1468"/>
    <n v="15000000"/>
    <n v="10217"/>
    <n v="2"/>
    <n v="1"/>
    <n v="1"/>
    <s v="North"/>
    <s v="AC; Gym; Elevator; Playground; Library; Pool; Garden; Concierge"/>
    <n v="8"/>
    <n v="5"/>
    <n v="43316"/>
    <n v="3.47"/>
    <s v="Premium"/>
    <n v="0.42330000000000001"/>
    <d v="2025-12-09T00:00:00"/>
    <n v="164"/>
    <x v="1"/>
    <n v="158"/>
    <x v="1"/>
    <b v="0"/>
    <n v="0"/>
  </r>
  <r>
    <s v="PROP00647"/>
    <x v="1"/>
    <x v="20"/>
    <x v="2"/>
    <n v="3516"/>
    <n v="50000000"/>
    <n v="14220"/>
    <n v="2"/>
    <n v="2"/>
    <n v="17"/>
    <s v="West"/>
    <s v="Gym; Garden; Elevator"/>
    <n v="3"/>
    <n v="8"/>
    <n v="165955"/>
    <n v="3.98"/>
    <s v="Luxury"/>
    <n v="0.44909999999999994"/>
    <d v="2025-05-22T00:00:00"/>
    <n v="261"/>
    <x v="2"/>
    <n v="124"/>
    <x v="0"/>
    <b v="0"/>
    <n v="100000"/>
  </r>
  <r>
    <s v="PROP00648"/>
    <x v="3"/>
    <x v="5"/>
    <x v="0"/>
    <n v="2970"/>
    <n v="30000000"/>
    <n v="10101"/>
    <n v="3"/>
    <n v="2"/>
    <n v="17"/>
    <s v="North-East"/>
    <s v="AC; Library; Parking; Elevator; Pool"/>
    <n v="5"/>
    <n v="9"/>
    <n v="91352"/>
    <n v="3.65"/>
    <s v="Luxury"/>
    <n v="0.43270000000000003"/>
    <d v="2025-08-21T00:00:00"/>
    <n v="232"/>
    <x v="0"/>
    <n v="103"/>
    <x v="0"/>
    <b v="0"/>
    <n v="0"/>
  </r>
  <r>
    <s v="PROP00649"/>
    <x v="3"/>
    <x v="15"/>
    <x v="0"/>
    <n v="570"/>
    <n v="30000000"/>
    <n v="52631"/>
    <n v="4"/>
    <n v="2"/>
    <n v="23"/>
    <s v="North-East"/>
    <s v="Garden; Security; Elevator; AC"/>
    <n v="4"/>
    <n v="10"/>
    <n v="77718"/>
    <n v="3.11"/>
    <s v="Luxury"/>
    <n v="0.40539999999999998"/>
    <d v="2024-08-11T00:00:00"/>
    <n v="112"/>
    <x v="0"/>
    <n v="94"/>
    <x v="0"/>
    <b v="0"/>
    <n v="60000"/>
  </r>
  <r>
    <s v="PROP00650"/>
    <x v="3"/>
    <x v="15"/>
    <x v="2"/>
    <n v="2345"/>
    <n v="30000000"/>
    <n v="12793"/>
    <n v="5"/>
    <n v="3"/>
    <n v="23"/>
    <s v="North-East"/>
    <s v="Concierge; Library; Parking; Garden; AC"/>
    <n v="5"/>
    <n v="4"/>
    <n v="108351"/>
    <n v="4.33"/>
    <s v="Luxury"/>
    <n v="0.4667"/>
    <d v="2025-09-02T00:00:00"/>
    <n v="16"/>
    <x v="0"/>
    <n v="30"/>
    <x v="0"/>
    <b v="1"/>
    <n v="0"/>
  </r>
  <r>
    <s v="PROP00651"/>
    <x v="1"/>
    <x v="24"/>
    <x v="1"/>
    <n v="445"/>
    <n v="50000000"/>
    <n v="112359"/>
    <n v="0"/>
    <n v="1"/>
    <n v="1"/>
    <s v="South"/>
    <s v="Garden; Elevator; Library; Playground; Parking"/>
    <n v="5"/>
    <n v="4"/>
    <n v="179468"/>
    <n v="4.3099999999999996"/>
    <s v="Luxury"/>
    <n v="0.46539999999999998"/>
    <d v="2025-07-14T00:00:00"/>
    <n v="73"/>
    <x v="2"/>
    <n v="107"/>
    <x v="1"/>
    <b v="0"/>
    <n v="100000"/>
  </r>
  <r>
    <s v="PROP00652"/>
    <x v="1"/>
    <x v="23"/>
    <x v="0"/>
    <n v="2351"/>
    <n v="50000000"/>
    <n v="21267"/>
    <n v="2"/>
    <n v="1"/>
    <n v="3"/>
    <s v="North-East"/>
    <s v="Garden; Concierge; Security"/>
    <n v="3"/>
    <n v="5"/>
    <n v="171935"/>
    <n v="4.13"/>
    <s v="Luxury"/>
    <n v="0.45630000000000004"/>
    <d v="2026-03-11T00:00:00"/>
    <n v="34"/>
    <x v="2"/>
    <n v="85"/>
    <x v="1"/>
    <b v="0"/>
    <n v="100000"/>
  </r>
  <r>
    <s v="PROP00653"/>
    <x v="1"/>
    <x v="21"/>
    <x v="1"/>
    <n v="488"/>
    <n v="50000000"/>
    <n v="102459"/>
    <n v="1"/>
    <n v="1"/>
    <n v="0"/>
    <s v="North-East"/>
    <s v="Gym; Pool; Security; Playground; Parking; Garden; AC"/>
    <n v="7"/>
    <n v="7"/>
    <n v="147663"/>
    <n v="3.54"/>
    <s v="Luxury"/>
    <n v="0.42719999999999997"/>
    <d v="2025-11-03T00:00:00"/>
    <n v="333"/>
    <x v="0"/>
    <n v="30"/>
    <x v="0"/>
    <b v="0"/>
    <n v="0"/>
  </r>
  <r>
    <s v="PROP00654"/>
    <x v="3"/>
    <x v="27"/>
    <x v="0"/>
    <n v="1573"/>
    <n v="30000000"/>
    <n v="19071"/>
    <n v="3"/>
    <n v="1"/>
    <n v="19"/>
    <s v="South-East"/>
    <s v="Concierge; Elevator; Parking; AC; Playground"/>
    <n v="5"/>
    <n v="6"/>
    <n v="102038"/>
    <n v="4.08"/>
    <s v="Luxury"/>
    <n v="0.45409999999999995"/>
    <d v="2025-06-20T00:00:00"/>
    <n v="90"/>
    <x v="2"/>
    <n v="134"/>
    <x v="1"/>
    <b v="0"/>
    <n v="0"/>
  </r>
  <r>
    <s v="PROP00655"/>
    <x v="5"/>
    <x v="13"/>
    <x v="3"/>
    <n v="7510"/>
    <n v="40000000"/>
    <n v="5326"/>
    <n v="6"/>
    <n v="4"/>
    <n v="11"/>
    <s v="North-West"/>
    <s v="Pool; Security; Parking; Concierge; Library; Garden"/>
    <n v="6"/>
    <n v="6"/>
    <n v="157453"/>
    <n v="4.72"/>
    <s v="Luxury"/>
    <n v="0.48619999999999997"/>
    <d v="2025-11-27T00:00:00"/>
    <n v="321"/>
    <x v="1"/>
    <n v="159"/>
    <x v="0"/>
    <b v="0"/>
    <n v="80000"/>
  </r>
  <r>
    <s v="PROP00656"/>
    <x v="4"/>
    <x v="6"/>
    <x v="3"/>
    <n v="7678"/>
    <n v="12000000"/>
    <n v="1562"/>
    <n v="6"/>
    <n v="3"/>
    <n v="26"/>
    <s v="North"/>
    <s v="Pool; AC; Gym; Security; Concierge; Library"/>
    <n v="6"/>
    <n v="9"/>
    <n v="41008"/>
    <n v="4.0999999999999996"/>
    <s v="Premium"/>
    <n v="0.45500000000000002"/>
    <d v="2025-11-27T00:00:00"/>
    <n v="251"/>
    <x v="2"/>
    <n v="115"/>
    <x v="0"/>
    <b v="0"/>
    <n v="0"/>
  </r>
  <r>
    <s v="PROP00657"/>
    <x v="4"/>
    <x v="30"/>
    <x v="4"/>
    <n v="8381"/>
    <n v="12000000"/>
    <n v="1431"/>
    <n v="5"/>
    <n v="2"/>
    <n v="18"/>
    <s v="North-West"/>
    <s v="Library; Pool; Garden; Playground; Elevator"/>
    <n v="5"/>
    <n v="10"/>
    <n v="43878"/>
    <n v="4.3899999999999997"/>
    <s v="Premium"/>
    <n v="0.46939999999999998"/>
    <d v="2025-11-03T00:00:00"/>
    <n v="56"/>
    <x v="2"/>
    <n v="159"/>
    <x v="1"/>
    <b v="1"/>
    <n v="24000"/>
  </r>
  <r>
    <s v="PROP00658"/>
    <x v="0"/>
    <x v="18"/>
    <x v="3"/>
    <n v="5326"/>
    <n v="10000000"/>
    <n v="1877"/>
    <n v="5"/>
    <n v="2"/>
    <n v="17"/>
    <s v="East"/>
    <s v="Pool; Garden; Gym; Concierge; Library; Parking; Playground; AC"/>
    <n v="8"/>
    <n v="4"/>
    <n v="36341"/>
    <n v="4.3600000000000003"/>
    <s v="Premium"/>
    <n v="0.46799999999999997"/>
    <d v="2026-03-07T00:00:00"/>
    <n v="184"/>
    <x v="0"/>
    <n v="138"/>
    <x v="1"/>
    <b v="1"/>
    <n v="0"/>
  </r>
  <r>
    <s v="PROP00659"/>
    <x v="5"/>
    <x v="16"/>
    <x v="2"/>
    <n v="2353"/>
    <n v="40000000"/>
    <n v="16999"/>
    <n v="4"/>
    <n v="3"/>
    <n v="19"/>
    <s v="North"/>
    <s v="Concierge; Gym; Elevator; AC; Garden; Parking; Security"/>
    <n v="7"/>
    <n v="10"/>
    <n v="131573"/>
    <n v="3.95"/>
    <s v="Luxury"/>
    <n v="0.44740000000000002"/>
    <d v="2025-04-17T00:00:00"/>
    <n v="217"/>
    <x v="2"/>
    <n v="55"/>
    <x v="1"/>
    <b v="0"/>
    <n v="80000"/>
  </r>
  <r>
    <s v="PROP00660"/>
    <x v="2"/>
    <x v="26"/>
    <x v="1"/>
    <n v="294"/>
    <n v="15000000"/>
    <n v="51020"/>
    <n v="1"/>
    <n v="2"/>
    <n v="17"/>
    <s v="North-West"/>
    <s v="Pool; Garden; Elevator"/>
    <n v="3"/>
    <n v="4"/>
    <n v="45934"/>
    <n v="3.67"/>
    <s v="Premium"/>
    <n v="0.43369999999999997"/>
    <d v="2024-09-03T00:00:00"/>
    <n v="159"/>
    <x v="1"/>
    <n v="112"/>
    <x v="1"/>
    <b v="1"/>
    <n v="0"/>
  </r>
  <r>
    <s v="PROP00661"/>
    <x v="1"/>
    <x v="28"/>
    <x v="3"/>
    <n v="6861"/>
    <n v="50000000"/>
    <n v="7287"/>
    <n v="3"/>
    <n v="2"/>
    <n v="2"/>
    <s v="North-East"/>
    <s v="Parking; Concierge; Security; Playground; AC; Garden; Gym"/>
    <n v="7"/>
    <n v="7"/>
    <n v="183184"/>
    <n v="4.4000000000000004"/>
    <s v="Luxury"/>
    <n v="0.4698"/>
    <d v="2024-12-28T00:00:00"/>
    <n v="84"/>
    <x v="0"/>
    <n v="105"/>
    <x v="0"/>
    <b v="0"/>
    <n v="0"/>
  </r>
  <r>
    <s v="PROP00662"/>
    <x v="2"/>
    <x v="26"/>
    <x v="3"/>
    <n v="2629"/>
    <n v="15000000"/>
    <n v="5705"/>
    <n v="4"/>
    <n v="3"/>
    <n v="15"/>
    <s v="South-West"/>
    <s v="Gym; Library; Parking; AC"/>
    <n v="4"/>
    <n v="8"/>
    <n v="42066"/>
    <n v="3.37"/>
    <s v="Premium"/>
    <n v="0.41830000000000001"/>
    <d v="2025-05-31T00:00:00"/>
    <n v="118"/>
    <x v="1"/>
    <n v="156"/>
    <x v="1"/>
    <b v="1"/>
    <n v="30000"/>
  </r>
  <r>
    <s v="PROP00663"/>
    <x v="3"/>
    <x v="15"/>
    <x v="3"/>
    <n v="6957"/>
    <n v="30000000"/>
    <n v="4312"/>
    <n v="3"/>
    <n v="2"/>
    <n v="15"/>
    <s v="South"/>
    <s v="Library; Gym; Playground; Concierge; Security"/>
    <n v="5"/>
    <n v="7"/>
    <n v="76676"/>
    <n v="3.07"/>
    <s v="Luxury"/>
    <n v="0.40340000000000004"/>
    <d v="2025-02-22T00:00:00"/>
    <n v="34"/>
    <x v="0"/>
    <n v="47"/>
    <x v="0"/>
    <b v="0"/>
    <n v="0"/>
  </r>
  <r>
    <s v="PROP00664"/>
    <x v="2"/>
    <x v="2"/>
    <x v="4"/>
    <n v="4992"/>
    <n v="15000000"/>
    <n v="3004"/>
    <n v="4"/>
    <n v="2"/>
    <n v="0"/>
    <s v="South-East"/>
    <s v="Pool; Parking; Garden; Concierge"/>
    <n v="4"/>
    <n v="7"/>
    <n v="49446"/>
    <n v="3.96"/>
    <s v="Premium"/>
    <n v="0.44780000000000003"/>
    <d v="2024-07-11T00:00:00"/>
    <n v="287"/>
    <x v="0"/>
    <n v="59"/>
    <x v="0"/>
    <b v="1"/>
    <n v="30000"/>
  </r>
  <r>
    <s v="PROP00665"/>
    <x v="3"/>
    <x v="3"/>
    <x v="3"/>
    <n v="7746"/>
    <n v="30000000"/>
    <n v="3872"/>
    <n v="6"/>
    <n v="3"/>
    <n v="11"/>
    <s v="North-East"/>
    <s v="AC; Gym; Pool"/>
    <n v="3"/>
    <n v="5"/>
    <n v="75442"/>
    <n v="3.02"/>
    <s v="Luxury"/>
    <n v="0.40090000000000003"/>
    <d v="2025-12-25T00:00:00"/>
    <n v="110"/>
    <x v="0"/>
    <n v="152"/>
    <x v="0"/>
    <b v="0"/>
    <n v="0"/>
  </r>
  <r>
    <s v="PROP00666"/>
    <x v="2"/>
    <x v="32"/>
    <x v="0"/>
    <n v="1106"/>
    <n v="15000000"/>
    <n v="13562"/>
    <n v="4"/>
    <n v="2"/>
    <n v="4"/>
    <s v="East"/>
    <s v="Parking; AC; Elevator; Library; Gym; Garden; Playground; Concierge"/>
    <n v="8"/>
    <n v="5"/>
    <n v="56335"/>
    <n v="4.51"/>
    <s v="Premium"/>
    <n v="0.4753"/>
    <d v="2024-08-12T00:00:00"/>
    <n v="209"/>
    <x v="0"/>
    <n v="97"/>
    <x v="0"/>
    <b v="0"/>
    <n v="30000"/>
  </r>
  <r>
    <s v="PROP00667"/>
    <x v="5"/>
    <x v="16"/>
    <x v="0"/>
    <n v="1188"/>
    <n v="40000000"/>
    <n v="33670"/>
    <n v="3"/>
    <n v="2"/>
    <n v="14"/>
    <s v="West"/>
    <s v="Garden; Parking; Concierge; Security; Library; Elevator; Pool"/>
    <n v="7"/>
    <n v="4"/>
    <n v="119175"/>
    <n v="3.58"/>
    <s v="Luxury"/>
    <n v="0.42880000000000001"/>
    <d v="2026-02-27T00:00:00"/>
    <n v="34"/>
    <x v="0"/>
    <n v="136"/>
    <x v="0"/>
    <b v="1"/>
    <n v="80000"/>
  </r>
  <r>
    <s v="PROP00668"/>
    <x v="5"/>
    <x v="13"/>
    <x v="1"/>
    <n v="393"/>
    <n v="40000000"/>
    <n v="101781"/>
    <n v="1"/>
    <n v="2"/>
    <n v="9"/>
    <s v="South-West"/>
    <s v="Elevator; Playground; Security; Library; Garden; Concierge; AC"/>
    <n v="7"/>
    <n v="9"/>
    <n v="155967"/>
    <n v="4.68"/>
    <s v="Luxury"/>
    <n v="0.48399999999999999"/>
    <d v="2024-09-18T00:00:00"/>
    <n v="71"/>
    <x v="2"/>
    <n v="176"/>
    <x v="1"/>
    <b v="0"/>
    <n v="80000"/>
  </r>
  <r>
    <s v="PROP00669"/>
    <x v="0"/>
    <x v="8"/>
    <x v="2"/>
    <n v="3682"/>
    <n v="10000000"/>
    <n v="2715"/>
    <n v="2"/>
    <n v="2"/>
    <n v="20"/>
    <s v="West"/>
    <s v="Security; Elevator; Garden; Parking; Library"/>
    <n v="5"/>
    <n v="6"/>
    <n v="30808"/>
    <n v="3.7"/>
    <s v="Premium"/>
    <n v="0.43479999999999996"/>
    <d v="2025-07-05T00:00:00"/>
    <n v="347"/>
    <x v="0"/>
    <n v="162"/>
    <x v="1"/>
    <b v="0"/>
    <n v="0"/>
  </r>
  <r>
    <s v="PROP00670"/>
    <x v="4"/>
    <x v="30"/>
    <x v="3"/>
    <n v="7022"/>
    <n v="12000000"/>
    <n v="1708"/>
    <n v="4"/>
    <n v="3"/>
    <n v="6"/>
    <s v="North-East"/>
    <s v="Playground; AC; Elevator; Pool; Garden; Security; Library; Gym"/>
    <n v="8"/>
    <n v="5"/>
    <n v="34114"/>
    <n v="3.41"/>
    <s v="Premium"/>
    <n v="0.42060000000000003"/>
    <d v="2024-08-04T00:00:00"/>
    <n v="192"/>
    <x v="2"/>
    <n v="157"/>
    <x v="0"/>
    <b v="0"/>
    <n v="0"/>
  </r>
  <r>
    <s v="PROP00671"/>
    <x v="0"/>
    <x v="18"/>
    <x v="4"/>
    <n v="6760"/>
    <n v="10000000"/>
    <n v="1479"/>
    <n v="6"/>
    <n v="4"/>
    <n v="4"/>
    <s v="South-West"/>
    <s v="Elevator; Pool; Security; Gym; Garden"/>
    <n v="5"/>
    <n v="7"/>
    <n v="28148"/>
    <n v="3.38"/>
    <s v="Premium"/>
    <n v="0.41889999999999999"/>
    <d v="2025-08-27T00:00:00"/>
    <n v="299"/>
    <x v="1"/>
    <n v="170"/>
    <x v="1"/>
    <b v="0"/>
    <n v="20000"/>
  </r>
  <r>
    <s v="PROP00672"/>
    <x v="5"/>
    <x v="11"/>
    <x v="1"/>
    <n v="571"/>
    <n v="40000000"/>
    <n v="70052"/>
    <n v="1"/>
    <n v="1"/>
    <n v="15"/>
    <s v="South-East"/>
    <s v="Library; Playground; Pool; Concierge; Elevator; Gym"/>
    <n v="6"/>
    <n v="6"/>
    <n v="166279"/>
    <n v="4.99"/>
    <s v="Luxury"/>
    <n v="0.49939999999999996"/>
    <d v="2026-04-02T00:00:00"/>
    <n v="281"/>
    <x v="2"/>
    <n v="57"/>
    <x v="1"/>
    <b v="1"/>
    <n v="80000"/>
  </r>
  <r>
    <s v="PROP00673"/>
    <x v="0"/>
    <x v="7"/>
    <x v="1"/>
    <n v="354"/>
    <n v="10000000"/>
    <n v="28248"/>
    <n v="0"/>
    <n v="1"/>
    <n v="0"/>
    <s v="South-West"/>
    <s v="Playground; Security; AC"/>
    <n v="3"/>
    <n v="6"/>
    <n v="28673"/>
    <n v="3.44"/>
    <s v="Premium"/>
    <n v="0.42200000000000004"/>
    <d v="2024-09-03T00:00:00"/>
    <n v="182"/>
    <x v="0"/>
    <n v="171"/>
    <x v="0"/>
    <b v="1"/>
    <n v="20000"/>
  </r>
  <r>
    <s v="PROP00674"/>
    <x v="4"/>
    <x v="12"/>
    <x v="2"/>
    <n v="4622"/>
    <n v="12000000"/>
    <n v="2596"/>
    <n v="3"/>
    <n v="1"/>
    <n v="25"/>
    <s v="North-East"/>
    <s v="Garden; AC; Gym; Pool; Concierge; Security"/>
    <n v="6"/>
    <n v="5"/>
    <n v="32491"/>
    <n v="3.25"/>
    <s v="Premium"/>
    <n v="0.41249999999999998"/>
    <d v="2025-09-04T00:00:00"/>
    <n v="236"/>
    <x v="2"/>
    <n v="91"/>
    <x v="0"/>
    <b v="1"/>
    <n v="24000"/>
  </r>
  <r>
    <s v="PROP00675"/>
    <x v="5"/>
    <x v="11"/>
    <x v="0"/>
    <n v="1378"/>
    <n v="40000000"/>
    <n v="29027"/>
    <n v="3"/>
    <n v="2"/>
    <n v="18"/>
    <s v="North-West"/>
    <s v="Library; Concierge; Garden; Pool; Gym; Playground; AC"/>
    <n v="7"/>
    <n v="10"/>
    <n v="149277"/>
    <n v="4.4800000000000004"/>
    <s v="Luxury"/>
    <n v="0.47389999999999999"/>
    <d v="2025-04-16T00:00:00"/>
    <n v="12"/>
    <x v="1"/>
    <n v="127"/>
    <x v="1"/>
    <b v="1"/>
    <n v="0"/>
  </r>
  <r>
    <s v="PROP00676"/>
    <x v="2"/>
    <x v="25"/>
    <x v="2"/>
    <n v="2819"/>
    <n v="15000000"/>
    <n v="5321"/>
    <n v="2"/>
    <n v="2"/>
    <n v="16"/>
    <s v="East"/>
    <s v="Library; Concierge; Garden; Parking; Pool; Gym; AC"/>
    <n v="7"/>
    <n v="6"/>
    <n v="42678"/>
    <n v="3.41"/>
    <s v="Premium"/>
    <n v="0.42070000000000002"/>
    <d v="2025-06-27T00:00:00"/>
    <n v="149"/>
    <x v="0"/>
    <n v="93"/>
    <x v="0"/>
    <b v="0"/>
    <n v="0"/>
  </r>
  <r>
    <s v="PROP00677"/>
    <x v="1"/>
    <x v="23"/>
    <x v="4"/>
    <n v="4999"/>
    <n v="50000000"/>
    <n v="10002"/>
    <n v="6"/>
    <n v="3"/>
    <n v="14"/>
    <s v="North-West"/>
    <s v="Gym; Library; Playground; Parking; Garden; Elevator; Concierge; Pool"/>
    <n v="8"/>
    <n v="6"/>
    <n v="132455"/>
    <n v="3.18"/>
    <s v="Luxury"/>
    <n v="0.40889999999999999"/>
    <d v="2025-08-26T00:00:00"/>
    <n v="134"/>
    <x v="0"/>
    <n v="123"/>
    <x v="1"/>
    <b v="1"/>
    <n v="100000"/>
  </r>
  <r>
    <s v="PROP00678"/>
    <x v="3"/>
    <x v="5"/>
    <x v="4"/>
    <n v="7907"/>
    <n v="30000000"/>
    <n v="3794"/>
    <n v="6"/>
    <n v="3"/>
    <n v="27"/>
    <s v="West"/>
    <s v="Library; Playground; Gym"/>
    <n v="3"/>
    <n v="8"/>
    <n v="120792"/>
    <n v="4.83"/>
    <s v="Luxury"/>
    <n v="0.49159999999999998"/>
    <d v="2026-02-09T00:00:00"/>
    <n v="129"/>
    <x v="2"/>
    <n v="42"/>
    <x v="0"/>
    <b v="0"/>
    <n v="0"/>
  </r>
  <r>
    <s v="PROP00679"/>
    <x v="3"/>
    <x v="3"/>
    <x v="3"/>
    <n v="5570"/>
    <n v="30000000"/>
    <n v="5385"/>
    <n v="5"/>
    <n v="2"/>
    <n v="7"/>
    <s v="North"/>
    <s v="Security; Parking; Pool; Concierge; Gym; Elevator"/>
    <n v="6"/>
    <n v="7"/>
    <n v="114155"/>
    <n v="4.57"/>
    <s v="Luxury"/>
    <n v="0.4783"/>
    <d v="2025-11-15T00:00:00"/>
    <n v="86"/>
    <x v="0"/>
    <n v="138"/>
    <x v="0"/>
    <b v="1"/>
    <n v="60000"/>
  </r>
  <r>
    <s v="PROP00680"/>
    <x v="4"/>
    <x v="29"/>
    <x v="0"/>
    <n v="675"/>
    <n v="12000000"/>
    <n v="17777"/>
    <n v="1"/>
    <n v="2"/>
    <n v="26"/>
    <s v="South-East"/>
    <s v="AC; Pool; Concierge; Security"/>
    <n v="4"/>
    <n v="4"/>
    <n v="33054"/>
    <n v="3.31"/>
    <s v="Premium"/>
    <n v="0.4153"/>
    <d v="2025-11-04T00:00:00"/>
    <n v="88"/>
    <x v="0"/>
    <n v="113"/>
    <x v="1"/>
    <b v="1"/>
    <n v="24000"/>
  </r>
  <r>
    <s v="PROP00681"/>
    <x v="2"/>
    <x v="32"/>
    <x v="3"/>
    <n v="2396"/>
    <n v="15000000"/>
    <n v="6260"/>
    <n v="6"/>
    <n v="3"/>
    <n v="27"/>
    <s v="West"/>
    <s v="Garden; Playground; Security; Elevator"/>
    <n v="4"/>
    <n v="9"/>
    <n v="55255"/>
    <n v="4.42"/>
    <s v="Premium"/>
    <n v="0.47100000000000003"/>
    <d v="2024-05-14T00:00:00"/>
    <n v="35"/>
    <x v="0"/>
    <n v="40"/>
    <x v="1"/>
    <b v="1"/>
    <n v="30000"/>
  </r>
  <r>
    <s v="PROP00682"/>
    <x v="5"/>
    <x v="16"/>
    <x v="4"/>
    <n v="9544"/>
    <n v="40000000"/>
    <n v="4191"/>
    <n v="5"/>
    <n v="3"/>
    <n v="17"/>
    <s v="North-East"/>
    <s v="Library; AC; Concierge; Playground; Security; Parking; Garden"/>
    <n v="7"/>
    <n v="5"/>
    <n v="127178"/>
    <n v="3.82"/>
    <s v="Luxury"/>
    <n v="0.44079999999999997"/>
    <d v="2024-12-15T00:00:00"/>
    <n v="106"/>
    <x v="1"/>
    <n v="39"/>
    <x v="0"/>
    <b v="0"/>
    <n v="0"/>
  </r>
  <r>
    <s v="PROP00683"/>
    <x v="1"/>
    <x v="20"/>
    <x v="1"/>
    <n v="445"/>
    <n v="50000000"/>
    <n v="112359"/>
    <n v="1"/>
    <n v="2"/>
    <n v="11"/>
    <s v="North"/>
    <s v="Playground; Concierge; Garden"/>
    <n v="3"/>
    <n v="8"/>
    <n v="189589"/>
    <n v="4.55"/>
    <s v="Luxury"/>
    <n v="0.47749999999999998"/>
    <d v="2025-12-15T00:00:00"/>
    <n v="333"/>
    <x v="0"/>
    <n v="65"/>
    <x v="1"/>
    <b v="0"/>
    <n v="100000"/>
  </r>
  <r>
    <s v="PROP00684"/>
    <x v="3"/>
    <x v="35"/>
    <x v="3"/>
    <n v="5596"/>
    <n v="30000000"/>
    <n v="5360"/>
    <n v="5"/>
    <n v="3"/>
    <n v="12"/>
    <s v="North"/>
    <s v="Concierge; Playground; Garden; Elevator; Pool; Library"/>
    <n v="6"/>
    <n v="6"/>
    <n v="82276"/>
    <n v="3.29"/>
    <s v="Luxury"/>
    <n v="0.41460000000000002"/>
    <d v="2024-07-28T00:00:00"/>
    <n v="28"/>
    <x v="1"/>
    <n v="125"/>
    <x v="1"/>
    <b v="0"/>
    <n v="0"/>
  </r>
  <r>
    <s v="PROP00685"/>
    <x v="0"/>
    <x v="8"/>
    <x v="0"/>
    <n v="2850"/>
    <n v="10000000"/>
    <n v="3508"/>
    <n v="3"/>
    <n v="2"/>
    <n v="26"/>
    <s v="South-East"/>
    <s v="AC; Concierge; Gym; Library; Garden; Elevator; Parking"/>
    <n v="7"/>
    <n v="4"/>
    <n v="40366"/>
    <n v="4.84"/>
    <s v="Premium"/>
    <n v="0.49219999999999997"/>
    <d v="2025-11-26T00:00:00"/>
    <n v="365"/>
    <x v="0"/>
    <n v="67"/>
    <x v="1"/>
    <b v="1"/>
    <n v="20000"/>
  </r>
  <r>
    <s v="PROP00686"/>
    <x v="4"/>
    <x v="6"/>
    <x v="4"/>
    <n v="6041"/>
    <n v="12000000"/>
    <n v="1986"/>
    <n v="4"/>
    <n v="3"/>
    <n v="12"/>
    <s v="North-East"/>
    <s v="Elevator; Concierge; Playground; Security; Parking"/>
    <n v="5"/>
    <n v="7"/>
    <n v="46024"/>
    <n v="4.5999999999999996"/>
    <s v="Premium"/>
    <n v="0.48009999999999997"/>
    <d v="2024-09-22T00:00:00"/>
    <n v="222"/>
    <x v="0"/>
    <n v="154"/>
    <x v="0"/>
    <b v="1"/>
    <n v="24000"/>
  </r>
  <r>
    <s v="PROP00687"/>
    <x v="2"/>
    <x v="22"/>
    <x v="1"/>
    <n v="575"/>
    <n v="15000000"/>
    <n v="26086"/>
    <n v="1"/>
    <n v="1"/>
    <n v="4"/>
    <s v="West"/>
    <s v="Pool; Library; Security; Garden"/>
    <n v="4"/>
    <n v="8"/>
    <n v="45072"/>
    <n v="3.61"/>
    <s v="Premium"/>
    <n v="0.43030000000000002"/>
    <d v="2025-12-29T00:00:00"/>
    <n v="214"/>
    <x v="0"/>
    <n v="79"/>
    <x v="0"/>
    <b v="0"/>
    <n v="0"/>
  </r>
  <r>
    <s v="PROP00688"/>
    <x v="3"/>
    <x v="35"/>
    <x v="0"/>
    <n v="1069"/>
    <n v="30000000"/>
    <n v="28063"/>
    <n v="1"/>
    <n v="2"/>
    <n v="23"/>
    <s v="South"/>
    <s v="Pool; Garden; Concierge; Elevator; Playground; AC"/>
    <n v="6"/>
    <n v="6"/>
    <n v="97980"/>
    <n v="3.92"/>
    <s v="Luxury"/>
    <n v="0.44600000000000001"/>
    <d v="2025-05-29T00:00:00"/>
    <n v="133"/>
    <x v="2"/>
    <n v="150"/>
    <x v="1"/>
    <b v="0"/>
    <n v="60000"/>
  </r>
  <r>
    <s v="PROP00689"/>
    <x v="0"/>
    <x v="7"/>
    <x v="4"/>
    <n v="7260"/>
    <n v="10000000"/>
    <n v="1377"/>
    <n v="6"/>
    <n v="4"/>
    <n v="25"/>
    <s v="North-East"/>
    <s v="Garden; Elevator; Gym; AC; Library; Parking; Security"/>
    <n v="7"/>
    <n v="8"/>
    <n v="37071"/>
    <n v="4.45"/>
    <s v="Premium"/>
    <n v="0.47240000000000004"/>
    <d v="2025-03-26T00:00:00"/>
    <n v="132"/>
    <x v="0"/>
    <n v="106"/>
    <x v="0"/>
    <b v="1"/>
    <n v="20000"/>
  </r>
  <r>
    <s v="PROP00690"/>
    <x v="3"/>
    <x v="15"/>
    <x v="1"/>
    <n v="328"/>
    <n v="30000000"/>
    <n v="91463"/>
    <n v="0"/>
    <n v="2"/>
    <n v="13"/>
    <s v="North-West"/>
    <s v="Library; Elevator; Playground; Parking; Gym; Pool; Security; AC"/>
    <n v="8"/>
    <n v="4"/>
    <n v="108144"/>
    <n v="4.33"/>
    <s v="Luxury"/>
    <n v="0.46630000000000005"/>
    <d v="2025-06-27T00:00:00"/>
    <n v="208"/>
    <x v="1"/>
    <n v="141"/>
    <x v="1"/>
    <b v="1"/>
    <n v="0"/>
  </r>
  <r>
    <s v="PROP00691"/>
    <x v="2"/>
    <x v="26"/>
    <x v="2"/>
    <n v="3017"/>
    <n v="15000000"/>
    <n v="4971"/>
    <n v="2"/>
    <n v="2"/>
    <n v="7"/>
    <s v="North-East"/>
    <s v="Concierge; Library; Garden; Elevator; AC; Pool"/>
    <n v="6"/>
    <n v="6"/>
    <n v="57613"/>
    <n v="4.6100000000000003"/>
    <s v="Premium"/>
    <n v="0.48049999999999998"/>
    <d v="2025-06-04T00:00:00"/>
    <n v="43"/>
    <x v="0"/>
    <n v="126"/>
    <x v="0"/>
    <b v="1"/>
    <n v="30000"/>
  </r>
  <r>
    <s v="PROP00692"/>
    <x v="0"/>
    <x v="0"/>
    <x v="3"/>
    <n v="6426"/>
    <n v="10000000"/>
    <n v="1556"/>
    <n v="6"/>
    <n v="4"/>
    <n v="28"/>
    <s v="North-West"/>
    <s v="Parking; Gym; AC"/>
    <n v="3"/>
    <n v="10"/>
    <n v="27224"/>
    <n v="3.27"/>
    <s v="Premium"/>
    <n v="0.4133"/>
    <d v="2025-05-04T00:00:00"/>
    <n v="342"/>
    <x v="2"/>
    <n v="121"/>
    <x v="0"/>
    <b v="1"/>
    <n v="20000"/>
  </r>
  <r>
    <s v="PROP00693"/>
    <x v="5"/>
    <x v="13"/>
    <x v="0"/>
    <n v="559"/>
    <n v="40000000"/>
    <n v="71556"/>
    <n v="1"/>
    <n v="1"/>
    <n v="19"/>
    <s v="North-West"/>
    <s v="Garden; Parking; Library"/>
    <n v="3"/>
    <n v="4"/>
    <n v="139558"/>
    <n v="4.1900000000000004"/>
    <s v="Luxury"/>
    <n v="0.45929999999999999"/>
    <d v="2024-08-22T00:00:00"/>
    <n v="71"/>
    <x v="2"/>
    <n v="102"/>
    <x v="0"/>
    <b v="0"/>
    <n v="0"/>
  </r>
  <r>
    <s v="PROP00694"/>
    <x v="3"/>
    <x v="27"/>
    <x v="4"/>
    <n v="3787"/>
    <n v="30000000"/>
    <n v="7921"/>
    <n v="5"/>
    <n v="2"/>
    <n v="22"/>
    <s v="North-West"/>
    <s v="Gym; Library; Playground; Concierge; Pool"/>
    <n v="5"/>
    <n v="9"/>
    <n v="92937"/>
    <n v="3.72"/>
    <s v="Luxury"/>
    <n v="0.43590000000000001"/>
    <d v="2024-12-09T00:00:00"/>
    <n v="215"/>
    <x v="0"/>
    <n v="132"/>
    <x v="0"/>
    <b v="0"/>
    <n v="0"/>
  </r>
  <r>
    <s v="PROP00695"/>
    <x v="3"/>
    <x v="15"/>
    <x v="1"/>
    <n v="326"/>
    <n v="30000000"/>
    <n v="92024"/>
    <n v="0"/>
    <n v="1"/>
    <n v="2"/>
    <s v="South"/>
    <s v="Elevator; Pool; Parking"/>
    <n v="3"/>
    <n v="6"/>
    <n v="81305"/>
    <n v="3.25"/>
    <s v="Luxury"/>
    <n v="0.41259999999999997"/>
    <d v="2026-02-28T00:00:00"/>
    <n v="297"/>
    <x v="0"/>
    <n v="111"/>
    <x v="0"/>
    <b v="0"/>
    <n v="0"/>
  </r>
  <r>
    <s v="PROP00696"/>
    <x v="2"/>
    <x v="26"/>
    <x v="4"/>
    <n v="8975"/>
    <n v="15000000"/>
    <n v="1671"/>
    <n v="6"/>
    <n v="4"/>
    <n v="29"/>
    <s v="South"/>
    <s v="Garden; Concierge; Gym; Parking; Pool; Elevator; Playground; Security"/>
    <n v="8"/>
    <n v="10"/>
    <n v="58528"/>
    <n v="4.68"/>
    <s v="Premium"/>
    <n v="0.48409999999999997"/>
    <d v="2025-08-29T00:00:00"/>
    <n v="238"/>
    <x v="0"/>
    <n v="157"/>
    <x v="1"/>
    <b v="0"/>
    <n v="0"/>
  </r>
  <r>
    <s v="PROP00697"/>
    <x v="3"/>
    <x v="3"/>
    <x v="1"/>
    <n v="587"/>
    <n v="30000000"/>
    <n v="51107"/>
    <n v="1"/>
    <n v="1"/>
    <n v="0"/>
    <s v="South-East"/>
    <s v="Security; Library; Pool; Garden"/>
    <n v="4"/>
    <n v="7"/>
    <n v="119210"/>
    <n v="4.7699999999999996"/>
    <s v="Luxury"/>
    <n v="0.48840000000000006"/>
    <d v="2025-09-11T00:00:00"/>
    <n v="104"/>
    <x v="0"/>
    <n v="101"/>
    <x v="0"/>
    <b v="0"/>
    <n v="60000"/>
  </r>
  <r>
    <s v="PROP00698"/>
    <x v="1"/>
    <x v="23"/>
    <x v="2"/>
    <n v="4413"/>
    <n v="50000000"/>
    <n v="11330"/>
    <n v="4"/>
    <n v="3"/>
    <n v="10"/>
    <s v="West"/>
    <s v="Pool; Concierge; Garden"/>
    <n v="3"/>
    <n v="7"/>
    <n v="181696"/>
    <n v="4.3600000000000003"/>
    <s v="Luxury"/>
    <n v="0.46799999999999997"/>
    <d v="2024-12-13T00:00:00"/>
    <n v="303"/>
    <x v="0"/>
    <n v="165"/>
    <x v="0"/>
    <b v="0"/>
    <n v="100000"/>
  </r>
  <r>
    <s v="PROP00699"/>
    <x v="2"/>
    <x v="33"/>
    <x v="4"/>
    <n v="7482"/>
    <n v="15000000"/>
    <n v="2004"/>
    <n v="5"/>
    <n v="3"/>
    <n v="1"/>
    <s v="South"/>
    <s v="Playground; Gym; Library; Security; Elevator"/>
    <n v="5"/>
    <n v="8"/>
    <n v="59455"/>
    <n v="4.76"/>
    <s v="Premium"/>
    <n v="0.48780000000000001"/>
    <d v="2025-01-25T00:00:00"/>
    <n v="119"/>
    <x v="1"/>
    <n v="176"/>
    <x v="1"/>
    <b v="1"/>
    <n v="0"/>
  </r>
  <r>
    <s v="PROP00700"/>
    <x v="5"/>
    <x v="13"/>
    <x v="0"/>
    <n v="1339"/>
    <n v="40000000"/>
    <n v="29873"/>
    <n v="3"/>
    <n v="2"/>
    <n v="8"/>
    <s v="West"/>
    <s v="AC; Garden; Gym"/>
    <n v="3"/>
    <n v="4"/>
    <n v="129949"/>
    <n v="3.9"/>
    <s v="Luxury"/>
    <n v="0.44490000000000002"/>
    <d v="2025-04-03T00:00:00"/>
    <n v="141"/>
    <x v="0"/>
    <n v="49"/>
    <x v="1"/>
    <b v="1"/>
    <n v="0"/>
  </r>
  <r>
    <s v="PROP00701"/>
    <x v="4"/>
    <x v="29"/>
    <x v="0"/>
    <n v="2434"/>
    <n v="12000000"/>
    <n v="4930"/>
    <n v="2"/>
    <n v="2"/>
    <n v="24"/>
    <s v="East"/>
    <s v="Garden; Library; Playground"/>
    <n v="3"/>
    <n v="6"/>
    <n v="34005"/>
    <n v="3.4"/>
    <s v="Premium"/>
    <n v="0.42"/>
    <d v="2024-06-12T00:00:00"/>
    <n v="246"/>
    <x v="0"/>
    <n v="92"/>
    <x v="0"/>
    <b v="1"/>
    <n v="24000"/>
  </r>
  <r>
    <s v="PROP00702"/>
    <x v="0"/>
    <x v="7"/>
    <x v="2"/>
    <n v="2192"/>
    <n v="10000000"/>
    <n v="4562"/>
    <n v="4"/>
    <n v="3"/>
    <n v="13"/>
    <s v="South"/>
    <s v="Library; Garden; Parking; Concierge"/>
    <n v="4"/>
    <n v="9"/>
    <n v="29812"/>
    <n v="3.58"/>
    <s v="Premium"/>
    <n v="0.4289"/>
    <d v="2024-11-05T00:00:00"/>
    <n v="40"/>
    <x v="2"/>
    <n v="47"/>
    <x v="0"/>
    <b v="1"/>
    <n v="20000"/>
  </r>
  <r>
    <s v="PROP00703"/>
    <x v="3"/>
    <x v="35"/>
    <x v="2"/>
    <n v="2233"/>
    <n v="30000000"/>
    <n v="13434"/>
    <n v="2"/>
    <n v="2"/>
    <n v="10"/>
    <s v="South"/>
    <s v="AC; Elevator; Concierge"/>
    <n v="3"/>
    <n v="4"/>
    <n v="105718"/>
    <n v="4.2300000000000004"/>
    <s v="Luxury"/>
    <n v="0.46140000000000003"/>
    <d v="2026-02-18T00:00:00"/>
    <n v="91"/>
    <x v="0"/>
    <n v="120"/>
    <x v="1"/>
    <b v="1"/>
    <n v="0"/>
  </r>
  <r>
    <s v="PROP00704"/>
    <x v="0"/>
    <x v="0"/>
    <x v="4"/>
    <n v="9589"/>
    <n v="10000000"/>
    <n v="1042"/>
    <n v="4"/>
    <n v="2"/>
    <n v="5"/>
    <s v="South-East"/>
    <s v="Playground; Parking; Garden; Concierge"/>
    <n v="4"/>
    <n v="8"/>
    <n v="39225"/>
    <n v="4.71"/>
    <s v="Premium"/>
    <n v="0.4854"/>
    <d v="2025-02-26T00:00:00"/>
    <n v="109"/>
    <x v="0"/>
    <n v="133"/>
    <x v="0"/>
    <b v="1"/>
    <n v="0"/>
  </r>
  <r>
    <s v="PROP00705"/>
    <x v="4"/>
    <x v="29"/>
    <x v="0"/>
    <n v="1328"/>
    <n v="12000000"/>
    <n v="9036"/>
    <n v="4"/>
    <n v="3"/>
    <n v="12"/>
    <s v="West"/>
    <s v="Playground; Garden; Gym; Concierge; AC"/>
    <n v="5"/>
    <n v="9"/>
    <n v="37108"/>
    <n v="3.71"/>
    <s v="Premium"/>
    <n v="0.4355"/>
    <d v="2024-07-03T00:00:00"/>
    <n v="213"/>
    <x v="1"/>
    <n v="116"/>
    <x v="0"/>
    <b v="0"/>
    <n v="0"/>
  </r>
  <r>
    <s v="PROP00706"/>
    <x v="1"/>
    <x v="1"/>
    <x v="0"/>
    <n v="2835"/>
    <n v="50000000"/>
    <n v="17636"/>
    <n v="1"/>
    <n v="1"/>
    <n v="15"/>
    <s v="South-East"/>
    <s v="AC; Elevator; Playground; Gym; Security; Library"/>
    <n v="6"/>
    <n v="10"/>
    <n v="169756"/>
    <n v="4.07"/>
    <s v="Luxury"/>
    <n v="0.45369999999999999"/>
    <d v="2025-03-05T00:00:00"/>
    <n v="29"/>
    <x v="0"/>
    <n v="57"/>
    <x v="1"/>
    <b v="1"/>
    <n v="0"/>
  </r>
  <r>
    <s v="PROP00707"/>
    <x v="2"/>
    <x v="32"/>
    <x v="2"/>
    <n v="2892"/>
    <n v="15000000"/>
    <n v="5186"/>
    <n v="5"/>
    <n v="2"/>
    <n v="16"/>
    <s v="South-West"/>
    <s v="Pool; Concierge; Security; Playground; Parking"/>
    <n v="5"/>
    <n v="4"/>
    <n v="62031"/>
    <n v="4.96"/>
    <s v="Premium"/>
    <n v="0.49810000000000004"/>
    <d v="2025-06-13T00:00:00"/>
    <n v="269"/>
    <x v="0"/>
    <n v="65"/>
    <x v="0"/>
    <b v="0"/>
    <n v="30000"/>
  </r>
  <r>
    <s v="PROP00708"/>
    <x v="1"/>
    <x v="24"/>
    <x v="2"/>
    <n v="2803"/>
    <n v="50000000"/>
    <n v="17838"/>
    <n v="2"/>
    <n v="1"/>
    <n v="18"/>
    <s v="North-East"/>
    <s v="Elevator; Pool; Garden; Gym"/>
    <n v="4"/>
    <n v="4"/>
    <n v="188386"/>
    <n v="4.5199999999999996"/>
    <s v="Luxury"/>
    <n v="0.47609999999999997"/>
    <d v="2024-11-06T00:00:00"/>
    <n v="296"/>
    <x v="1"/>
    <n v="170"/>
    <x v="1"/>
    <b v="0"/>
    <n v="100000"/>
  </r>
  <r>
    <s v="PROP00709"/>
    <x v="2"/>
    <x v="26"/>
    <x v="2"/>
    <n v="3221"/>
    <n v="15000000"/>
    <n v="4656"/>
    <n v="2"/>
    <n v="2"/>
    <n v="8"/>
    <s v="North"/>
    <s v="Gym; Parking; Pool; Elevator; Security; Library; Playground; Concierge"/>
    <n v="8"/>
    <n v="5"/>
    <n v="46528"/>
    <n v="3.72"/>
    <s v="Premium"/>
    <n v="0.43609999999999999"/>
    <d v="2024-11-06T00:00:00"/>
    <n v="127"/>
    <x v="0"/>
    <n v="173"/>
    <x v="0"/>
    <b v="0"/>
    <n v="30000"/>
  </r>
  <r>
    <s v="PROP00710"/>
    <x v="3"/>
    <x v="27"/>
    <x v="4"/>
    <n v="8740"/>
    <n v="30000000"/>
    <n v="3432"/>
    <n v="4"/>
    <n v="2"/>
    <n v="15"/>
    <s v="North"/>
    <s v="Parking; Elevator; Garden; Concierge"/>
    <n v="4"/>
    <n v="10"/>
    <n v="118753"/>
    <n v="4.75"/>
    <s v="Luxury"/>
    <n v="0.48749999999999999"/>
    <d v="2024-10-01T00:00:00"/>
    <n v="253"/>
    <x v="2"/>
    <n v="78"/>
    <x v="0"/>
    <b v="1"/>
    <n v="0"/>
  </r>
  <r>
    <s v="PROP00711"/>
    <x v="3"/>
    <x v="5"/>
    <x v="1"/>
    <n v="348"/>
    <n v="30000000"/>
    <n v="86206"/>
    <n v="1"/>
    <n v="2"/>
    <n v="4"/>
    <s v="South"/>
    <s v="Elevator; Library; Security; Parking; Pool; Concierge"/>
    <n v="6"/>
    <n v="4"/>
    <n v="87749"/>
    <n v="3.51"/>
    <s v="Luxury"/>
    <n v="0.42549999999999999"/>
    <d v="2024-09-02T00:00:00"/>
    <n v="303"/>
    <x v="0"/>
    <n v="133"/>
    <x v="0"/>
    <b v="0"/>
    <n v="60000"/>
  </r>
  <r>
    <s v="PROP00712"/>
    <x v="4"/>
    <x v="6"/>
    <x v="4"/>
    <n v="3982"/>
    <n v="12000000"/>
    <n v="3013"/>
    <n v="6"/>
    <n v="3"/>
    <n v="4"/>
    <s v="West"/>
    <s v="Gym; Garden; AC; Playground; Elevator; Library; Concierge; Security"/>
    <n v="8"/>
    <n v="9"/>
    <n v="32252"/>
    <n v="3.23"/>
    <s v="Premium"/>
    <n v="0.4113"/>
    <d v="2026-05-12T00:00:00"/>
    <n v="357"/>
    <x v="2"/>
    <n v="58"/>
    <x v="0"/>
    <b v="0"/>
    <n v="24000"/>
  </r>
  <r>
    <s v="PROP00713"/>
    <x v="5"/>
    <x v="10"/>
    <x v="1"/>
    <n v="323"/>
    <n v="30397515"/>
    <n v="94109"/>
    <n v="0"/>
    <n v="1"/>
    <n v="27"/>
    <s v="North-East"/>
    <s v="Playground; Library; AC; Elevator; Security"/>
    <n v="5"/>
    <n v="7"/>
    <n v="86204"/>
    <n v="3.4"/>
    <s v="Luxury"/>
    <n v="0.42020000000000002"/>
    <d v="2024-08-02T00:00:00"/>
    <n v="97"/>
    <x v="0"/>
    <n v="120"/>
    <x v="0"/>
    <b v="0"/>
    <n v="0"/>
  </r>
  <r>
    <s v="PROP00714"/>
    <x v="5"/>
    <x v="16"/>
    <x v="0"/>
    <n v="1432"/>
    <n v="40000000"/>
    <n v="27932"/>
    <n v="1"/>
    <n v="2"/>
    <n v="14"/>
    <s v="North-East"/>
    <s v="Gym; Elevator; Concierge; Security"/>
    <n v="4"/>
    <n v="6"/>
    <n v="107361"/>
    <n v="3.22"/>
    <s v="Luxury"/>
    <n v="0.41100000000000003"/>
    <d v="2025-07-24T00:00:00"/>
    <n v="219"/>
    <x v="0"/>
    <n v="75"/>
    <x v="0"/>
    <b v="0"/>
    <n v="80000"/>
  </r>
  <r>
    <s v="PROP00715"/>
    <x v="4"/>
    <x v="30"/>
    <x v="2"/>
    <n v="2741"/>
    <n v="12000000"/>
    <n v="4377"/>
    <n v="3"/>
    <n v="2"/>
    <n v="6"/>
    <s v="East"/>
    <s v="Security; Concierge; Library; Parking; Pool; Garden; Playground; Elevator"/>
    <n v="8"/>
    <n v="8"/>
    <n v="34688"/>
    <n v="3.47"/>
    <s v="Premium"/>
    <n v="0.42340000000000005"/>
    <d v="2025-01-02T00:00:00"/>
    <n v="329"/>
    <x v="0"/>
    <n v="160"/>
    <x v="0"/>
    <b v="1"/>
    <n v="0"/>
  </r>
  <r>
    <s v="PROP00716"/>
    <x v="0"/>
    <x v="18"/>
    <x v="4"/>
    <n v="5087"/>
    <n v="10000000"/>
    <n v="1965"/>
    <n v="6"/>
    <n v="3"/>
    <n v="8"/>
    <s v="North-East"/>
    <s v="AC; Security; Library; Gym; Concierge; Elevator; Playground; Garden"/>
    <n v="8"/>
    <n v="10"/>
    <n v="29071"/>
    <n v="3.49"/>
    <s v="Premium"/>
    <n v="0.4244"/>
    <d v="2024-06-29T00:00:00"/>
    <n v="272"/>
    <x v="1"/>
    <n v="177"/>
    <x v="0"/>
    <b v="0"/>
    <n v="20000"/>
  </r>
  <r>
    <s v="PROP00717"/>
    <x v="3"/>
    <x v="35"/>
    <x v="2"/>
    <n v="4647"/>
    <n v="30000000"/>
    <n v="6455"/>
    <n v="5"/>
    <n v="3"/>
    <n v="0"/>
    <s v="North-East"/>
    <s v="Garden; Parking; Pool; Playground; AC; Elevator"/>
    <n v="6"/>
    <n v="9"/>
    <n v="88597"/>
    <n v="3.54"/>
    <s v="Luxury"/>
    <n v="0.42719999999999997"/>
    <d v="2025-10-22T00:00:00"/>
    <n v="289"/>
    <x v="2"/>
    <n v="174"/>
    <x v="1"/>
    <b v="1"/>
    <n v="0"/>
  </r>
  <r>
    <s v="PROP00718"/>
    <x v="2"/>
    <x v="25"/>
    <x v="3"/>
    <n v="4006"/>
    <n v="15000000"/>
    <n v="3744"/>
    <n v="5"/>
    <n v="2"/>
    <n v="27"/>
    <s v="North-West"/>
    <s v="Playground; Concierge; Garden; Security; Parking"/>
    <n v="5"/>
    <n v="4"/>
    <n v="61437"/>
    <n v="4.91"/>
    <s v="Premium"/>
    <n v="0.49570000000000003"/>
    <d v="2026-04-28T00:00:00"/>
    <n v="71"/>
    <x v="2"/>
    <n v="174"/>
    <x v="0"/>
    <b v="0"/>
    <n v="30000"/>
  </r>
  <r>
    <s v="PROP00719"/>
    <x v="3"/>
    <x v="17"/>
    <x v="1"/>
    <n v="523"/>
    <n v="30000000"/>
    <n v="57361"/>
    <n v="0"/>
    <n v="1"/>
    <n v="21"/>
    <s v="South"/>
    <s v="Concierge; Parking; Garden; Playground; Pool; Library; AC"/>
    <n v="7"/>
    <n v="6"/>
    <n v="75584"/>
    <n v="3.02"/>
    <s v="Luxury"/>
    <n v="0.4012"/>
    <d v="2024-09-20T00:00:00"/>
    <n v="231"/>
    <x v="0"/>
    <n v="180"/>
    <x v="0"/>
    <b v="1"/>
    <n v="0"/>
  </r>
  <r>
    <s v="PROP00720"/>
    <x v="3"/>
    <x v="5"/>
    <x v="0"/>
    <n v="783"/>
    <n v="30000000"/>
    <n v="38314"/>
    <n v="3"/>
    <n v="1"/>
    <n v="1"/>
    <s v="North-West"/>
    <s v="Security; AC; Parking; Playground; Library; Gym"/>
    <n v="6"/>
    <n v="4"/>
    <n v="85817"/>
    <n v="3.43"/>
    <s v="Luxury"/>
    <n v="0.42159999999999997"/>
    <d v="2025-03-19T00:00:00"/>
    <n v="258"/>
    <x v="1"/>
    <n v="52"/>
    <x v="0"/>
    <b v="0"/>
    <n v="60000"/>
  </r>
  <r>
    <s v="PROP00721"/>
    <x v="2"/>
    <x v="33"/>
    <x v="2"/>
    <n v="2961"/>
    <n v="15000000"/>
    <n v="5065"/>
    <n v="5"/>
    <n v="2"/>
    <n v="0"/>
    <s v="North"/>
    <s v="Pool; Gym; Security; Elevator; Library; Playground; Concierge; Parking"/>
    <n v="8"/>
    <n v="6"/>
    <n v="42396"/>
    <n v="3.39"/>
    <s v="Premium"/>
    <n v="0.41960000000000003"/>
    <d v="2025-10-12T00:00:00"/>
    <n v="32"/>
    <x v="0"/>
    <n v="147"/>
    <x v="1"/>
    <b v="1"/>
    <n v="30000"/>
  </r>
  <r>
    <s v="PROP00722"/>
    <x v="1"/>
    <x v="28"/>
    <x v="3"/>
    <n v="5003"/>
    <n v="50000000"/>
    <n v="9994"/>
    <n v="5"/>
    <n v="3"/>
    <n v="4"/>
    <s v="East"/>
    <s v="Pool; Parking; Concierge; Garden; Gym; Elevator; AC; Playground"/>
    <n v="8"/>
    <n v="5"/>
    <n v="199408"/>
    <n v="4.79"/>
    <s v="Luxury"/>
    <n v="0.48930000000000001"/>
    <d v="2026-01-23T00:00:00"/>
    <n v="38"/>
    <x v="0"/>
    <n v="84"/>
    <x v="0"/>
    <b v="0"/>
    <n v="100000"/>
  </r>
  <r>
    <s v="PROP00723"/>
    <x v="2"/>
    <x v="32"/>
    <x v="3"/>
    <n v="4180"/>
    <n v="15000000"/>
    <n v="3588"/>
    <n v="5"/>
    <n v="3"/>
    <n v="5"/>
    <s v="North-East"/>
    <s v="AC; Garden; Concierge; Elevator; Pool; Security; Library"/>
    <n v="7"/>
    <n v="6"/>
    <n v="52657"/>
    <n v="4.21"/>
    <s v="Premium"/>
    <n v="0.46060000000000001"/>
    <d v="2026-04-24T00:00:00"/>
    <n v="275"/>
    <x v="0"/>
    <n v="126"/>
    <x v="1"/>
    <b v="1"/>
    <n v="30000"/>
  </r>
  <r>
    <s v="PROP00724"/>
    <x v="0"/>
    <x v="34"/>
    <x v="0"/>
    <n v="1341"/>
    <n v="10000000"/>
    <n v="7457"/>
    <n v="1"/>
    <n v="2"/>
    <n v="12"/>
    <s v="West"/>
    <s v="Elevator; Parking; Gym; Security; Pool; Library; Playground; Concierge"/>
    <n v="8"/>
    <n v="4"/>
    <n v="33473"/>
    <n v="4.0199999999999996"/>
    <s v="Premium"/>
    <n v="0.45079999999999998"/>
    <d v="2024-08-31T00:00:00"/>
    <n v="276"/>
    <x v="0"/>
    <n v="91"/>
    <x v="0"/>
    <b v="0"/>
    <n v="20000"/>
  </r>
  <r>
    <s v="PROP00725"/>
    <x v="5"/>
    <x v="13"/>
    <x v="2"/>
    <n v="3748"/>
    <n v="40000000"/>
    <n v="10672"/>
    <n v="3"/>
    <n v="1"/>
    <n v="1"/>
    <s v="East"/>
    <s v="Concierge; Garden; Parking; Library; Pool; Gym"/>
    <n v="6"/>
    <n v="9"/>
    <n v="104762"/>
    <n v="3.14"/>
    <s v="Luxury"/>
    <n v="0.40710000000000002"/>
    <d v="2024-08-03T00:00:00"/>
    <n v="236"/>
    <x v="0"/>
    <n v="112"/>
    <x v="0"/>
    <b v="0"/>
    <n v="0"/>
  </r>
  <r>
    <s v="PROP00726"/>
    <x v="1"/>
    <x v="28"/>
    <x v="0"/>
    <n v="511"/>
    <n v="50000000"/>
    <n v="97847"/>
    <n v="1"/>
    <n v="1"/>
    <n v="2"/>
    <s v="North-West"/>
    <s v="Parking; Pool; AC; Playground; Concierge"/>
    <n v="5"/>
    <n v="4"/>
    <n v="133188"/>
    <n v="3.2"/>
    <s v="Luxury"/>
    <n v="0.40979999999999994"/>
    <d v="2024-11-09T00:00:00"/>
    <n v="77"/>
    <x v="2"/>
    <n v="36"/>
    <x v="1"/>
    <b v="0"/>
    <n v="0"/>
  </r>
  <r>
    <s v="PROP00727"/>
    <x v="0"/>
    <x v="0"/>
    <x v="4"/>
    <n v="8288"/>
    <n v="10000000"/>
    <n v="1206"/>
    <n v="5"/>
    <n v="3"/>
    <n v="8"/>
    <s v="North-West"/>
    <s v="Pool; AC; Parking; Security"/>
    <n v="4"/>
    <n v="10"/>
    <n v="33703"/>
    <n v="4.04"/>
    <s v="Premium"/>
    <n v="0.45219999999999999"/>
    <d v="2026-02-25T00:00:00"/>
    <n v="257"/>
    <x v="0"/>
    <n v="103"/>
    <x v="0"/>
    <b v="0"/>
    <n v="0"/>
  </r>
  <r>
    <s v="PROP00728"/>
    <x v="2"/>
    <x v="26"/>
    <x v="4"/>
    <n v="6560"/>
    <n v="15000000"/>
    <n v="2286"/>
    <n v="5"/>
    <n v="2"/>
    <n v="1"/>
    <s v="South"/>
    <s v="Gym; Elevator; Security; Pool; Garden; Parking; Concierge"/>
    <n v="7"/>
    <n v="7"/>
    <n v="50397"/>
    <n v="4.03"/>
    <s v="Premium"/>
    <n v="0.45159999999999995"/>
    <d v="2024-11-18T00:00:00"/>
    <n v="63"/>
    <x v="0"/>
    <n v="174"/>
    <x v="0"/>
    <b v="0"/>
    <n v="30000"/>
  </r>
  <r>
    <s v="PROP00729"/>
    <x v="5"/>
    <x v="14"/>
    <x v="3"/>
    <n v="4634"/>
    <n v="40000000"/>
    <n v="8631"/>
    <n v="5"/>
    <n v="2"/>
    <n v="11"/>
    <s v="North"/>
    <s v="Parking; Library; Gym; Security; Playground"/>
    <n v="5"/>
    <n v="8"/>
    <n v="103535"/>
    <n v="3.11"/>
    <s v="Luxury"/>
    <n v="0.40529999999999999"/>
    <d v="2025-10-14T00:00:00"/>
    <n v="236"/>
    <x v="0"/>
    <n v="172"/>
    <x v="1"/>
    <b v="1"/>
    <n v="80000"/>
  </r>
  <r>
    <s v="PROP00730"/>
    <x v="3"/>
    <x v="35"/>
    <x v="0"/>
    <n v="1496"/>
    <n v="30000000"/>
    <n v="20053"/>
    <n v="1"/>
    <n v="1"/>
    <n v="27"/>
    <s v="North-East"/>
    <s v="Security; AC; Pool; Elevator; Library; Gym"/>
    <n v="6"/>
    <n v="7"/>
    <n v="87933"/>
    <n v="3.52"/>
    <s v="Luxury"/>
    <n v="0.42590000000000006"/>
    <d v="2024-07-24T00:00:00"/>
    <n v="128"/>
    <x v="0"/>
    <n v="157"/>
    <x v="0"/>
    <b v="0"/>
    <n v="60000"/>
  </r>
  <r>
    <s v="PROP00731"/>
    <x v="4"/>
    <x v="29"/>
    <x v="0"/>
    <n v="2037"/>
    <n v="12000000"/>
    <n v="5891"/>
    <n v="3"/>
    <n v="1"/>
    <n v="4"/>
    <s v="North-East"/>
    <s v="Pool; Parking; Library; Security; Playground; AC; Elevator; Concierge"/>
    <n v="8"/>
    <n v="10"/>
    <n v="33171"/>
    <n v="3.32"/>
    <s v="Premium"/>
    <n v="0.41590000000000005"/>
    <d v="2025-09-08T00:00:00"/>
    <n v="189"/>
    <x v="1"/>
    <n v="63"/>
    <x v="1"/>
    <b v="1"/>
    <n v="24000"/>
  </r>
  <r>
    <s v="PROP00732"/>
    <x v="5"/>
    <x v="13"/>
    <x v="0"/>
    <n v="2292"/>
    <n v="40000000"/>
    <n v="17452"/>
    <n v="1"/>
    <n v="2"/>
    <n v="9"/>
    <s v="South-West"/>
    <s v="Library; Parking; Playground; Elevator; AC; Concierge; Gym; Garden"/>
    <n v="8"/>
    <n v="9"/>
    <n v="148074"/>
    <n v="4.4400000000000004"/>
    <s v="Luxury"/>
    <n v="0.47210000000000002"/>
    <d v="2025-05-02T00:00:00"/>
    <n v="151"/>
    <x v="0"/>
    <n v="77"/>
    <x v="0"/>
    <b v="1"/>
    <n v="80000"/>
  </r>
  <r>
    <s v="PROP00733"/>
    <x v="2"/>
    <x v="2"/>
    <x v="2"/>
    <n v="3184"/>
    <n v="15000000"/>
    <n v="4711"/>
    <n v="4"/>
    <n v="3"/>
    <n v="16"/>
    <s v="West"/>
    <s v="AC; Elevator; Gym; Library; Pool; Concierge; Parking"/>
    <n v="7"/>
    <n v="6"/>
    <n v="50024"/>
    <n v="4"/>
    <s v="Premium"/>
    <n v="0.4501"/>
    <d v="2025-11-13T00:00:00"/>
    <n v="69"/>
    <x v="2"/>
    <n v="114"/>
    <x v="1"/>
    <b v="1"/>
    <n v="0"/>
  </r>
  <r>
    <s v="PROP00734"/>
    <x v="1"/>
    <x v="24"/>
    <x v="0"/>
    <n v="1593"/>
    <n v="50000000"/>
    <n v="31387"/>
    <n v="2"/>
    <n v="1"/>
    <n v="29"/>
    <s v="North-East"/>
    <s v="Garden; Playground; Elevator; Library"/>
    <n v="4"/>
    <n v="5"/>
    <n v="198623"/>
    <n v="4.7699999999999996"/>
    <s v="Luxury"/>
    <n v="0.48829999999999996"/>
    <d v="2026-01-09T00:00:00"/>
    <n v="53"/>
    <x v="0"/>
    <n v="66"/>
    <x v="0"/>
    <b v="1"/>
    <n v="0"/>
  </r>
  <r>
    <s v="PROP00735"/>
    <x v="4"/>
    <x v="30"/>
    <x v="0"/>
    <n v="2629"/>
    <n v="12000000"/>
    <n v="4564"/>
    <n v="1"/>
    <n v="1"/>
    <n v="7"/>
    <s v="West"/>
    <s v="Pool; Garden; Concierge; Elevator; Library; AC; Parking"/>
    <n v="7"/>
    <n v="4"/>
    <n v="38132"/>
    <n v="3.81"/>
    <s v="Premium"/>
    <n v="0.44069999999999998"/>
    <d v="2026-04-09T00:00:00"/>
    <n v="255"/>
    <x v="2"/>
    <n v="159"/>
    <x v="1"/>
    <b v="0"/>
    <n v="24000"/>
  </r>
  <r>
    <s v="PROP00736"/>
    <x v="2"/>
    <x v="25"/>
    <x v="1"/>
    <n v="532"/>
    <n v="15000000"/>
    <n v="28195"/>
    <n v="0"/>
    <n v="1"/>
    <n v="29"/>
    <s v="South"/>
    <s v="Garden; Gym; AC; Security"/>
    <n v="4"/>
    <n v="8"/>
    <n v="47875"/>
    <n v="3.83"/>
    <s v="Premium"/>
    <n v="0.4415"/>
    <d v="2024-10-29T00:00:00"/>
    <n v="7"/>
    <x v="0"/>
    <n v="164"/>
    <x v="0"/>
    <b v="0"/>
    <n v="0"/>
  </r>
  <r>
    <s v="PROP00737"/>
    <x v="2"/>
    <x v="33"/>
    <x v="1"/>
    <n v="385"/>
    <n v="15000000"/>
    <n v="38961"/>
    <n v="1"/>
    <n v="1"/>
    <n v="30"/>
    <s v="North"/>
    <s v="Library; Gym; Garden; Concierge; Parking; Security; Playground; AC"/>
    <n v="8"/>
    <n v="9"/>
    <n v="52592"/>
    <n v="4.21"/>
    <s v="Premium"/>
    <n v="0.46039999999999998"/>
    <d v="2026-01-08T00:00:00"/>
    <n v="147"/>
    <x v="1"/>
    <n v="177"/>
    <x v="0"/>
    <b v="0"/>
    <n v="30000"/>
  </r>
  <r>
    <s v="PROP00738"/>
    <x v="3"/>
    <x v="17"/>
    <x v="4"/>
    <n v="6910"/>
    <n v="30000000"/>
    <n v="4341"/>
    <n v="5"/>
    <n v="2"/>
    <n v="18"/>
    <s v="East"/>
    <s v="Library; Garden; Parking; Elevator"/>
    <n v="4"/>
    <n v="5"/>
    <n v="105328"/>
    <n v="4.21"/>
    <s v="Luxury"/>
    <n v="0.4607"/>
    <d v="2024-12-13T00:00:00"/>
    <n v="141"/>
    <x v="0"/>
    <n v="145"/>
    <x v="1"/>
    <b v="0"/>
    <n v="0"/>
  </r>
  <r>
    <s v="PROP00739"/>
    <x v="1"/>
    <x v="28"/>
    <x v="2"/>
    <n v="1649"/>
    <n v="50000000"/>
    <n v="30321"/>
    <n v="4"/>
    <n v="2"/>
    <n v="16"/>
    <s v="North-West"/>
    <s v="Library; Gym; Playground; Concierge; AC; Parking; Pool"/>
    <n v="7"/>
    <n v="4"/>
    <n v="160722"/>
    <n v="3.86"/>
    <s v="Luxury"/>
    <n v="0.44290000000000002"/>
    <d v="2026-03-28T00:00:00"/>
    <n v="66"/>
    <x v="0"/>
    <n v="59"/>
    <x v="1"/>
    <b v="1"/>
    <n v="100000"/>
  </r>
  <r>
    <s v="PROP00740"/>
    <x v="3"/>
    <x v="35"/>
    <x v="4"/>
    <n v="4664"/>
    <n v="30000000"/>
    <n v="6432"/>
    <n v="5"/>
    <n v="3"/>
    <n v="12"/>
    <s v="South-East"/>
    <s v="Pool; Gym; Library; Elevator; Playground; Garden; AC"/>
    <n v="7"/>
    <n v="6"/>
    <n v="85642"/>
    <n v="3.43"/>
    <s v="Luxury"/>
    <n v="0.42130000000000001"/>
    <d v="2025-11-16T00:00:00"/>
    <n v="183"/>
    <x v="2"/>
    <n v="117"/>
    <x v="0"/>
    <b v="0"/>
    <n v="60000"/>
  </r>
  <r>
    <s v="PROP00741"/>
    <x v="2"/>
    <x v="25"/>
    <x v="0"/>
    <n v="2388"/>
    <n v="15000000"/>
    <n v="6281"/>
    <n v="4"/>
    <n v="3"/>
    <n v="24"/>
    <s v="West"/>
    <s v="Parking; Garden; Security; Elevator; Playground; Gym; Concierge"/>
    <n v="7"/>
    <n v="10"/>
    <n v="51363"/>
    <n v="4.1100000000000003"/>
    <s v="Premium"/>
    <n v="0.45549999999999996"/>
    <d v="2024-11-20T00:00:00"/>
    <n v="176"/>
    <x v="1"/>
    <n v="79"/>
    <x v="1"/>
    <b v="1"/>
    <n v="0"/>
  </r>
  <r>
    <s v="PROP00742"/>
    <x v="0"/>
    <x v="9"/>
    <x v="4"/>
    <n v="4118"/>
    <n v="10000000"/>
    <n v="2428"/>
    <n v="5"/>
    <n v="2"/>
    <n v="6"/>
    <s v="South-East"/>
    <s v="Playground; Pool; Gym; Concierge"/>
    <n v="4"/>
    <n v="8"/>
    <n v="36566"/>
    <n v="4.3899999999999997"/>
    <s v="Premium"/>
    <n v="0.46939999999999998"/>
    <d v="2024-09-01T00:00:00"/>
    <n v="290"/>
    <x v="2"/>
    <n v="124"/>
    <x v="0"/>
    <b v="0"/>
    <n v="0"/>
  </r>
  <r>
    <s v="PROP00743"/>
    <x v="4"/>
    <x v="6"/>
    <x v="0"/>
    <n v="2255"/>
    <n v="12000000"/>
    <n v="5321"/>
    <n v="3"/>
    <n v="1"/>
    <n v="12"/>
    <s v="South"/>
    <s v="Elevator; Library; AC; Concierge; Playground; Parking; Garden"/>
    <n v="7"/>
    <n v="8"/>
    <n v="35910"/>
    <n v="3.59"/>
    <s v="Premium"/>
    <n v="0.42950000000000005"/>
    <d v="2024-11-12T00:00:00"/>
    <n v="327"/>
    <x v="2"/>
    <n v="128"/>
    <x v="0"/>
    <b v="1"/>
    <n v="0"/>
  </r>
  <r>
    <s v="PROP00744"/>
    <x v="4"/>
    <x v="4"/>
    <x v="2"/>
    <n v="1587"/>
    <n v="12000000"/>
    <n v="7561"/>
    <n v="4"/>
    <n v="2"/>
    <n v="30"/>
    <s v="West"/>
    <s v="Garden; Pool; Parking; Library"/>
    <n v="4"/>
    <n v="8"/>
    <n v="32825"/>
    <n v="3.28"/>
    <s v="Premium"/>
    <n v="0.41409999999999997"/>
    <d v="2025-02-28T00:00:00"/>
    <n v="209"/>
    <x v="0"/>
    <n v="44"/>
    <x v="0"/>
    <b v="0"/>
    <n v="24000"/>
  </r>
  <r>
    <s v="PROP00745"/>
    <x v="2"/>
    <x v="33"/>
    <x v="0"/>
    <n v="2272"/>
    <n v="15000000"/>
    <n v="6602"/>
    <n v="4"/>
    <n v="2"/>
    <n v="20"/>
    <s v="West"/>
    <s v="Parking; Garden; Security; Concierge; Playground; Pool"/>
    <n v="6"/>
    <n v="8"/>
    <n v="54063"/>
    <n v="4.33"/>
    <s v="Premium"/>
    <n v="0.46630000000000005"/>
    <d v="2025-05-09T00:00:00"/>
    <n v="337"/>
    <x v="2"/>
    <n v="65"/>
    <x v="0"/>
    <b v="0"/>
    <n v="30000"/>
  </r>
  <r>
    <s v="PROP00746"/>
    <x v="5"/>
    <x v="16"/>
    <x v="0"/>
    <n v="983"/>
    <n v="40000000"/>
    <n v="40691"/>
    <n v="4"/>
    <n v="3"/>
    <n v="0"/>
    <s v="North-East"/>
    <s v="Parking; Library; Playground; Security; Concierge; Pool; Garden"/>
    <n v="7"/>
    <n v="7"/>
    <n v="136707"/>
    <n v="4.0999999999999996"/>
    <s v="Luxury"/>
    <n v="0.4551"/>
    <d v="2024-10-05T00:00:00"/>
    <n v="111"/>
    <x v="0"/>
    <n v="48"/>
    <x v="0"/>
    <b v="0"/>
    <n v="0"/>
  </r>
  <r>
    <s v="PROP00747"/>
    <x v="1"/>
    <x v="23"/>
    <x v="3"/>
    <n v="3558"/>
    <n v="50000000"/>
    <n v="14052"/>
    <n v="5"/>
    <n v="3"/>
    <n v="29"/>
    <s v="South-West"/>
    <s v="Security; Garden; Elevator"/>
    <n v="3"/>
    <n v="6"/>
    <n v="145050"/>
    <n v="3.48"/>
    <s v="Luxury"/>
    <n v="0.42409999999999998"/>
    <d v="2025-06-30T00:00:00"/>
    <n v="16"/>
    <x v="2"/>
    <n v="40"/>
    <x v="0"/>
    <b v="0"/>
    <n v="100000"/>
  </r>
  <r>
    <s v="PROP00748"/>
    <x v="1"/>
    <x v="28"/>
    <x v="4"/>
    <n v="6557"/>
    <n v="50000000"/>
    <n v="7625"/>
    <n v="6"/>
    <n v="4"/>
    <n v="29"/>
    <s v="West"/>
    <s v="Pool; Gym; Elevator; Library; Garden; Security"/>
    <n v="6"/>
    <n v="10"/>
    <n v="180692"/>
    <n v="4.34"/>
    <s v="Luxury"/>
    <n v="0.46679999999999999"/>
    <d v="2024-08-26T00:00:00"/>
    <n v="25"/>
    <x v="0"/>
    <n v="36"/>
    <x v="0"/>
    <b v="0"/>
    <n v="100000"/>
  </r>
  <r>
    <s v="PROP00749"/>
    <x v="4"/>
    <x v="29"/>
    <x v="2"/>
    <n v="1828"/>
    <n v="12000000"/>
    <n v="6564"/>
    <n v="4"/>
    <n v="2"/>
    <n v="27"/>
    <s v="North-West"/>
    <s v="Playground; Gym; Concierge; Garden; Pool; Security; Elevator; Parking"/>
    <n v="8"/>
    <n v="5"/>
    <n v="42539"/>
    <n v="4.25"/>
    <s v="Premium"/>
    <n v="0.46270000000000006"/>
    <d v="2026-03-24T00:00:00"/>
    <n v="139"/>
    <x v="2"/>
    <n v="101"/>
    <x v="0"/>
    <b v="0"/>
    <n v="0"/>
  </r>
  <r>
    <s v="PROP00750"/>
    <x v="2"/>
    <x v="25"/>
    <x v="2"/>
    <n v="3100"/>
    <n v="15000000"/>
    <n v="4838"/>
    <n v="3"/>
    <n v="1"/>
    <n v="22"/>
    <s v="East"/>
    <s v="Parking; Library; AC; Playground; Pool; Security"/>
    <n v="6"/>
    <n v="7"/>
    <n v="51386"/>
    <n v="4.1100000000000003"/>
    <s v="Premium"/>
    <n v="0.45549999999999996"/>
    <d v="2026-02-09T00:00:00"/>
    <n v="197"/>
    <x v="2"/>
    <n v="151"/>
    <x v="0"/>
    <b v="1"/>
    <n v="30000"/>
  </r>
  <r>
    <s v="PROP00751"/>
    <x v="5"/>
    <x v="11"/>
    <x v="1"/>
    <n v="518"/>
    <n v="40000000"/>
    <n v="77220"/>
    <n v="1"/>
    <n v="1"/>
    <n v="6"/>
    <s v="East"/>
    <s v="Garden; Concierge; Elevator; Gym"/>
    <n v="4"/>
    <n v="7"/>
    <n v="120946"/>
    <n v="3.63"/>
    <s v="Luxury"/>
    <n v="0.43140000000000001"/>
    <d v="2025-11-20T00:00:00"/>
    <n v="240"/>
    <x v="0"/>
    <n v="57"/>
    <x v="0"/>
    <b v="0"/>
    <n v="80000"/>
  </r>
  <r>
    <s v="PROP00752"/>
    <x v="3"/>
    <x v="15"/>
    <x v="0"/>
    <n v="721"/>
    <n v="30000000"/>
    <n v="41608"/>
    <n v="2"/>
    <n v="1"/>
    <n v="12"/>
    <s v="South-East"/>
    <s v="Garden; Library; Elevator"/>
    <n v="3"/>
    <n v="7"/>
    <n v="99787"/>
    <n v="3.99"/>
    <s v="Luxury"/>
    <n v="0.4496"/>
    <d v="2024-10-04T00:00:00"/>
    <n v="98"/>
    <x v="1"/>
    <n v="61"/>
    <x v="0"/>
    <b v="0"/>
    <n v="60000"/>
  </r>
  <r>
    <s v="PROP00753"/>
    <x v="0"/>
    <x v="9"/>
    <x v="2"/>
    <n v="2757"/>
    <n v="10000000"/>
    <n v="3627"/>
    <n v="4"/>
    <n v="2"/>
    <n v="23"/>
    <s v="South-West"/>
    <s v="Elevator; Playground; Gym; Pool"/>
    <n v="4"/>
    <n v="6"/>
    <n v="25716"/>
    <n v="3.09"/>
    <s v="Premium"/>
    <n v="0.40429999999999999"/>
    <d v="2026-02-07T00:00:00"/>
    <n v="122"/>
    <x v="0"/>
    <n v="43"/>
    <x v="1"/>
    <b v="1"/>
    <n v="0"/>
  </r>
  <r>
    <s v="PROP00754"/>
    <x v="1"/>
    <x v="21"/>
    <x v="1"/>
    <n v="523"/>
    <n v="50000000"/>
    <n v="95602"/>
    <n v="0"/>
    <n v="1"/>
    <n v="28"/>
    <s v="East"/>
    <s v="Concierge; AC; Parking; Pool; Gym; Playground"/>
    <n v="6"/>
    <n v="5"/>
    <n v="198181"/>
    <n v="4.76"/>
    <s v="Luxury"/>
    <n v="0.48780000000000001"/>
    <d v="2024-09-18T00:00:00"/>
    <n v="322"/>
    <x v="0"/>
    <n v="56"/>
    <x v="0"/>
    <b v="0"/>
    <n v="0"/>
  </r>
  <r>
    <s v="PROP00755"/>
    <x v="3"/>
    <x v="5"/>
    <x v="4"/>
    <n v="5786"/>
    <n v="30000000"/>
    <n v="5184"/>
    <n v="6"/>
    <n v="4"/>
    <n v="25"/>
    <s v="East"/>
    <s v="Elevator; Concierge; Garden; Library; AC; Pool; Security; Gym"/>
    <n v="8"/>
    <n v="5"/>
    <n v="124795"/>
    <n v="4.99"/>
    <s v="Luxury"/>
    <n v="0.49959999999999999"/>
    <d v="2025-03-22T00:00:00"/>
    <n v="231"/>
    <x v="0"/>
    <n v="176"/>
    <x v="0"/>
    <b v="0"/>
    <n v="0"/>
  </r>
  <r>
    <s v="PROP00756"/>
    <x v="2"/>
    <x v="33"/>
    <x v="0"/>
    <n v="2257"/>
    <n v="15000000"/>
    <n v="6645"/>
    <n v="4"/>
    <n v="2"/>
    <n v="12"/>
    <s v="North"/>
    <s v="Garden; Library; Parking; AC; Gym; Concierge"/>
    <n v="6"/>
    <n v="5"/>
    <n v="41090"/>
    <n v="3.29"/>
    <s v="Premium"/>
    <n v="0.41439999999999999"/>
    <d v="2024-07-09T00:00:00"/>
    <n v="323"/>
    <x v="2"/>
    <n v="87"/>
    <x v="1"/>
    <b v="0"/>
    <n v="30000"/>
  </r>
  <r>
    <s v="PROP00757"/>
    <x v="1"/>
    <x v="21"/>
    <x v="2"/>
    <n v="1560"/>
    <n v="50000000"/>
    <n v="32051"/>
    <n v="4"/>
    <n v="3"/>
    <n v="29"/>
    <s v="South"/>
    <s v="Security; Library; Parking"/>
    <n v="3"/>
    <n v="8"/>
    <n v="189174"/>
    <n v="4.54"/>
    <s v="Luxury"/>
    <n v="0.47700000000000004"/>
    <d v="2025-11-17T00:00:00"/>
    <n v="168"/>
    <x v="0"/>
    <n v="65"/>
    <x v="1"/>
    <b v="0"/>
    <n v="100000"/>
  </r>
  <r>
    <s v="PROP00758"/>
    <x v="4"/>
    <x v="12"/>
    <x v="4"/>
    <n v="9328"/>
    <n v="12000000"/>
    <n v="1286"/>
    <n v="6"/>
    <n v="4"/>
    <n v="7"/>
    <s v="East"/>
    <s v="Elevator; AC; Security; Library; Concierge; Gym"/>
    <n v="6"/>
    <n v="8"/>
    <n v="48371"/>
    <n v="4.84"/>
    <s v="Premium"/>
    <n v="0.4919"/>
    <d v="2025-06-10T00:00:00"/>
    <n v="340"/>
    <x v="2"/>
    <n v="88"/>
    <x v="1"/>
    <b v="0"/>
    <n v="0"/>
  </r>
  <r>
    <s v="PROP00759"/>
    <x v="0"/>
    <x v="34"/>
    <x v="2"/>
    <n v="3980"/>
    <n v="10000000"/>
    <n v="2512"/>
    <n v="4"/>
    <n v="2"/>
    <n v="20"/>
    <s v="North-West"/>
    <s v="Security; Playground; Concierge"/>
    <n v="3"/>
    <n v="7"/>
    <n v="37519"/>
    <n v="4.5"/>
    <s v="Premium"/>
    <n v="0.47509999999999997"/>
    <d v="2026-04-08T00:00:00"/>
    <n v="183"/>
    <x v="2"/>
    <n v="53"/>
    <x v="0"/>
    <b v="1"/>
    <n v="0"/>
  </r>
  <r>
    <s v="PROP00760"/>
    <x v="2"/>
    <x v="2"/>
    <x v="1"/>
    <n v="350"/>
    <n v="15000000"/>
    <n v="42857"/>
    <n v="0"/>
    <n v="1"/>
    <n v="29"/>
    <s v="North-West"/>
    <s v="Concierge; Security; Library; Elevator; Gym; AC; Playground"/>
    <n v="7"/>
    <n v="10"/>
    <n v="50804"/>
    <n v="4.0599999999999996"/>
    <s v="Premium"/>
    <n v="0.45319999999999999"/>
    <d v="2025-04-16T00:00:00"/>
    <n v="224"/>
    <x v="0"/>
    <n v="177"/>
    <x v="1"/>
    <b v="1"/>
    <n v="30000"/>
  </r>
  <r>
    <s v="PROP00761"/>
    <x v="5"/>
    <x v="14"/>
    <x v="4"/>
    <n v="4606"/>
    <n v="40000000"/>
    <n v="8684"/>
    <n v="5"/>
    <n v="2"/>
    <n v="25"/>
    <s v="North"/>
    <s v="AC; Playground; Gym; Garden; Elevator; Pool; Security; Library"/>
    <n v="8"/>
    <n v="6"/>
    <n v="158868"/>
    <n v="4.7699999999999996"/>
    <s v="Luxury"/>
    <n v="0.48829999999999996"/>
    <d v="2024-07-04T00:00:00"/>
    <n v="196"/>
    <x v="1"/>
    <n v="129"/>
    <x v="1"/>
    <b v="0"/>
    <n v="80000"/>
  </r>
  <r>
    <s v="PROP00762"/>
    <x v="1"/>
    <x v="23"/>
    <x v="0"/>
    <n v="1087"/>
    <n v="50000000"/>
    <n v="45998"/>
    <n v="3"/>
    <n v="1"/>
    <n v="24"/>
    <s v="South-West"/>
    <s v="Playground; Elevator; Security; Parking; Pool; Concierge; Garden; AC"/>
    <n v="8"/>
    <n v="9"/>
    <n v="154418"/>
    <n v="3.71"/>
    <s v="Luxury"/>
    <n v="0.43530000000000002"/>
    <d v="2024-08-26T00:00:00"/>
    <n v="325"/>
    <x v="0"/>
    <n v="93"/>
    <x v="0"/>
    <b v="0"/>
    <n v="0"/>
  </r>
  <r>
    <s v="PROP00763"/>
    <x v="3"/>
    <x v="15"/>
    <x v="4"/>
    <n v="7690"/>
    <n v="30000000"/>
    <n v="3901"/>
    <n v="4"/>
    <n v="3"/>
    <n v="12"/>
    <s v="South-East"/>
    <s v="Security; Pool; Playground; AC"/>
    <n v="4"/>
    <n v="6"/>
    <n v="121608"/>
    <n v="4.8600000000000003"/>
    <s v="Luxury"/>
    <n v="0.49320000000000003"/>
    <d v="2025-11-13T00:00:00"/>
    <n v="86"/>
    <x v="1"/>
    <n v="129"/>
    <x v="0"/>
    <b v="0"/>
    <n v="60000"/>
  </r>
  <r>
    <s v="PROP00764"/>
    <x v="0"/>
    <x v="34"/>
    <x v="2"/>
    <n v="3669"/>
    <n v="10000000"/>
    <n v="2725"/>
    <n v="4"/>
    <n v="2"/>
    <n v="7"/>
    <s v="North-East"/>
    <s v="Pool; AC; Library; Parking; Concierge; Gym; Garden"/>
    <n v="7"/>
    <n v="8"/>
    <n v="40826"/>
    <n v="4.9000000000000004"/>
    <s v="Premium"/>
    <n v="0.495"/>
    <d v="2024-10-19T00:00:00"/>
    <n v="250"/>
    <x v="0"/>
    <n v="112"/>
    <x v="1"/>
    <b v="0"/>
    <n v="20000"/>
  </r>
  <r>
    <s v="PROP00765"/>
    <x v="1"/>
    <x v="1"/>
    <x v="2"/>
    <n v="4072"/>
    <n v="50000000"/>
    <n v="12278"/>
    <n v="2"/>
    <n v="1"/>
    <n v="29"/>
    <s v="North"/>
    <s v="Concierge; Elevator; Parking"/>
    <n v="3"/>
    <n v="6"/>
    <n v="194418"/>
    <n v="4.67"/>
    <s v="Luxury"/>
    <n v="0.48330000000000001"/>
    <d v="2025-06-07T00:00:00"/>
    <n v="45"/>
    <x v="0"/>
    <n v="39"/>
    <x v="1"/>
    <b v="1"/>
    <n v="0"/>
  </r>
  <r>
    <s v="PROP00766"/>
    <x v="5"/>
    <x v="11"/>
    <x v="2"/>
    <n v="2702"/>
    <n v="40000000"/>
    <n v="14803"/>
    <n v="5"/>
    <n v="2"/>
    <n v="10"/>
    <s v="South-East"/>
    <s v="Garden; Pool; Elevator; Playground; AC"/>
    <n v="5"/>
    <n v="10"/>
    <n v="114297"/>
    <n v="3.43"/>
    <s v="Luxury"/>
    <n v="0.4214"/>
    <d v="2025-03-11T00:00:00"/>
    <n v="50"/>
    <x v="0"/>
    <n v="164"/>
    <x v="0"/>
    <b v="0"/>
    <n v="0"/>
  </r>
  <r>
    <s v="PROP00767"/>
    <x v="5"/>
    <x v="11"/>
    <x v="0"/>
    <n v="2942"/>
    <n v="40000000"/>
    <n v="13596"/>
    <n v="3"/>
    <n v="1"/>
    <n v="22"/>
    <s v="South"/>
    <s v="Pool; Security; Elevator; Gym; Parking; Concierge; Garden; AC"/>
    <n v="8"/>
    <n v="9"/>
    <n v="134914"/>
    <n v="4.05"/>
    <s v="Luxury"/>
    <n v="0.45240000000000002"/>
    <d v="2024-10-17T00:00:00"/>
    <n v="245"/>
    <x v="0"/>
    <n v="63"/>
    <x v="0"/>
    <b v="0"/>
    <n v="0"/>
  </r>
  <r>
    <s v="PROP00768"/>
    <x v="3"/>
    <x v="15"/>
    <x v="4"/>
    <n v="7315"/>
    <n v="30000000"/>
    <n v="4101"/>
    <n v="6"/>
    <n v="4"/>
    <n v="12"/>
    <s v="North"/>
    <s v="Parking; Playground; Library; Garden"/>
    <n v="4"/>
    <n v="10"/>
    <n v="118201"/>
    <n v="4.7300000000000004"/>
    <s v="Luxury"/>
    <n v="0.4864"/>
    <d v="2024-09-24T00:00:00"/>
    <n v="276"/>
    <x v="0"/>
    <n v="145"/>
    <x v="1"/>
    <b v="0"/>
    <n v="0"/>
  </r>
  <r>
    <s v="PROP00769"/>
    <x v="3"/>
    <x v="15"/>
    <x v="1"/>
    <n v="422"/>
    <n v="30000000"/>
    <n v="71090"/>
    <n v="1"/>
    <n v="2"/>
    <n v="17"/>
    <s v="East"/>
    <s v="Playground; Library; Elevator; AC; Parking; Security; Concierge; Gym"/>
    <n v="8"/>
    <n v="10"/>
    <n v="105719"/>
    <n v="4.2300000000000004"/>
    <s v="Luxury"/>
    <n v="0.46140000000000003"/>
    <d v="2026-01-13T00:00:00"/>
    <n v="171"/>
    <x v="1"/>
    <n v="139"/>
    <x v="0"/>
    <b v="1"/>
    <n v="60000"/>
  </r>
  <r>
    <s v="PROP00770"/>
    <x v="1"/>
    <x v="28"/>
    <x v="3"/>
    <n v="4513"/>
    <n v="50000000"/>
    <n v="11079"/>
    <n v="5"/>
    <n v="2"/>
    <n v="18"/>
    <s v="South"/>
    <s v="Garden; Pool; Elevator; AC; Playground; Gym; Parking; Library"/>
    <n v="8"/>
    <n v="5"/>
    <n v="151998"/>
    <n v="3.65"/>
    <s v="Luxury"/>
    <n v="0.43240000000000001"/>
    <d v="2025-01-07T00:00:00"/>
    <n v="285"/>
    <x v="0"/>
    <n v="138"/>
    <x v="0"/>
    <b v="1"/>
    <n v="0"/>
  </r>
  <r>
    <s v="PROP00771"/>
    <x v="5"/>
    <x v="13"/>
    <x v="4"/>
    <n v="7299"/>
    <n v="40000000"/>
    <n v="5480"/>
    <n v="6"/>
    <n v="4"/>
    <n v="12"/>
    <s v="North-West"/>
    <s v="Elevator; Concierge; Parking; Garden; Playground; Pool; Library"/>
    <n v="7"/>
    <n v="5"/>
    <n v="152588"/>
    <n v="4.58"/>
    <s v="Luxury"/>
    <n v="0.47889999999999999"/>
    <d v="2025-07-19T00:00:00"/>
    <n v="67"/>
    <x v="2"/>
    <n v="31"/>
    <x v="1"/>
    <b v="1"/>
    <n v="0"/>
  </r>
  <r>
    <s v="PROP00772"/>
    <x v="5"/>
    <x v="10"/>
    <x v="0"/>
    <n v="2553"/>
    <n v="40000000"/>
    <n v="15667"/>
    <n v="2"/>
    <n v="1"/>
    <n v="22"/>
    <s v="East"/>
    <s v="Pool; Parking; Garden; Library; Gym; Elevator; Security"/>
    <n v="7"/>
    <n v="4"/>
    <n v="143009"/>
    <n v="4.29"/>
    <s v="Luxury"/>
    <n v="0.46450000000000002"/>
    <d v="2024-08-11T00:00:00"/>
    <n v="194"/>
    <x v="0"/>
    <n v="45"/>
    <x v="0"/>
    <b v="1"/>
    <n v="80000"/>
  </r>
  <r>
    <s v="PROP00773"/>
    <x v="2"/>
    <x v="22"/>
    <x v="1"/>
    <n v="331"/>
    <n v="15000000"/>
    <n v="45317"/>
    <n v="0"/>
    <n v="2"/>
    <n v="11"/>
    <s v="South-West"/>
    <s v="AC; Parking; Concierge"/>
    <n v="3"/>
    <n v="5"/>
    <n v="39677"/>
    <n v="3.17"/>
    <s v="Premium"/>
    <n v="0.40869999999999995"/>
    <d v="2025-02-02T00:00:00"/>
    <n v="246"/>
    <x v="0"/>
    <n v="119"/>
    <x v="1"/>
    <b v="0"/>
    <n v="0"/>
  </r>
  <r>
    <s v="PROP00774"/>
    <x v="0"/>
    <x v="18"/>
    <x v="4"/>
    <n v="8142"/>
    <n v="10000000"/>
    <n v="1228"/>
    <n v="5"/>
    <n v="3"/>
    <n v="4"/>
    <s v="North-West"/>
    <s v="Parking; Gym; Playground; Pool; Security; AC"/>
    <n v="6"/>
    <n v="7"/>
    <n v="35961"/>
    <n v="4.32"/>
    <s v="Premium"/>
    <n v="0.46579999999999999"/>
    <d v="2025-09-10T00:00:00"/>
    <n v="282"/>
    <x v="2"/>
    <n v="43"/>
    <x v="0"/>
    <b v="0"/>
    <n v="20000"/>
  </r>
  <r>
    <s v="PROP00775"/>
    <x v="0"/>
    <x v="8"/>
    <x v="3"/>
    <n v="2518"/>
    <n v="10000000"/>
    <n v="3971"/>
    <n v="6"/>
    <n v="3"/>
    <n v="6"/>
    <s v="East"/>
    <s v="Garden; Parking; Gym; AC; Pool; Playground"/>
    <n v="6"/>
    <n v="7"/>
    <n v="34447"/>
    <n v="4.13"/>
    <s v="Premium"/>
    <n v="0.45669999999999999"/>
    <d v="2024-08-23T00:00:00"/>
    <n v="52"/>
    <x v="0"/>
    <n v="73"/>
    <x v="1"/>
    <b v="0"/>
    <n v="20000"/>
  </r>
  <r>
    <s v="PROP00776"/>
    <x v="0"/>
    <x v="18"/>
    <x v="3"/>
    <n v="6531"/>
    <n v="10000000"/>
    <n v="1531"/>
    <n v="4"/>
    <n v="2"/>
    <n v="28"/>
    <s v="West"/>
    <s v="Playground; Elevator; Garden; Library"/>
    <n v="4"/>
    <n v="7"/>
    <n v="40661"/>
    <n v="4.88"/>
    <s v="Premium"/>
    <n v="0.49399999999999999"/>
    <d v="2025-08-14T00:00:00"/>
    <n v="253"/>
    <x v="0"/>
    <n v="148"/>
    <x v="0"/>
    <b v="1"/>
    <n v="0"/>
  </r>
  <r>
    <s v="PROP00777"/>
    <x v="5"/>
    <x v="10"/>
    <x v="0"/>
    <n v="2738"/>
    <n v="40000000"/>
    <n v="14609"/>
    <n v="3"/>
    <n v="2"/>
    <n v="27"/>
    <s v="North-West"/>
    <s v="Elevator; Concierge; Pool; AC; Garden"/>
    <n v="5"/>
    <n v="4"/>
    <n v="138069"/>
    <n v="4.1399999999999997"/>
    <s v="Luxury"/>
    <n v="0.45710000000000001"/>
    <d v="2025-02-18T00:00:00"/>
    <n v="127"/>
    <x v="0"/>
    <n v="114"/>
    <x v="1"/>
    <b v="0"/>
    <n v="80000"/>
  </r>
  <r>
    <s v="PROP00778"/>
    <x v="3"/>
    <x v="17"/>
    <x v="2"/>
    <n v="2066"/>
    <n v="30000000"/>
    <n v="14520"/>
    <n v="3"/>
    <n v="1"/>
    <n v="4"/>
    <s v="South-West"/>
    <s v="Pool; Parking; Playground"/>
    <n v="3"/>
    <n v="5"/>
    <n v="111305"/>
    <n v="4.45"/>
    <s v="Luxury"/>
    <n v="0.47259999999999996"/>
    <d v="2026-03-20T00:00:00"/>
    <n v="23"/>
    <x v="0"/>
    <n v="39"/>
    <x v="1"/>
    <b v="0"/>
    <n v="0"/>
  </r>
  <r>
    <s v="PROP00779"/>
    <x v="4"/>
    <x v="12"/>
    <x v="4"/>
    <n v="7660"/>
    <n v="12000000"/>
    <n v="1566"/>
    <n v="5"/>
    <n v="3"/>
    <n v="21"/>
    <s v="West"/>
    <s v="Playground; AC; Elevator; Pool"/>
    <n v="4"/>
    <n v="10"/>
    <n v="37886"/>
    <n v="3.79"/>
    <s v="Premium"/>
    <n v="0.43939999999999996"/>
    <d v="2026-03-13T00:00:00"/>
    <n v="104"/>
    <x v="2"/>
    <n v="40"/>
    <x v="0"/>
    <b v="0"/>
    <n v="0"/>
  </r>
  <r>
    <s v="PROP00780"/>
    <x v="3"/>
    <x v="17"/>
    <x v="0"/>
    <n v="2745"/>
    <n v="30000000"/>
    <n v="10928"/>
    <n v="3"/>
    <n v="1"/>
    <n v="14"/>
    <s v="South"/>
    <s v="Playground; Parking; Garden"/>
    <n v="3"/>
    <n v="9"/>
    <n v="82460"/>
    <n v="3.3"/>
    <s v="Luxury"/>
    <n v="0.41490000000000005"/>
    <d v="2024-09-30T00:00:00"/>
    <n v="179"/>
    <x v="0"/>
    <n v="180"/>
    <x v="0"/>
    <b v="1"/>
    <n v="0"/>
  </r>
  <r>
    <s v="PROP00781"/>
    <x v="3"/>
    <x v="17"/>
    <x v="2"/>
    <n v="4177"/>
    <n v="30000000"/>
    <n v="7182"/>
    <n v="3"/>
    <n v="1"/>
    <n v="19"/>
    <s v="West"/>
    <s v="Gym; Library; Concierge; Elevator"/>
    <n v="4"/>
    <n v="5"/>
    <n v="99993"/>
    <n v="4"/>
    <s v="Luxury"/>
    <n v="0.45"/>
    <d v="2024-08-29T00:00:00"/>
    <n v="25"/>
    <x v="1"/>
    <n v="131"/>
    <x v="0"/>
    <b v="1"/>
    <n v="60000"/>
  </r>
  <r>
    <s v="PROP00782"/>
    <x v="3"/>
    <x v="15"/>
    <x v="0"/>
    <n v="2285"/>
    <n v="30000000"/>
    <n v="13129"/>
    <n v="4"/>
    <n v="3"/>
    <n v="24"/>
    <s v="South-West"/>
    <s v="Parking; Gym; Pool; Security; Playground; AC; Library; Garden"/>
    <n v="8"/>
    <n v="8"/>
    <n v="81475"/>
    <n v="3.26"/>
    <s v="Luxury"/>
    <n v="0.41299999999999998"/>
    <d v="2025-11-10T00:00:00"/>
    <n v="229"/>
    <x v="0"/>
    <n v="38"/>
    <x v="0"/>
    <b v="0"/>
    <n v="0"/>
  </r>
  <r>
    <s v="PROP00783"/>
    <x v="3"/>
    <x v="15"/>
    <x v="4"/>
    <n v="9117"/>
    <n v="30000000"/>
    <n v="3290"/>
    <n v="6"/>
    <n v="3"/>
    <n v="1"/>
    <s v="West"/>
    <s v="Elevator; Garden; Library; AC; Parking"/>
    <n v="5"/>
    <n v="9"/>
    <n v="108016"/>
    <n v="4.32"/>
    <s v="Luxury"/>
    <n v="0.46600000000000003"/>
    <d v="2025-02-02T00:00:00"/>
    <n v="267"/>
    <x v="2"/>
    <n v="107"/>
    <x v="0"/>
    <b v="1"/>
    <n v="0"/>
  </r>
  <r>
    <s v="PROP00784"/>
    <x v="3"/>
    <x v="35"/>
    <x v="0"/>
    <n v="1565"/>
    <n v="30000000"/>
    <n v="19169"/>
    <n v="1"/>
    <n v="2"/>
    <n v="20"/>
    <s v="East"/>
    <s v="Parking; Playground; Gym; Security; AC; Elevator; Pool"/>
    <n v="7"/>
    <n v="8"/>
    <n v="93778"/>
    <n v="3.75"/>
    <s v="Luxury"/>
    <n v="0.43759999999999999"/>
    <d v="2026-04-27T00:00:00"/>
    <n v="359"/>
    <x v="2"/>
    <n v="79"/>
    <x v="1"/>
    <b v="0"/>
    <n v="0"/>
  </r>
  <r>
    <s v="PROP00785"/>
    <x v="1"/>
    <x v="23"/>
    <x v="0"/>
    <n v="1279"/>
    <n v="50000000"/>
    <n v="39093"/>
    <n v="3"/>
    <n v="1"/>
    <n v="24"/>
    <s v="East"/>
    <s v="Elevator; Concierge; Gym; Library; AC; Pool; Garden; Playground"/>
    <n v="8"/>
    <n v="8"/>
    <n v="160321"/>
    <n v="3.85"/>
    <s v="Luxury"/>
    <n v="0.44240000000000002"/>
    <d v="2025-05-12T00:00:00"/>
    <n v="199"/>
    <x v="0"/>
    <n v="123"/>
    <x v="1"/>
    <b v="1"/>
    <n v="100000"/>
  </r>
  <r>
    <s v="PROP00786"/>
    <x v="1"/>
    <x v="24"/>
    <x v="0"/>
    <n v="1039"/>
    <n v="50000000"/>
    <n v="48123"/>
    <n v="1"/>
    <n v="1"/>
    <n v="15"/>
    <s v="East"/>
    <s v="Library; Pool; Playground"/>
    <n v="3"/>
    <n v="8"/>
    <n v="171460"/>
    <n v="4.12"/>
    <s v="Luxury"/>
    <n v="0.45579999999999998"/>
    <d v="2025-08-03T00:00:00"/>
    <n v="227"/>
    <x v="0"/>
    <n v="45"/>
    <x v="0"/>
    <b v="0"/>
    <n v="0"/>
  </r>
  <r>
    <s v="PROP00787"/>
    <x v="4"/>
    <x v="4"/>
    <x v="1"/>
    <n v="366"/>
    <n v="12000000"/>
    <n v="32786"/>
    <n v="0"/>
    <n v="1"/>
    <n v="27"/>
    <s v="East"/>
    <s v="AC; Pool; Playground; Parking; Library"/>
    <n v="5"/>
    <n v="9"/>
    <n v="43688"/>
    <n v="4.37"/>
    <s v="Premium"/>
    <n v="0.46840000000000004"/>
    <d v="2024-07-26T00:00:00"/>
    <n v="17"/>
    <x v="0"/>
    <n v="103"/>
    <x v="0"/>
    <b v="1"/>
    <n v="24000"/>
  </r>
  <r>
    <s v="PROP00788"/>
    <x v="1"/>
    <x v="20"/>
    <x v="2"/>
    <n v="3161"/>
    <n v="50000000"/>
    <n v="15817"/>
    <n v="5"/>
    <n v="3"/>
    <n v="11"/>
    <s v="South-East"/>
    <s v="Security; Pool; Playground; Garden; Elevator; Parking"/>
    <n v="6"/>
    <n v="10"/>
    <n v="195292"/>
    <n v="4.6900000000000004"/>
    <s v="Luxury"/>
    <n v="0.4844"/>
    <d v="2025-09-04T00:00:00"/>
    <n v="71"/>
    <x v="0"/>
    <n v="57"/>
    <x v="1"/>
    <b v="0"/>
    <n v="0"/>
  </r>
  <r>
    <s v="PROP00789"/>
    <x v="1"/>
    <x v="28"/>
    <x v="0"/>
    <n v="2673"/>
    <n v="50000000"/>
    <n v="18705"/>
    <n v="1"/>
    <n v="1"/>
    <n v="25"/>
    <s v="South"/>
    <s v="Pool; Gym; Garden; AC; Playground; Concierge; Elevator"/>
    <n v="7"/>
    <n v="7"/>
    <n v="148014"/>
    <n v="3.55"/>
    <s v="Luxury"/>
    <n v="0.42759999999999998"/>
    <d v="2026-02-11T00:00:00"/>
    <n v="22"/>
    <x v="0"/>
    <n v="162"/>
    <x v="0"/>
    <b v="1"/>
    <n v="0"/>
  </r>
  <r>
    <s v="PROP00790"/>
    <x v="2"/>
    <x v="26"/>
    <x v="3"/>
    <n v="6855"/>
    <n v="15000000"/>
    <n v="2188"/>
    <n v="3"/>
    <n v="1"/>
    <n v="10"/>
    <s v="South"/>
    <s v="Gym; Concierge; Pool; AC; Security; Elevator; Garden; Library"/>
    <n v="8"/>
    <n v="4"/>
    <n v="49048"/>
    <n v="3.92"/>
    <s v="Premium"/>
    <n v="0.44619999999999999"/>
    <d v="2025-09-22T00:00:00"/>
    <n v="185"/>
    <x v="0"/>
    <n v="103"/>
    <x v="1"/>
    <b v="0"/>
    <n v="0"/>
  </r>
  <r>
    <s v="PROP00791"/>
    <x v="3"/>
    <x v="17"/>
    <x v="3"/>
    <n v="2935"/>
    <n v="30000000"/>
    <n v="10221"/>
    <n v="4"/>
    <n v="2"/>
    <n v="0"/>
    <s v="South-West"/>
    <s v="Library; Parking; Playground; Security; Elevator; AC; Garden"/>
    <n v="7"/>
    <n v="4"/>
    <n v="104808"/>
    <n v="4.1900000000000004"/>
    <s v="Luxury"/>
    <n v="0.45960000000000001"/>
    <d v="2024-12-22T00:00:00"/>
    <n v="3"/>
    <x v="0"/>
    <n v="173"/>
    <x v="1"/>
    <b v="1"/>
    <n v="60000"/>
  </r>
  <r>
    <s v="PROP00792"/>
    <x v="4"/>
    <x v="30"/>
    <x v="3"/>
    <n v="5600"/>
    <n v="12000000"/>
    <n v="2142"/>
    <n v="5"/>
    <n v="3"/>
    <n v="28"/>
    <s v="West"/>
    <s v="Library; Parking; Pool; AC; Security; Gym"/>
    <n v="6"/>
    <n v="4"/>
    <n v="43989"/>
    <n v="4.4000000000000004"/>
    <s v="Premium"/>
    <n v="0.46990000000000004"/>
    <d v="2025-01-13T00:00:00"/>
    <n v="207"/>
    <x v="0"/>
    <n v="98"/>
    <x v="1"/>
    <b v="0"/>
    <n v="24000"/>
  </r>
  <r>
    <s v="PROP00793"/>
    <x v="5"/>
    <x v="13"/>
    <x v="4"/>
    <n v="3204"/>
    <n v="40000000"/>
    <n v="12484"/>
    <n v="4"/>
    <n v="2"/>
    <n v="1"/>
    <s v="North"/>
    <s v="Elevator; Concierge; AC; Gym; Parking; Library"/>
    <n v="6"/>
    <n v="8"/>
    <n v="117512"/>
    <n v="3.53"/>
    <s v="Luxury"/>
    <n v="0.42630000000000001"/>
    <d v="2025-09-15T00:00:00"/>
    <n v="289"/>
    <x v="0"/>
    <n v="47"/>
    <x v="1"/>
    <b v="1"/>
    <n v="0"/>
  </r>
  <r>
    <s v="PROP00794"/>
    <x v="3"/>
    <x v="27"/>
    <x v="0"/>
    <n v="1697"/>
    <n v="30000000"/>
    <n v="17678"/>
    <n v="2"/>
    <n v="1"/>
    <n v="8"/>
    <s v="South-West"/>
    <s v="Elevator; AC; Gym; Library; Security; Parking; Garden"/>
    <n v="7"/>
    <n v="9"/>
    <n v="101459"/>
    <n v="4.0599999999999996"/>
    <s v="Luxury"/>
    <n v="0.45289999999999997"/>
    <d v="2024-12-26T00:00:00"/>
    <n v="102"/>
    <x v="2"/>
    <n v="46"/>
    <x v="1"/>
    <b v="0"/>
    <n v="60000"/>
  </r>
  <r>
    <s v="PROP00795"/>
    <x v="2"/>
    <x v="2"/>
    <x v="4"/>
    <n v="7559"/>
    <n v="15000000"/>
    <n v="1984"/>
    <n v="6"/>
    <n v="4"/>
    <n v="3"/>
    <s v="North"/>
    <s v="Library; Pool; Parking; AC; Garden; Concierge"/>
    <n v="6"/>
    <n v="5"/>
    <n v="51775"/>
    <n v="4.1399999999999997"/>
    <s v="Premium"/>
    <n v="0.45710000000000001"/>
    <d v="2025-09-02T00:00:00"/>
    <n v="224"/>
    <x v="0"/>
    <n v="112"/>
    <x v="0"/>
    <b v="1"/>
    <n v="0"/>
  </r>
  <r>
    <s v="PROP00796"/>
    <x v="4"/>
    <x v="12"/>
    <x v="0"/>
    <n v="2900"/>
    <n v="12000000"/>
    <n v="4137"/>
    <n v="4"/>
    <n v="2"/>
    <n v="2"/>
    <s v="North-West"/>
    <s v="Security; Parking; Library; Concierge; Playground; Pool; Gym; Garden"/>
    <n v="8"/>
    <n v="4"/>
    <n v="39214"/>
    <n v="3.92"/>
    <s v="Premium"/>
    <n v="0.4461"/>
    <d v="2024-11-07T00:00:00"/>
    <n v="211"/>
    <x v="2"/>
    <n v="52"/>
    <x v="0"/>
    <b v="1"/>
    <n v="24000"/>
  </r>
  <r>
    <s v="PROP00797"/>
    <x v="0"/>
    <x v="7"/>
    <x v="2"/>
    <n v="1889"/>
    <n v="10000000"/>
    <n v="5293"/>
    <n v="2"/>
    <n v="1"/>
    <n v="11"/>
    <s v="North-East"/>
    <s v="Elevator; AC; Concierge; Pool; Gym; Playground; Garden; Security"/>
    <n v="8"/>
    <n v="7"/>
    <n v="33470"/>
    <n v="4.0199999999999996"/>
    <s v="Premium"/>
    <n v="0.45079999999999998"/>
    <d v="2026-03-03T00:00:00"/>
    <n v="156"/>
    <x v="1"/>
    <n v="96"/>
    <x v="0"/>
    <b v="1"/>
    <n v="20000"/>
  </r>
  <r>
    <s v="PROP00798"/>
    <x v="2"/>
    <x v="22"/>
    <x v="4"/>
    <n v="7203"/>
    <n v="15000000"/>
    <n v="2082"/>
    <n v="6"/>
    <n v="3"/>
    <n v="18"/>
    <s v="North"/>
    <s v="AC; Playground; Concierge; Gym; Security; Pool"/>
    <n v="6"/>
    <n v="6"/>
    <n v="43987"/>
    <n v="3.52"/>
    <s v="Premium"/>
    <n v="0.42590000000000006"/>
    <d v="2026-03-28T00:00:00"/>
    <n v="342"/>
    <x v="0"/>
    <n v="151"/>
    <x v="0"/>
    <b v="1"/>
    <n v="30000"/>
  </r>
  <r>
    <s v="PROP00799"/>
    <x v="2"/>
    <x v="25"/>
    <x v="0"/>
    <n v="1626"/>
    <n v="15000000"/>
    <n v="9225"/>
    <n v="4"/>
    <n v="2"/>
    <n v="24"/>
    <s v="South-West"/>
    <s v="Pool; Parking; Concierge; Playground; Security; AC; Elevator; Library"/>
    <n v="8"/>
    <n v="7"/>
    <n v="50117"/>
    <n v="4.01"/>
    <s v="Premium"/>
    <n v="0.45049999999999996"/>
    <d v="2025-01-25T00:00:00"/>
    <n v="344"/>
    <x v="2"/>
    <n v="178"/>
    <x v="1"/>
    <b v="1"/>
    <n v="0"/>
  </r>
  <r>
    <s v="PROP00800"/>
    <x v="1"/>
    <x v="20"/>
    <x v="2"/>
    <n v="2439"/>
    <n v="50000000"/>
    <n v="20500"/>
    <n v="2"/>
    <n v="2"/>
    <n v="28"/>
    <s v="South-East"/>
    <s v="Elevator; Library; Pool"/>
    <n v="3"/>
    <n v="5"/>
    <n v="166196"/>
    <n v="3.99"/>
    <s v="Luxury"/>
    <n v="0.44939999999999997"/>
    <d v="2024-10-26T00:00:00"/>
    <n v="146"/>
    <x v="2"/>
    <n v="154"/>
    <x v="0"/>
    <b v="0"/>
    <n v="0"/>
  </r>
  <r>
    <s v="PROP00801"/>
    <x v="5"/>
    <x v="11"/>
    <x v="1"/>
    <n v="547"/>
    <n v="40000000"/>
    <n v="73126"/>
    <n v="1"/>
    <n v="1"/>
    <n v="9"/>
    <s v="West"/>
    <s v="Gym; Library; Security; AC; Concierge; Garden; Playground; Parking"/>
    <n v="8"/>
    <n v="7"/>
    <n v="162370"/>
    <n v="4.87"/>
    <s v="Luxury"/>
    <n v="0.49359999999999998"/>
    <d v="2025-03-01T00:00:00"/>
    <n v="160"/>
    <x v="0"/>
    <n v="160"/>
    <x v="0"/>
    <b v="1"/>
    <n v="0"/>
  </r>
  <r>
    <s v="PROP00802"/>
    <x v="1"/>
    <x v="1"/>
    <x v="4"/>
    <n v="5769"/>
    <n v="50000000"/>
    <n v="8667"/>
    <n v="4"/>
    <n v="3"/>
    <n v="4"/>
    <s v="East"/>
    <s v="Playground; Garden; Library; Parking"/>
    <n v="4"/>
    <n v="7"/>
    <n v="205638"/>
    <n v="4.9400000000000004"/>
    <s v="Luxury"/>
    <n v="0.49680000000000002"/>
    <d v="2025-09-29T00:00:00"/>
    <n v="357"/>
    <x v="0"/>
    <n v="166"/>
    <x v="0"/>
    <b v="1"/>
    <n v="0"/>
  </r>
  <r>
    <s v="PROP00803"/>
    <x v="3"/>
    <x v="3"/>
    <x v="1"/>
    <n v="495"/>
    <n v="30000000"/>
    <n v="60606"/>
    <n v="0"/>
    <n v="2"/>
    <n v="19"/>
    <s v="South"/>
    <s v="Pool; Library; Gym; Security; Concierge; Playground; Parking"/>
    <n v="7"/>
    <n v="9"/>
    <n v="116484"/>
    <n v="4.66"/>
    <s v="Luxury"/>
    <n v="0.48299999999999998"/>
    <d v="2024-09-21T00:00:00"/>
    <n v="184"/>
    <x v="1"/>
    <n v="93"/>
    <x v="0"/>
    <b v="1"/>
    <n v="0"/>
  </r>
  <r>
    <s v="PROP00804"/>
    <x v="1"/>
    <x v="1"/>
    <x v="3"/>
    <n v="5892"/>
    <n v="50000000"/>
    <n v="8486"/>
    <n v="6"/>
    <n v="3"/>
    <n v="10"/>
    <s v="South"/>
    <s v="Garden; Gym; Security; Parking"/>
    <n v="4"/>
    <n v="5"/>
    <n v="189979"/>
    <n v="4.5599999999999996"/>
    <s v="Luxury"/>
    <n v="0.47799999999999998"/>
    <d v="2024-05-27T00:00:00"/>
    <n v="143"/>
    <x v="0"/>
    <n v="122"/>
    <x v="1"/>
    <b v="0"/>
    <n v="100000"/>
  </r>
  <r>
    <s v="PROP00805"/>
    <x v="5"/>
    <x v="11"/>
    <x v="4"/>
    <n v="3797"/>
    <n v="40000000"/>
    <n v="10534"/>
    <n v="5"/>
    <n v="3"/>
    <n v="20"/>
    <s v="North"/>
    <s v="Garden; Security; AC"/>
    <n v="3"/>
    <n v="9"/>
    <n v="127759"/>
    <n v="3.83"/>
    <s v="Luxury"/>
    <n v="0.44159999999999999"/>
    <d v="2026-03-11T00:00:00"/>
    <n v="34"/>
    <x v="0"/>
    <n v="153"/>
    <x v="0"/>
    <b v="0"/>
    <n v="80000"/>
  </r>
  <r>
    <s v="PROP00806"/>
    <x v="4"/>
    <x v="12"/>
    <x v="0"/>
    <n v="2041"/>
    <n v="12000000"/>
    <n v="5879"/>
    <n v="4"/>
    <n v="2"/>
    <n v="3"/>
    <s v="South"/>
    <s v="Pool; Concierge; Security; Garden; AC"/>
    <n v="5"/>
    <n v="7"/>
    <n v="46794"/>
    <n v="4.68"/>
    <s v="Premium"/>
    <n v="0.48399999999999999"/>
    <d v="2024-08-15T00:00:00"/>
    <n v="136"/>
    <x v="0"/>
    <n v="126"/>
    <x v="1"/>
    <b v="1"/>
    <n v="0"/>
  </r>
  <r>
    <s v="PROP00807"/>
    <x v="0"/>
    <x v="9"/>
    <x v="4"/>
    <n v="6607"/>
    <n v="10000000"/>
    <n v="1513"/>
    <n v="5"/>
    <n v="3"/>
    <n v="18"/>
    <s v="South-East"/>
    <s v="Pool; Playground; AC; Security; Parking"/>
    <n v="5"/>
    <n v="9"/>
    <n v="25821"/>
    <n v="3.1"/>
    <s v="Premium"/>
    <n v="0.40490000000000004"/>
    <d v="2026-01-07T00:00:00"/>
    <n v="30"/>
    <x v="2"/>
    <n v="76"/>
    <x v="1"/>
    <b v="0"/>
    <n v="20000"/>
  </r>
  <r>
    <s v="PROP00808"/>
    <x v="0"/>
    <x v="8"/>
    <x v="0"/>
    <n v="1838"/>
    <n v="10000000"/>
    <n v="5440"/>
    <n v="1"/>
    <n v="1"/>
    <n v="15"/>
    <s v="South-West"/>
    <s v="Library; Gym; Garden"/>
    <n v="3"/>
    <n v="9"/>
    <n v="30239"/>
    <n v="3.63"/>
    <s v="Premium"/>
    <n v="0.43140000000000001"/>
    <d v="2025-03-20T00:00:00"/>
    <n v="52"/>
    <x v="1"/>
    <n v="62"/>
    <x v="1"/>
    <b v="0"/>
    <n v="0"/>
  </r>
  <r>
    <s v="PROP00809"/>
    <x v="4"/>
    <x v="4"/>
    <x v="1"/>
    <n v="498"/>
    <n v="12000000"/>
    <n v="24096"/>
    <n v="0"/>
    <n v="1"/>
    <n v="0"/>
    <s v="East"/>
    <s v="Elevator; Security; Parking; Concierge; AC; Playground; Library"/>
    <n v="7"/>
    <n v="6"/>
    <n v="48410"/>
    <n v="4.84"/>
    <s v="Premium"/>
    <n v="0.49200000000000005"/>
    <d v="2025-04-25T00:00:00"/>
    <n v="315"/>
    <x v="2"/>
    <n v="172"/>
    <x v="1"/>
    <b v="0"/>
    <n v="0"/>
  </r>
  <r>
    <s v="PROP00810"/>
    <x v="2"/>
    <x v="26"/>
    <x v="2"/>
    <n v="4732"/>
    <n v="15000000"/>
    <n v="3169"/>
    <n v="5"/>
    <n v="3"/>
    <n v="5"/>
    <s v="South-East"/>
    <s v="Security; Playground; Library"/>
    <n v="3"/>
    <n v="8"/>
    <n v="48577"/>
    <n v="3.89"/>
    <s v="Premium"/>
    <n v="0.44429999999999997"/>
    <d v="2024-11-10T00:00:00"/>
    <n v="158"/>
    <x v="1"/>
    <n v="145"/>
    <x v="1"/>
    <b v="1"/>
    <n v="30000"/>
  </r>
  <r>
    <s v="PROP00811"/>
    <x v="4"/>
    <x v="12"/>
    <x v="0"/>
    <n v="2141"/>
    <n v="12000000"/>
    <n v="5604"/>
    <n v="2"/>
    <n v="1"/>
    <n v="27"/>
    <s v="East"/>
    <s v="Security; Library; AC; Concierge; Pool"/>
    <n v="5"/>
    <n v="7"/>
    <n v="36730"/>
    <n v="3.67"/>
    <s v="Premium"/>
    <n v="0.43359999999999999"/>
    <d v="2025-07-22T00:00:00"/>
    <n v="310"/>
    <x v="0"/>
    <n v="115"/>
    <x v="1"/>
    <b v="1"/>
    <n v="24000"/>
  </r>
  <r>
    <s v="PROP00812"/>
    <x v="1"/>
    <x v="23"/>
    <x v="1"/>
    <n v="332"/>
    <n v="50000000"/>
    <n v="150602"/>
    <n v="0"/>
    <n v="1"/>
    <n v="5"/>
    <s v="North-West"/>
    <s v="Security; Parking; Concierge; Garden"/>
    <n v="4"/>
    <n v="6"/>
    <n v="164495"/>
    <n v="3.95"/>
    <s v="Luxury"/>
    <n v="0.44740000000000002"/>
    <d v="2025-03-30T00:00:00"/>
    <n v="200"/>
    <x v="0"/>
    <n v="47"/>
    <x v="0"/>
    <b v="1"/>
    <n v="100000"/>
  </r>
  <r>
    <s v="PROP00813"/>
    <x v="3"/>
    <x v="3"/>
    <x v="0"/>
    <n v="778"/>
    <n v="30000000"/>
    <n v="38560"/>
    <n v="3"/>
    <n v="2"/>
    <n v="17"/>
    <s v="North-West"/>
    <s v="Library; Gym; AC; Elevator; Security; Concierge; Playground"/>
    <n v="7"/>
    <n v="8"/>
    <n v="124098"/>
    <n v="4.96"/>
    <s v="Luxury"/>
    <n v="0.49819999999999998"/>
    <d v="2025-01-07T00:00:00"/>
    <n v="101"/>
    <x v="2"/>
    <n v="62"/>
    <x v="0"/>
    <b v="1"/>
    <n v="0"/>
  </r>
  <r>
    <s v="PROP00814"/>
    <x v="2"/>
    <x v="26"/>
    <x v="2"/>
    <n v="3327"/>
    <n v="15000000"/>
    <n v="4508"/>
    <n v="3"/>
    <n v="2"/>
    <n v="25"/>
    <s v="South"/>
    <s v="Parking; Library; Pool; Concierge; Playground"/>
    <n v="5"/>
    <n v="9"/>
    <n v="38836"/>
    <n v="3.11"/>
    <s v="Premium"/>
    <n v="0.40529999999999999"/>
    <d v="2024-11-19T00:00:00"/>
    <n v="176"/>
    <x v="0"/>
    <n v="152"/>
    <x v="0"/>
    <b v="0"/>
    <n v="0"/>
  </r>
  <r>
    <s v="PROP00815"/>
    <x v="0"/>
    <x v="9"/>
    <x v="1"/>
    <n v="522"/>
    <n v="10000000"/>
    <n v="19157"/>
    <n v="0"/>
    <n v="2"/>
    <n v="17"/>
    <s v="North-East"/>
    <s v="Parking; Playground; Security; Concierge; Pool"/>
    <n v="5"/>
    <n v="8"/>
    <n v="36195"/>
    <n v="4.34"/>
    <s v="Premium"/>
    <n v="0.4672"/>
    <d v="2024-06-02T00:00:00"/>
    <n v="130"/>
    <x v="2"/>
    <n v="113"/>
    <x v="1"/>
    <b v="0"/>
    <n v="20000"/>
  </r>
  <r>
    <s v="PROP00816"/>
    <x v="1"/>
    <x v="23"/>
    <x v="1"/>
    <n v="380"/>
    <n v="50000000"/>
    <n v="131578"/>
    <n v="1"/>
    <n v="2"/>
    <n v="9"/>
    <s v="West"/>
    <s v="Concierge; Playground; Parking; Library; Pool; Gym; Security; Garden"/>
    <n v="8"/>
    <n v="8"/>
    <n v="184410"/>
    <n v="4.43"/>
    <s v="Luxury"/>
    <n v="0.47130000000000005"/>
    <d v="2025-02-10T00:00:00"/>
    <n v="350"/>
    <x v="0"/>
    <n v="155"/>
    <x v="0"/>
    <b v="0"/>
    <n v="0"/>
  </r>
  <r>
    <s v="PROP00817"/>
    <x v="2"/>
    <x v="32"/>
    <x v="3"/>
    <n v="7443"/>
    <n v="15000000"/>
    <n v="2015"/>
    <n v="5"/>
    <n v="2"/>
    <n v="15"/>
    <s v="East"/>
    <s v="Gym; Garden; Library; Playground"/>
    <n v="4"/>
    <n v="9"/>
    <n v="59943"/>
    <n v="4.8"/>
    <s v="Premium"/>
    <n v="0.48979999999999996"/>
    <d v="2025-05-17T00:00:00"/>
    <n v="32"/>
    <x v="2"/>
    <n v="168"/>
    <x v="0"/>
    <b v="0"/>
    <n v="30000"/>
  </r>
  <r>
    <s v="PROP00818"/>
    <x v="1"/>
    <x v="24"/>
    <x v="2"/>
    <n v="4427"/>
    <n v="50000000"/>
    <n v="11294"/>
    <n v="3"/>
    <n v="1"/>
    <n v="12"/>
    <s v="West"/>
    <s v="Garden; Playground; Parking; Concierge; Security; Pool; Library"/>
    <n v="7"/>
    <n v="9"/>
    <n v="125984"/>
    <n v="3.02"/>
    <s v="Luxury"/>
    <n v="0.4012"/>
    <d v="2024-05-28T00:00:00"/>
    <n v="264"/>
    <x v="2"/>
    <n v="56"/>
    <x v="0"/>
    <b v="0"/>
    <n v="0"/>
  </r>
  <r>
    <s v="PROP00819"/>
    <x v="2"/>
    <x v="25"/>
    <x v="2"/>
    <n v="3606"/>
    <n v="15000000"/>
    <n v="4159"/>
    <n v="2"/>
    <n v="2"/>
    <n v="11"/>
    <s v="South-East"/>
    <s v="Security; Elevator; AC; Playground"/>
    <n v="4"/>
    <n v="8"/>
    <n v="48187"/>
    <n v="3.85"/>
    <s v="Premium"/>
    <n v="0.44270000000000004"/>
    <d v="2024-11-16T00:00:00"/>
    <n v="353"/>
    <x v="0"/>
    <n v="122"/>
    <x v="0"/>
    <b v="0"/>
    <n v="30000"/>
  </r>
  <r>
    <s v="PROP00820"/>
    <x v="2"/>
    <x v="33"/>
    <x v="4"/>
    <n v="3877"/>
    <n v="15000000"/>
    <n v="3868"/>
    <n v="4"/>
    <n v="3"/>
    <n v="7"/>
    <s v="South-West"/>
    <s v="Elevator; Pool; Parking; Security; Garden; Library; Concierge; Playground"/>
    <n v="8"/>
    <n v="8"/>
    <n v="51697"/>
    <n v="4.1399999999999997"/>
    <s v="Premium"/>
    <n v="0.45679999999999998"/>
    <d v="2025-03-05T00:00:00"/>
    <n v="80"/>
    <x v="1"/>
    <n v="161"/>
    <x v="0"/>
    <b v="0"/>
    <n v="0"/>
  </r>
  <r>
    <s v="PROP00821"/>
    <x v="2"/>
    <x v="25"/>
    <x v="3"/>
    <n v="5926"/>
    <n v="15000000"/>
    <n v="2531"/>
    <n v="3"/>
    <n v="2"/>
    <n v="26"/>
    <s v="South-West"/>
    <s v="Parking; Security; Library; Pool; Gym; Playground"/>
    <n v="6"/>
    <n v="10"/>
    <n v="41875"/>
    <n v="3.35"/>
    <s v="Premium"/>
    <n v="0.41749999999999998"/>
    <d v="2025-12-30T00:00:00"/>
    <n v="333"/>
    <x v="1"/>
    <n v="172"/>
    <x v="0"/>
    <b v="0"/>
    <n v="30000"/>
  </r>
  <r>
    <s v="PROP00822"/>
    <x v="4"/>
    <x v="6"/>
    <x v="3"/>
    <n v="6653"/>
    <n v="12000000"/>
    <n v="1803"/>
    <n v="3"/>
    <n v="1"/>
    <n v="3"/>
    <s v="North"/>
    <s v="AC; Concierge; Gym; Garden; Pool; Security; Playground; Elevator"/>
    <n v="8"/>
    <n v="4"/>
    <n v="41140"/>
    <n v="4.1100000000000003"/>
    <s v="Premium"/>
    <n v="0.45569999999999999"/>
    <d v="2025-10-09T00:00:00"/>
    <n v="60"/>
    <x v="0"/>
    <n v="41"/>
    <x v="0"/>
    <b v="1"/>
    <n v="24000"/>
  </r>
  <r>
    <s v="PROP00823"/>
    <x v="3"/>
    <x v="35"/>
    <x v="0"/>
    <n v="658"/>
    <n v="30000000"/>
    <n v="45592"/>
    <n v="4"/>
    <n v="3"/>
    <n v="13"/>
    <s v="North-West"/>
    <s v="Pool; Gym; AC; Security; Playground; Library"/>
    <n v="6"/>
    <n v="6"/>
    <n v="81085"/>
    <n v="3.24"/>
    <s v="Luxury"/>
    <n v="0.41220000000000001"/>
    <d v="2024-10-31T00:00:00"/>
    <n v="191"/>
    <x v="0"/>
    <n v="78"/>
    <x v="1"/>
    <b v="1"/>
    <n v="0"/>
  </r>
  <r>
    <s v="PROP00824"/>
    <x v="1"/>
    <x v="23"/>
    <x v="3"/>
    <n v="6530"/>
    <n v="50000000"/>
    <n v="7656"/>
    <n v="5"/>
    <n v="3"/>
    <n v="20"/>
    <s v="North-West"/>
    <s v="Pool; AC; Gym; Library"/>
    <n v="4"/>
    <n v="5"/>
    <n v="190253"/>
    <n v="4.57"/>
    <s v="Luxury"/>
    <n v="0.4783"/>
    <d v="2024-10-28T00:00:00"/>
    <n v="159"/>
    <x v="2"/>
    <n v="110"/>
    <x v="1"/>
    <b v="0"/>
    <n v="100000"/>
  </r>
  <r>
    <s v="PROP00825"/>
    <x v="1"/>
    <x v="28"/>
    <x v="3"/>
    <n v="2138"/>
    <n v="50000000"/>
    <n v="23386"/>
    <n v="6"/>
    <n v="4"/>
    <n v="29"/>
    <s v="South-West"/>
    <s v="Gym; Playground; Security; Parking"/>
    <n v="4"/>
    <n v="4"/>
    <n v="131211"/>
    <n v="3.15"/>
    <s v="Luxury"/>
    <n v="0.40749999999999997"/>
    <d v="2026-04-24T00:00:00"/>
    <n v="222"/>
    <x v="1"/>
    <n v="141"/>
    <x v="1"/>
    <b v="0"/>
    <n v="0"/>
  </r>
  <r>
    <s v="PROP00826"/>
    <x v="1"/>
    <x v="28"/>
    <x v="0"/>
    <n v="2009"/>
    <n v="50000000"/>
    <n v="24888"/>
    <n v="3"/>
    <n v="2"/>
    <n v="27"/>
    <s v="North"/>
    <s v="Pool; Garden; Security"/>
    <n v="3"/>
    <n v="10"/>
    <n v="170137"/>
    <n v="4.08"/>
    <s v="Luxury"/>
    <n v="0.45419999999999999"/>
    <d v="2026-02-01T00:00:00"/>
    <n v="317"/>
    <x v="0"/>
    <n v="98"/>
    <x v="1"/>
    <b v="1"/>
    <n v="100000"/>
  </r>
  <r>
    <s v="PROP00827"/>
    <x v="5"/>
    <x v="14"/>
    <x v="3"/>
    <n v="5521"/>
    <n v="40000000"/>
    <n v="7245"/>
    <n v="6"/>
    <n v="3"/>
    <n v="9"/>
    <s v="North"/>
    <s v="Parking; Library; AC; Pool; Garden; Security; Playground"/>
    <n v="7"/>
    <n v="9"/>
    <n v="135995"/>
    <n v="4.08"/>
    <s v="Luxury"/>
    <n v="0.45399999999999996"/>
    <d v="2024-10-20T00:00:00"/>
    <n v="61"/>
    <x v="0"/>
    <n v="174"/>
    <x v="1"/>
    <b v="0"/>
    <n v="80000"/>
  </r>
  <r>
    <s v="PROP00828"/>
    <x v="5"/>
    <x v="11"/>
    <x v="2"/>
    <n v="4788"/>
    <n v="40000000"/>
    <n v="8354"/>
    <n v="5"/>
    <n v="2"/>
    <n v="11"/>
    <s v="West"/>
    <s v="Pool; Concierge; Library; Gym; Playground; Security"/>
    <n v="6"/>
    <n v="9"/>
    <n v="162884"/>
    <n v="4.8899999999999997"/>
    <s v="Luxury"/>
    <n v="0.49430000000000002"/>
    <d v="2025-12-30T00:00:00"/>
    <n v="233"/>
    <x v="0"/>
    <n v="121"/>
    <x v="0"/>
    <b v="0"/>
    <n v="80000"/>
  </r>
  <r>
    <s v="PROP00829"/>
    <x v="5"/>
    <x v="11"/>
    <x v="4"/>
    <n v="3047"/>
    <n v="40000000"/>
    <n v="13127"/>
    <n v="6"/>
    <n v="4"/>
    <n v="29"/>
    <s v="South-East"/>
    <s v="Pool; Concierge; Playground; Parking"/>
    <n v="4"/>
    <n v="9"/>
    <n v="107851"/>
    <n v="3.24"/>
    <s v="Luxury"/>
    <n v="0.4118"/>
    <d v="2025-01-01T00:00:00"/>
    <n v="344"/>
    <x v="0"/>
    <n v="53"/>
    <x v="0"/>
    <b v="0"/>
    <n v="0"/>
  </r>
  <r>
    <s v="PROP00830"/>
    <x v="2"/>
    <x v="25"/>
    <x v="3"/>
    <n v="2611"/>
    <n v="15000000"/>
    <n v="5744"/>
    <n v="3"/>
    <n v="1"/>
    <n v="8"/>
    <s v="South-West"/>
    <s v="Elevator; Library; Parking"/>
    <n v="3"/>
    <n v="6"/>
    <n v="41567"/>
    <n v="3.33"/>
    <s v="Premium"/>
    <n v="0.4163"/>
    <d v="2024-09-04T00:00:00"/>
    <n v="301"/>
    <x v="1"/>
    <n v="161"/>
    <x v="0"/>
    <b v="0"/>
    <n v="30000"/>
  </r>
  <r>
    <s v="PROP00831"/>
    <x v="0"/>
    <x v="18"/>
    <x v="2"/>
    <n v="2591"/>
    <n v="10000000"/>
    <n v="3859"/>
    <n v="3"/>
    <n v="1"/>
    <n v="26"/>
    <s v="East"/>
    <s v="Playground; Security; Elevator; Garden; Gym; Parking; Library"/>
    <n v="7"/>
    <n v="6"/>
    <n v="34632"/>
    <n v="4.16"/>
    <s v="Premium"/>
    <n v="0.45779999999999998"/>
    <d v="2026-01-05T00:00:00"/>
    <n v="1"/>
    <x v="2"/>
    <n v="157"/>
    <x v="0"/>
    <b v="1"/>
    <n v="20000"/>
  </r>
  <r>
    <s v="PROP00832"/>
    <x v="0"/>
    <x v="8"/>
    <x v="3"/>
    <n v="7768"/>
    <n v="10000000"/>
    <n v="1287"/>
    <n v="5"/>
    <n v="3"/>
    <n v="8"/>
    <s v="East"/>
    <s v="Concierge; Parking; Garden"/>
    <n v="3"/>
    <n v="8"/>
    <n v="39408"/>
    <n v="4.7300000000000004"/>
    <s v="Premium"/>
    <n v="0.4864"/>
    <d v="2025-11-14T00:00:00"/>
    <n v="144"/>
    <x v="0"/>
    <n v="113"/>
    <x v="0"/>
    <b v="1"/>
    <n v="20000"/>
  </r>
  <r>
    <s v="PROP00833"/>
    <x v="2"/>
    <x v="25"/>
    <x v="4"/>
    <n v="4497"/>
    <n v="15000000"/>
    <n v="3335"/>
    <n v="4"/>
    <n v="3"/>
    <n v="22"/>
    <s v="South-East"/>
    <s v="Garden; Pool; Parking; Elevator; Gym; Library"/>
    <n v="6"/>
    <n v="9"/>
    <n v="39147"/>
    <n v="3.13"/>
    <s v="Premium"/>
    <n v="0.40659999999999996"/>
    <d v="2025-05-20T00:00:00"/>
    <n v="47"/>
    <x v="1"/>
    <n v="45"/>
    <x v="0"/>
    <b v="0"/>
    <n v="30000"/>
  </r>
  <r>
    <s v="PROP00834"/>
    <x v="4"/>
    <x v="6"/>
    <x v="1"/>
    <n v="305"/>
    <n v="12000000"/>
    <n v="39344"/>
    <n v="0"/>
    <n v="2"/>
    <n v="5"/>
    <s v="East"/>
    <s v="Pool; Gym; Playground; Elevator; Garden; AC"/>
    <n v="6"/>
    <n v="8"/>
    <n v="30656"/>
    <n v="3.07"/>
    <s v="Premium"/>
    <n v="0.40329999999999999"/>
    <d v="2026-03-03T00:00:00"/>
    <n v="349"/>
    <x v="2"/>
    <n v="110"/>
    <x v="0"/>
    <b v="1"/>
    <n v="0"/>
  </r>
  <r>
    <s v="PROP00835"/>
    <x v="5"/>
    <x v="19"/>
    <x v="0"/>
    <n v="2465"/>
    <n v="40000000"/>
    <n v="16227"/>
    <n v="3"/>
    <n v="2"/>
    <n v="22"/>
    <s v="West"/>
    <s v="Garden; Parking; Concierge; Elevator; Security"/>
    <n v="5"/>
    <n v="6"/>
    <n v="127475"/>
    <n v="3.82"/>
    <s v="Luxury"/>
    <n v="0.44119999999999998"/>
    <d v="2025-12-31T00:00:00"/>
    <n v="60"/>
    <x v="0"/>
    <n v="150"/>
    <x v="1"/>
    <b v="1"/>
    <n v="80000"/>
  </r>
  <r>
    <s v="PROP00836"/>
    <x v="2"/>
    <x v="32"/>
    <x v="2"/>
    <n v="4821"/>
    <n v="15000000"/>
    <n v="3111"/>
    <n v="2"/>
    <n v="1"/>
    <n v="28"/>
    <s v="South-West"/>
    <s v="Pool; Gym; Security; Parking; AC; Elevator; Library; Garden"/>
    <n v="8"/>
    <n v="5"/>
    <n v="42079"/>
    <n v="3.37"/>
    <s v="Premium"/>
    <n v="0.41830000000000001"/>
    <d v="2025-01-20T00:00:00"/>
    <n v="225"/>
    <x v="1"/>
    <n v="122"/>
    <x v="1"/>
    <b v="1"/>
    <n v="0"/>
  </r>
  <r>
    <s v="PROP00837"/>
    <x v="3"/>
    <x v="17"/>
    <x v="4"/>
    <n v="3495"/>
    <n v="30000000"/>
    <n v="8583"/>
    <n v="5"/>
    <n v="3"/>
    <n v="17"/>
    <s v="West"/>
    <s v="Gym; Library; Concierge; Pool; Security; Playground"/>
    <n v="6"/>
    <n v="8"/>
    <n v="124822"/>
    <n v="4.99"/>
    <s v="Luxury"/>
    <n v="0.49959999999999999"/>
    <d v="2025-07-12T00:00:00"/>
    <n v="281"/>
    <x v="1"/>
    <n v="79"/>
    <x v="1"/>
    <b v="1"/>
    <n v="0"/>
  </r>
  <r>
    <s v="PROP00838"/>
    <x v="3"/>
    <x v="17"/>
    <x v="2"/>
    <n v="3162"/>
    <n v="30000000"/>
    <n v="9487"/>
    <n v="3"/>
    <n v="1"/>
    <n v="10"/>
    <s v="North"/>
    <s v="Gym; Concierge; AC; Parking; Playground"/>
    <n v="5"/>
    <n v="6"/>
    <n v="97449"/>
    <n v="3.9"/>
    <s v="Luxury"/>
    <n v="0.44490000000000002"/>
    <d v="2025-06-05T00:00:00"/>
    <n v="82"/>
    <x v="0"/>
    <n v="131"/>
    <x v="0"/>
    <b v="1"/>
    <n v="60000"/>
  </r>
  <r>
    <s v="PROP00839"/>
    <x v="4"/>
    <x v="4"/>
    <x v="4"/>
    <n v="5730"/>
    <n v="12000000"/>
    <n v="2094"/>
    <n v="5"/>
    <n v="2"/>
    <n v="1"/>
    <s v="South"/>
    <s v="Security; Gym; Pool; Concierge; AC; Playground"/>
    <n v="6"/>
    <n v="9"/>
    <n v="40150"/>
    <n v="4.01"/>
    <s v="Premium"/>
    <n v="0.45069999999999999"/>
    <d v="2025-04-12T00:00:00"/>
    <n v="73"/>
    <x v="0"/>
    <n v="34"/>
    <x v="1"/>
    <b v="0"/>
    <n v="0"/>
  </r>
  <r>
    <s v="PROP00840"/>
    <x v="0"/>
    <x v="8"/>
    <x v="0"/>
    <n v="1125"/>
    <n v="10000000"/>
    <n v="8888"/>
    <n v="2"/>
    <n v="1"/>
    <n v="12"/>
    <s v="South"/>
    <s v="Elevator; Playground; Garden; Parking; Library; Gym; Pool; Security"/>
    <n v="8"/>
    <n v="8"/>
    <n v="28037"/>
    <n v="3.36"/>
    <s v="Premium"/>
    <n v="0.41820000000000002"/>
    <d v="2025-06-27T00:00:00"/>
    <n v="31"/>
    <x v="2"/>
    <n v="121"/>
    <x v="0"/>
    <b v="1"/>
    <n v="0"/>
  </r>
  <r>
    <s v="PROP00841"/>
    <x v="0"/>
    <x v="0"/>
    <x v="0"/>
    <n v="1708"/>
    <n v="10000000"/>
    <n v="5854"/>
    <n v="1"/>
    <n v="2"/>
    <n v="6"/>
    <s v="North-West"/>
    <s v="Parking; Playground; Security; Garden; AC; Concierge; Elevator; Gym"/>
    <n v="8"/>
    <n v="7"/>
    <n v="40931"/>
    <n v="4.91"/>
    <s v="Premium"/>
    <n v="0.49560000000000004"/>
    <d v="2024-12-26T00:00:00"/>
    <n v="67"/>
    <x v="0"/>
    <n v="78"/>
    <x v="1"/>
    <b v="1"/>
    <n v="0"/>
  </r>
  <r>
    <s v="PROP00842"/>
    <x v="0"/>
    <x v="7"/>
    <x v="4"/>
    <n v="8521"/>
    <n v="10000000"/>
    <n v="1173"/>
    <n v="5"/>
    <n v="2"/>
    <n v="29"/>
    <s v="North-East"/>
    <s v="Pool; Gym; AC; Garden"/>
    <n v="4"/>
    <n v="4"/>
    <n v="35367"/>
    <n v="4.24"/>
    <s v="Premium"/>
    <n v="0.4622"/>
    <d v="2025-07-07T00:00:00"/>
    <n v="354"/>
    <x v="2"/>
    <n v="82"/>
    <x v="0"/>
    <b v="1"/>
    <n v="0"/>
  </r>
  <r>
    <s v="PROP00843"/>
    <x v="5"/>
    <x v="10"/>
    <x v="0"/>
    <n v="1278"/>
    <n v="40000000"/>
    <n v="31298"/>
    <n v="4"/>
    <n v="2"/>
    <n v="16"/>
    <s v="West"/>
    <s v="Security; Pool; AC; Elevator; Parking; Library; Gym"/>
    <n v="7"/>
    <n v="5"/>
    <n v="122454"/>
    <n v="3.67"/>
    <s v="Luxury"/>
    <n v="0.43369999999999997"/>
    <d v="2024-08-22T00:00:00"/>
    <n v="184"/>
    <x v="2"/>
    <n v="169"/>
    <x v="1"/>
    <b v="1"/>
    <n v="0"/>
  </r>
  <r>
    <s v="PROP00844"/>
    <x v="0"/>
    <x v="9"/>
    <x v="2"/>
    <n v="2100"/>
    <n v="10000000"/>
    <n v="4761"/>
    <n v="2"/>
    <n v="2"/>
    <n v="12"/>
    <s v="North-West"/>
    <s v="Gym; Elevator; Library"/>
    <n v="3"/>
    <n v="8"/>
    <n v="34626"/>
    <n v="4.16"/>
    <s v="Premium"/>
    <n v="0.45779999999999998"/>
    <d v="2024-07-24T00:00:00"/>
    <n v="281"/>
    <x v="0"/>
    <n v="139"/>
    <x v="0"/>
    <b v="1"/>
    <n v="0"/>
  </r>
  <r>
    <s v="PROP00845"/>
    <x v="0"/>
    <x v="8"/>
    <x v="1"/>
    <n v="384"/>
    <n v="10000000"/>
    <n v="26041"/>
    <n v="0"/>
    <n v="1"/>
    <n v="15"/>
    <s v="North-East"/>
    <s v="Security; Parking; Garden; Playground; Pool; Elevator; AC"/>
    <n v="7"/>
    <n v="4"/>
    <n v="41053"/>
    <n v="4.93"/>
    <s v="Premium"/>
    <n v="0.49630000000000002"/>
    <d v="2025-04-26T00:00:00"/>
    <n v="202"/>
    <x v="1"/>
    <n v="30"/>
    <x v="1"/>
    <b v="0"/>
    <n v="0"/>
  </r>
  <r>
    <s v="PROP00846"/>
    <x v="3"/>
    <x v="3"/>
    <x v="2"/>
    <n v="1532"/>
    <n v="30000000"/>
    <n v="19582"/>
    <n v="3"/>
    <n v="1"/>
    <n v="20"/>
    <s v="South-East"/>
    <s v="Gym; Pool; Concierge; AC; Garden"/>
    <n v="5"/>
    <n v="7"/>
    <n v="119942"/>
    <n v="4.8"/>
    <s v="Luxury"/>
    <n v="0.4899"/>
    <d v="2025-11-07T00:00:00"/>
    <n v="131"/>
    <x v="0"/>
    <n v="167"/>
    <x v="0"/>
    <b v="1"/>
    <n v="60000"/>
  </r>
  <r>
    <s v="PROP00847"/>
    <x v="0"/>
    <x v="9"/>
    <x v="3"/>
    <n v="3792"/>
    <n v="10000000"/>
    <n v="2637"/>
    <n v="4"/>
    <n v="3"/>
    <n v="10"/>
    <s v="North"/>
    <s v="Pool; Gym; AC"/>
    <n v="3"/>
    <n v="5"/>
    <n v="39872"/>
    <n v="4.78"/>
    <s v="Premium"/>
    <n v="0.48920000000000002"/>
    <d v="2024-06-20T00:00:00"/>
    <n v="327"/>
    <x v="0"/>
    <n v="31"/>
    <x v="1"/>
    <b v="0"/>
    <n v="20000"/>
  </r>
  <r>
    <s v="PROP00848"/>
    <x v="1"/>
    <x v="1"/>
    <x v="0"/>
    <n v="762"/>
    <n v="50000000"/>
    <n v="65616"/>
    <n v="4"/>
    <n v="3"/>
    <n v="14"/>
    <s v="South-East"/>
    <s v="Parking; Gym; Security; Playground"/>
    <n v="4"/>
    <n v="8"/>
    <n v="201960"/>
    <n v="4.8499999999999996"/>
    <s v="Luxury"/>
    <n v="0.4924"/>
    <d v="2025-02-01T00:00:00"/>
    <n v="279"/>
    <x v="0"/>
    <n v="172"/>
    <x v="1"/>
    <b v="0"/>
    <n v="100000"/>
  </r>
  <r>
    <s v="PROP00849"/>
    <x v="1"/>
    <x v="1"/>
    <x v="4"/>
    <n v="9037"/>
    <n v="50000000"/>
    <n v="5532"/>
    <n v="6"/>
    <n v="4"/>
    <n v="9"/>
    <s v="West"/>
    <s v="Library; Gym; Garden; Elevator"/>
    <n v="4"/>
    <n v="9"/>
    <n v="192008"/>
    <n v="4.6100000000000003"/>
    <s v="Luxury"/>
    <n v="0.48039999999999999"/>
    <d v="2025-11-12T00:00:00"/>
    <n v="235"/>
    <x v="2"/>
    <n v="66"/>
    <x v="1"/>
    <b v="0"/>
    <n v="100000"/>
  </r>
  <r>
    <s v="PROP00850"/>
    <x v="1"/>
    <x v="24"/>
    <x v="1"/>
    <n v="487"/>
    <n v="50000000"/>
    <n v="102669"/>
    <n v="0"/>
    <n v="1"/>
    <n v="0"/>
    <s v="North"/>
    <s v="Pool; Elevator; Playground; Library; AC; Concierge"/>
    <n v="6"/>
    <n v="10"/>
    <n v="160954"/>
    <n v="3.86"/>
    <s v="Luxury"/>
    <n v="0.44310000000000005"/>
    <d v="2025-11-23T00:00:00"/>
    <n v="35"/>
    <x v="0"/>
    <n v="73"/>
    <x v="1"/>
    <b v="1"/>
    <n v="0"/>
  </r>
  <r>
    <s v="PROP00851"/>
    <x v="0"/>
    <x v="0"/>
    <x v="2"/>
    <n v="3816"/>
    <n v="10000000"/>
    <n v="2620"/>
    <n v="2"/>
    <n v="2"/>
    <n v="3"/>
    <s v="South-East"/>
    <s v="AC; Library; Garden"/>
    <n v="3"/>
    <n v="8"/>
    <n v="34176"/>
    <n v="4.0999999999999996"/>
    <s v="Premium"/>
    <n v="0.4551"/>
    <d v="2024-09-19T00:00:00"/>
    <n v="354"/>
    <x v="1"/>
    <n v="148"/>
    <x v="1"/>
    <b v="1"/>
    <n v="20000"/>
  </r>
  <r>
    <s v="PROP00852"/>
    <x v="2"/>
    <x v="25"/>
    <x v="4"/>
    <n v="3364"/>
    <n v="15000000"/>
    <n v="4458"/>
    <n v="6"/>
    <n v="3"/>
    <n v="24"/>
    <s v="South-West"/>
    <s v="Garden; Concierge; Elevator; Gym; Security"/>
    <n v="5"/>
    <n v="5"/>
    <n v="41364"/>
    <n v="3.31"/>
    <s v="Premium"/>
    <n v="0.41549999999999998"/>
    <d v="2024-09-26T00:00:00"/>
    <n v="142"/>
    <x v="0"/>
    <n v="160"/>
    <x v="1"/>
    <b v="0"/>
    <n v="30000"/>
  </r>
  <r>
    <s v="PROP00853"/>
    <x v="0"/>
    <x v="0"/>
    <x v="4"/>
    <n v="4131"/>
    <n v="10000000"/>
    <n v="2420"/>
    <n v="4"/>
    <n v="3"/>
    <n v="5"/>
    <s v="North-East"/>
    <s v="Gym; Parking; Garden"/>
    <n v="3"/>
    <n v="5"/>
    <n v="35421"/>
    <n v="4.25"/>
    <s v="Premium"/>
    <n v="0.46250000000000002"/>
    <d v="2025-09-22T00:00:00"/>
    <n v="130"/>
    <x v="0"/>
    <n v="45"/>
    <x v="0"/>
    <b v="0"/>
    <n v="0"/>
  </r>
  <r>
    <s v="PROP00854"/>
    <x v="2"/>
    <x v="22"/>
    <x v="3"/>
    <n v="7989"/>
    <n v="15000000"/>
    <n v="1877"/>
    <n v="4"/>
    <n v="2"/>
    <n v="2"/>
    <s v="East"/>
    <s v="Playground; Garden; Gym; Elevator; Pool; Concierge"/>
    <n v="6"/>
    <n v="9"/>
    <n v="42696"/>
    <n v="3.42"/>
    <s v="Premium"/>
    <n v="0.42080000000000001"/>
    <d v="2026-03-24T00:00:00"/>
    <n v="113"/>
    <x v="0"/>
    <n v="68"/>
    <x v="0"/>
    <b v="1"/>
    <n v="0"/>
  </r>
  <r>
    <s v="PROP00855"/>
    <x v="2"/>
    <x v="22"/>
    <x v="3"/>
    <n v="7697"/>
    <n v="15000000"/>
    <n v="1948"/>
    <n v="3"/>
    <n v="1"/>
    <n v="11"/>
    <s v="South-West"/>
    <s v="Garden; Gym; Parking; Security; AC; Elevator; Concierge; Playground"/>
    <n v="8"/>
    <n v="4"/>
    <n v="42426"/>
    <n v="3.39"/>
    <s v="Premium"/>
    <n v="0.41969999999999996"/>
    <d v="2024-06-15T00:00:00"/>
    <n v="305"/>
    <x v="1"/>
    <n v="118"/>
    <x v="0"/>
    <b v="0"/>
    <n v="0"/>
  </r>
  <r>
    <s v="PROP00856"/>
    <x v="2"/>
    <x v="22"/>
    <x v="1"/>
    <n v="549"/>
    <n v="15000000"/>
    <n v="27322"/>
    <n v="0"/>
    <n v="1"/>
    <n v="4"/>
    <s v="South-West"/>
    <s v="Gym; Parking; Pool"/>
    <n v="3"/>
    <n v="7"/>
    <n v="57823"/>
    <n v="4.63"/>
    <s v="Premium"/>
    <n v="0.48130000000000001"/>
    <d v="2026-02-28T00:00:00"/>
    <n v="82"/>
    <x v="0"/>
    <n v="40"/>
    <x v="0"/>
    <b v="1"/>
    <n v="30000"/>
  </r>
  <r>
    <s v="PROP00857"/>
    <x v="5"/>
    <x v="10"/>
    <x v="4"/>
    <n v="9727"/>
    <n v="40000000"/>
    <n v="4112"/>
    <n v="5"/>
    <n v="2"/>
    <n v="19"/>
    <s v="South"/>
    <s v="Library; Parking; AC; Security; Gym; Pool"/>
    <n v="6"/>
    <n v="8"/>
    <n v="100932"/>
    <n v="3.03"/>
    <s v="Luxury"/>
    <n v="0.40139999999999998"/>
    <d v="2026-03-18T00:00:00"/>
    <n v="214"/>
    <x v="0"/>
    <n v="124"/>
    <x v="1"/>
    <b v="0"/>
    <n v="80000"/>
  </r>
  <r>
    <s v="PROP00858"/>
    <x v="2"/>
    <x v="32"/>
    <x v="1"/>
    <n v="328"/>
    <n v="15000000"/>
    <n v="45731"/>
    <n v="0"/>
    <n v="2"/>
    <n v="11"/>
    <s v="North-East"/>
    <s v="Gym; Security; AC; Library; Parking"/>
    <n v="5"/>
    <n v="5"/>
    <n v="48524"/>
    <n v="3.88"/>
    <s v="Premium"/>
    <n v="0.44409999999999994"/>
    <d v="2025-02-27T00:00:00"/>
    <n v="310"/>
    <x v="0"/>
    <n v="108"/>
    <x v="0"/>
    <b v="1"/>
    <n v="0"/>
  </r>
  <r>
    <s v="PROP00859"/>
    <x v="5"/>
    <x v="11"/>
    <x v="2"/>
    <n v="4151"/>
    <n v="40000000"/>
    <n v="9636"/>
    <n v="5"/>
    <n v="2"/>
    <n v="14"/>
    <s v="South-West"/>
    <s v="Parking; Elevator; Library; Pool"/>
    <n v="4"/>
    <n v="6"/>
    <n v="107831"/>
    <n v="3.23"/>
    <s v="Luxury"/>
    <n v="0.41170000000000001"/>
    <d v="2025-07-16T00:00:00"/>
    <n v="211"/>
    <x v="1"/>
    <n v="85"/>
    <x v="0"/>
    <b v="0"/>
    <n v="0"/>
  </r>
  <r>
    <s v="PROP00860"/>
    <x v="5"/>
    <x v="19"/>
    <x v="3"/>
    <n v="2830"/>
    <n v="40000000"/>
    <n v="14134"/>
    <n v="3"/>
    <n v="2"/>
    <n v="30"/>
    <s v="South"/>
    <s v="Elevator; Pool; Library; AC; Playground; Concierge; Parking"/>
    <n v="7"/>
    <n v="5"/>
    <n v="138059"/>
    <n v="4.1399999999999997"/>
    <s v="Luxury"/>
    <n v="0.45710000000000001"/>
    <d v="2025-04-20T00:00:00"/>
    <n v="174"/>
    <x v="0"/>
    <n v="173"/>
    <x v="0"/>
    <b v="1"/>
    <n v="0"/>
  </r>
  <r>
    <s v="PROP00861"/>
    <x v="2"/>
    <x v="32"/>
    <x v="2"/>
    <n v="4230"/>
    <n v="15000000"/>
    <n v="3546"/>
    <n v="2"/>
    <n v="2"/>
    <n v="17"/>
    <s v="North"/>
    <s v="Garden; Elevator; Security; Pool"/>
    <n v="4"/>
    <n v="6"/>
    <n v="43522"/>
    <n v="3.48"/>
    <s v="Premium"/>
    <n v="0.42409999999999998"/>
    <d v="2026-02-23T00:00:00"/>
    <n v="256"/>
    <x v="2"/>
    <n v="165"/>
    <x v="1"/>
    <b v="1"/>
    <n v="0"/>
  </r>
  <r>
    <s v="PROP00862"/>
    <x v="0"/>
    <x v="18"/>
    <x v="2"/>
    <n v="3412"/>
    <n v="10000000"/>
    <n v="2930"/>
    <n v="5"/>
    <n v="3"/>
    <n v="15"/>
    <s v="South-East"/>
    <s v="Concierge; Library; Security; Playground; AC"/>
    <n v="5"/>
    <n v="8"/>
    <n v="31008"/>
    <n v="3.72"/>
    <s v="Premium"/>
    <n v="0.436"/>
    <d v="2025-09-11T00:00:00"/>
    <n v="139"/>
    <x v="0"/>
    <n v="150"/>
    <x v="1"/>
    <b v="0"/>
    <n v="0"/>
  </r>
  <r>
    <s v="PROP00863"/>
    <x v="1"/>
    <x v="21"/>
    <x v="3"/>
    <n v="4296"/>
    <n v="50000000"/>
    <n v="11638"/>
    <n v="4"/>
    <n v="2"/>
    <n v="5"/>
    <s v="North"/>
    <s v="Security; Playground; Gym; Elevator; AC"/>
    <n v="5"/>
    <n v="6"/>
    <n v="202107"/>
    <n v="4.8499999999999996"/>
    <s v="Luxury"/>
    <n v="0.49249999999999999"/>
    <d v="2024-08-19T00:00:00"/>
    <n v="45"/>
    <x v="1"/>
    <n v="160"/>
    <x v="1"/>
    <b v="1"/>
    <n v="0"/>
  </r>
  <r>
    <s v="PROP00864"/>
    <x v="4"/>
    <x v="6"/>
    <x v="2"/>
    <n v="4721"/>
    <n v="12000000"/>
    <n v="2541"/>
    <n v="4"/>
    <n v="3"/>
    <n v="12"/>
    <s v="North"/>
    <s v="Concierge; Parking; Pool; Library; Elevator"/>
    <n v="5"/>
    <n v="10"/>
    <n v="49616"/>
    <n v="4.96"/>
    <s v="Premium"/>
    <n v="0.49810000000000004"/>
    <d v="2025-12-26T00:00:00"/>
    <n v="61"/>
    <x v="0"/>
    <n v="180"/>
    <x v="1"/>
    <b v="1"/>
    <n v="0"/>
  </r>
  <r>
    <s v="PROP00865"/>
    <x v="1"/>
    <x v="24"/>
    <x v="0"/>
    <n v="1484"/>
    <n v="50000000"/>
    <n v="33692"/>
    <n v="2"/>
    <n v="1"/>
    <n v="25"/>
    <s v="South-East"/>
    <s v="Library; Pool; Security; Elevator"/>
    <n v="4"/>
    <n v="7"/>
    <n v="142790"/>
    <n v="3.43"/>
    <s v="Luxury"/>
    <n v="0.42130000000000001"/>
    <d v="2026-03-18T00:00:00"/>
    <n v="337"/>
    <x v="0"/>
    <n v="86"/>
    <x v="1"/>
    <b v="1"/>
    <n v="100000"/>
  </r>
  <r>
    <s v="PROP00866"/>
    <x v="0"/>
    <x v="0"/>
    <x v="0"/>
    <n v="2587"/>
    <n v="10000000"/>
    <n v="3865"/>
    <n v="1"/>
    <n v="2"/>
    <n v="30"/>
    <s v="South"/>
    <s v="Playground; Parking; AC; Gym; Library; Concierge; Garden"/>
    <n v="7"/>
    <n v="6"/>
    <n v="34283"/>
    <n v="4.1100000000000003"/>
    <s v="Premium"/>
    <n v="0.45569999999999999"/>
    <d v="2025-06-23T00:00:00"/>
    <n v="91"/>
    <x v="0"/>
    <n v="101"/>
    <x v="1"/>
    <b v="0"/>
    <n v="0"/>
  </r>
  <r>
    <s v="PROP00867"/>
    <x v="5"/>
    <x v="19"/>
    <x v="1"/>
    <n v="274"/>
    <n v="28482738"/>
    <n v="103951"/>
    <n v="0"/>
    <n v="2"/>
    <n v="6"/>
    <s v="North-West"/>
    <s v="Parking; Gym; Library; Concierge; Elevator; Pool; Security; Garden"/>
    <n v="8"/>
    <n v="7"/>
    <n v="98612"/>
    <n v="4.1500000000000004"/>
    <s v="Luxury"/>
    <n v="0.45770000000000005"/>
    <d v="2025-03-31T00:00:00"/>
    <n v="100"/>
    <x v="2"/>
    <n v="78"/>
    <x v="1"/>
    <b v="1"/>
    <n v="56965"/>
  </r>
  <r>
    <s v="PROP00868"/>
    <x v="5"/>
    <x v="11"/>
    <x v="0"/>
    <n v="2977"/>
    <n v="40000000"/>
    <n v="13436"/>
    <n v="3"/>
    <n v="1"/>
    <n v="26"/>
    <s v="North"/>
    <s v="AC; Pool; Gym; Parking; Library; Security"/>
    <n v="6"/>
    <n v="5"/>
    <n v="161384"/>
    <n v="4.84"/>
    <s v="Luxury"/>
    <n v="0.49209999999999998"/>
    <d v="2025-01-04T00:00:00"/>
    <n v="34"/>
    <x v="1"/>
    <n v="62"/>
    <x v="1"/>
    <b v="1"/>
    <n v="0"/>
  </r>
  <r>
    <s v="PROP00869"/>
    <x v="2"/>
    <x v="33"/>
    <x v="3"/>
    <n v="2982"/>
    <n v="15000000"/>
    <n v="5030"/>
    <n v="6"/>
    <n v="3"/>
    <n v="19"/>
    <s v="South"/>
    <s v="Garden; Pool; Elevator; Library; Concierge"/>
    <n v="5"/>
    <n v="5"/>
    <n v="41611"/>
    <n v="3.33"/>
    <s v="Premium"/>
    <n v="0.41639999999999999"/>
    <d v="2026-04-09T00:00:00"/>
    <n v="319"/>
    <x v="0"/>
    <n v="126"/>
    <x v="1"/>
    <b v="0"/>
    <n v="30000"/>
  </r>
  <r>
    <s v="PROP00870"/>
    <x v="4"/>
    <x v="30"/>
    <x v="3"/>
    <n v="7905"/>
    <n v="12000000"/>
    <n v="1518"/>
    <n v="3"/>
    <n v="1"/>
    <n v="18"/>
    <s v="West"/>
    <s v="Concierge; Garden; Playground; Pool; Elevator; Parking; Security; AC"/>
    <n v="8"/>
    <n v="10"/>
    <n v="32967"/>
    <n v="3.3"/>
    <s v="Premium"/>
    <n v="0.41479999999999995"/>
    <d v="2025-12-11T00:00:00"/>
    <n v="117"/>
    <x v="2"/>
    <n v="143"/>
    <x v="0"/>
    <b v="1"/>
    <n v="24000"/>
  </r>
  <r>
    <s v="PROP00871"/>
    <x v="5"/>
    <x v="13"/>
    <x v="1"/>
    <n v="363"/>
    <n v="40000000"/>
    <n v="110192"/>
    <n v="1"/>
    <n v="1"/>
    <n v="4"/>
    <s v="South-East"/>
    <s v="Library; Elevator; Pool; Security"/>
    <n v="4"/>
    <n v="8"/>
    <n v="131302"/>
    <n v="3.94"/>
    <s v="Luxury"/>
    <n v="0.44700000000000001"/>
    <d v="2026-02-10T00:00:00"/>
    <n v="24"/>
    <x v="1"/>
    <n v="147"/>
    <x v="0"/>
    <b v="0"/>
    <n v="0"/>
  </r>
  <r>
    <s v="PROP00872"/>
    <x v="1"/>
    <x v="20"/>
    <x v="3"/>
    <n v="3637"/>
    <n v="50000000"/>
    <n v="13747"/>
    <n v="6"/>
    <n v="3"/>
    <n v="3"/>
    <s v="South-West"/>
    <s v="Concierge; Pool; Parking"/>
    <n v="3"/>
    <n v="8"/>
    <n v="178733"/>
    <n v="4.29"/>
    <s v="Luxury"/>
    <n v="0.46450000000000002"/>
    <d v="2024-10-25T00:00:00"/>
    <n v="324"/>
    <x v="0"/>
    <n v="173"/>
    <x v="0"/>
    <b v="1"/>
    <n v="0"/>
  </r>
  <r>
    <s v="PROP00873"/>
    <x v="0"/>
    <x v="7"/>
    <x v="1"/>
    <n v="384"/>
    <n v="10000000"/>
    <n v="26041"/>
    <n v="1"/>
    <n v="2"/>
    <n v="15"/>
    <s v="East"/>
    <s v="Playground; Concierge; Security; Pool"/>
    <n v="4"/>
    <n v="5"/>
    <n v="41164"/>
    <n v="4.9400000000000004"/>
    <s v="Premium"/>
    <n v="0.49700000000000005"/>
    <d v="2025-10-05T00:00:00"/>
    <n v="83"/>
    <x v="1"/>
    <n v="66"/>
    <x v="0"/>
    <b v="1"/>
    <n v="0"/>
  </r>
  <r>
    <s v="PROP00874"/>
    <x v="5"/>
    <x v="10"/>
    <x v="2"/>
    <n v="3794"/>
    <n v="40000000"/>
    <n v="10542"/>
    <n v="3"/>
    <n v="1"/>
    <n v="5"/>
    <s v="South-East"/>
    <s v="Playground; Library; Gym; Garden; Pool; Security; Parking; Concierge"/>
    <n v="8"/>
    <n v="9"/>
    <n v="160014"/>
    <n v="4.8"/>
    <s v="Luxury"/>
    <n v="0.49"/>
    <d v="2025-09-08T00:00:00"/>
    <n v="126"/>
    <x v="2"/>
    <n v="152"/>
    <x v="0"/>
    <b v="1"/>
    <n v="80000"/>
  </r>
  <r>
    <s v="PROP00875"/>
    <x v="5"/>
    <x v="16"/>
    <x v="1"/>
    <n v="391"/>
    <n v="36040168"/>
    <n v="92174"/>
    <n v="0"/>
    <n v="1"/>
    <n v="0"/>
    <s v="South-East"/>
    <s v="Playground; Garden; Security; Library; Gym; Concierge"/>
    <n v="6"/>
    <n v="7"/>
    <n v="143468"/>
    <n v="4.78"/>
    <s v="Luxury"/>
    <n v="0.48880000000000001"/>
    <d v="2026-03-02T00:00:00"/>
    <n v="206"/>
    <x v="0"/>
    <n v="74"/>
    <x v="0"/>
    <b v="0"/>
    <n v="0"/>
  </r>
  <r>
    <s v="PROP00876"/>
    <x v="3"/>
    <x v="5"/>
    <x v="1"/>
    <n v="586"/>
    <n v="30000000"/>
    <n v="51194"/>
    <n v="1"/>
    <n v="2"/>
    <n v="2"/>
    <s v="North-East"/>
    <s v="Security; Concierge; Gym; Parking; Library"/>
    <n v="5"/>
    <n v="6"/>
    <n v="114964"/>
    <n v="4.5999999999999996"/>
    <s v="Luxury"/>
    <n v="0.47989999999999999"/>
    <d v="2024-08-11T00:00:00"/>
    <n v="220"/>
    <x v="2"/>
    <n v="52"/>
    <x v="1"/>
    <b v="1"/>
    <n v="60000"/>
  </r>
  <r>
    <s v="PROP00877"/>
    <x v="4"/>
    <x v="29"/>
    <x v="2"/>
    <n v="2851"/>
    <n v="12000000"/>
    <n v="4209"/>
    <n v="5"/>
    <n v="3"/>
    <n v="0"/>
    <s v="South-East"/>
    <s v="Pool; Library; Garden; Security; Parking; Concierge; AC"/>
    <n v="7"/>
    <n v="4"/>
    <n v="31203"/>
    <n v="3.12"/>
    <s v="Premium"/>
    <n v="0.40600000000000003"/>
    <d v="2026-05-14T00:00:00"/>
    <n v="87"/>
    <x v="2"/>
    <n v="94"/>
    <x v="1"/>
    <b v="1"/>
    <n v="24000"/>
  </r>
  <r>
    <s v="PROP00878"/>
    <x v="1"/>
    <x v="20"/>
    <x v="1"/>
    <n v="299"/>
    <n v="50000000"/>
    <n v="167224"/>
    <n v="0"/>
    <n v="1"/>
    <n v="4"/>
    <s v="South-West"/>
    <s v="Pool; Garden; AC; Library; Playground"/>
    <n v="5"/>
    <n v="9"/>
    <n v="176692"/>
    <n v="4.24"/>
    <s v="Luxury"/>
    <n v="0.46200000000000002"/>
    <d v="2025-01-26T00:00:00"/>
    <n v="208"/>
    <x v="0"/>
    <n v="146"/>
    <x v="0"/>
    <b v="0"/>
    <n v="100000"/>
  </r>
  <r>
    <s v="PROP00879"/>
    <x v="1"/>
    <x v="1"/>
    <x v="1"/>
    <n v="501"/>
    <n v="50000000"/>
    <n v="99800"/>
    <n v="1"/>
    <n v="1"/>
    <n v="2"/>
    <s v="South-East"/>
    <s v="Parking; Elevator; Concierge; Playground; Garden; Gym; Library"/>
    <n v="7"/>
    <n v="9"/>
    <n v="205319"/>
    <n v="4.93"/>
    <s v="Luxury"/>
    <n v="0.49640000000000001"/>
    <d v="2024-11-13T00:00:00"/>
    <n v="216"/>
    <x v="2"/>
    <n v="169"/>
    <x v="1"/>
    <b v="1"/>
    <n v="100000"/>
  </r>
  <r>
    <s v="PROP00880"/>
    <x v="0"/>
    <x v="7"/>
    <x v="4"/>
    <n v="8720"/>
    <n v="10000000"/>
    <n v="1146"/>
    <n v="6"/>
    <n v="4"/>
    <n v="6"/>
    <s v="South-East"/>
    <s v="Elevator; Pool; Library"/>
    <n v="3"/>
    <n v="10"/>
    <n v="25514"/>
    <n v="3.06"/>
    <s v="Premium"/>
    <n v="0.40310000000000001"/>
    <d v="2024-12-06T00:00:00"/>
    <n v="327"/>
    <x v="2"/>
    <n v="178"/>
    <x v="1"/>
    <b v="1"/>
    <n v="20000"/>
  </r>
  <r>
    <s v="PROP00881"/>
    <x v="1"/>
    <x v="1"/>
    <x v="0"/>
    <n v="1049"/>
    <n v="50000000"/>
    <n v="47664"/>
    <n v="1"/>
    <n v="1"/>
    <n v="11"/>
    <s v="North-East"/>
    <s v="Playground; Concierge; Library"/>
    <n v="3"/>
    <n v="6"/>
    <n v="171920"/>
    <n v="4.13"/>
    <s v="Luxury"/>
    <n v="0.45630000000000004"/>
    <d v="2025-02-01T00:00:00"/>
    <n v="4"/>
    <x v="2"/>
    <n v="152"/>
    <x v="0"/>
    <b v="1"/>
    <n v="100000"/>
  </r>
  <r>
    <s v="PROP00882"/>
    <x v="2"/>
    <x v="25"/>
    <x v="1"/>
    <n v="452"/>
    <n v="15000000"/>
    <n v="33185"/>
    <n v="1"/>
    <n v="2"/>
    <n v="17"/>
    <s v="South"/>
    <s v="Library; Concierge; Elevator; Parking; Security; Garden; Playground; Pool"/>
    <n v="8"/>
    <n v="4"/>
    <n v="42532"/>
    <n v="3.4"/>
    <s v="Premium"/>
    <n v="0.42009999999999997"/>
    <d v="2025-05-24T00:00:00"/>
    <n v="170"/>
    <x v="0"/>
    <n v="95"/>
    <x v="0"/>
    <b v="1"/>
    <n v="0"/>
  </r>
  <r>
    <s v="PROP00883"/>
    <x v="3"/>
    <x v="3"/>
    <x v="2"/>
    <n v="4363"/>
    <n v="30000000"/>
    <n v="6876"/>
    <n v="3"/>
    <n v="2"/>
    <n v="6"/>
    <s v="South-West"/>
    <s v="Elevator; Library; Security"/>
    <n v="3"/>
    <n v="9"/>
    <n v="123144"/>
    <n v="4.93"/>
    <s v="Luxury"/>
    <n v="0.49630000000000002"/>
    <d v="2025-02-17T00:00:00"/>
    <n v="333"/>
    <x v="0"/>
    <n v="174"/>
    <x v="1"/>
    <b v="1"/>
    <n v="0"/>
  </r>
  <r>
    <s v="PROP00884"/>
    <x v="3"/>
    <x v="3"/>
    <x v="3"/>
    <n v="2405"/>
    <n v="30000000"/>
    <n v="12474"/>
    <n v="5"/>
    <n v="3"/>
    <n v="23"/>
    <s v="South"/>
    <s v="Parking; Playground; AC"/>
    <n v="3"/>
    <n v="7"/>
    <n v="83055"/>
    <n v="3.32"/>
    <s v="Luxury"/>
    <n v="0.41609999999999997"/>
    <d v="2025-03-17T00:00:00"/>
    <n v="121"/>
    <x v="2"/>
    <n v="106"/>
    <x v="0"/>
    <b v="0"/>
    <n v="0"/>
  </r>
  <r>
    <s v="PROP00885"/>
    <x v="4"/>
    <x v="12"/>
    <x v="4"/>
    <n v="9885"/>
    <n v="12000000"/>
    <n v="1213"/>
    <n v="6"/>
    <n v="4"/>
    <n v="19"/>
    <s v="North-East"/>
    <s v="Playground; Security; Library; Elevator; Garden; Pool"/>
    <n v="6"/>
    <n v="6"/>
    <n v="45074"/>
    <n v="4.51"/>
    <s v="Premium"/>
    <n v="0.47539999999999999"/>
    <d v="2025-07-19T00:00:00"/>
    <n v="38"/>
    <x v="2"/>
    <n v="95"/>
    <x v="1"/>
    <b v="1"/>
    <n v="0"/>
  </r>
  <r>
    <s v="PROP00886"/>
    <x v="4"/>
    <x v="12"/>
    <x v="4"/>
    <n v="5003"/>
    <n v="12000000"/>
    <n v="2398"/>
    <n v="6"/>
    <n v="3"/>
    <n v="26"/>
    <s v="North-East"/>
    <s v="Security; Elevator; Concierge; Parking; Pool; AC; Library; Playground"/>
    <n v="8"/>
    <n v="5"/>
    <n v="45181"/>
    <n v="4.5199999999999996"/>
    <s v="Premium"/>
    <n v="0.47590000000000005"/>
    <d v="2024-07-10T00:00:00"/>
    <n v="115"/>
    <x v="2"/>
    <n v="67"/>
    <x v="0"/>
    <b v="0"/>
    <n v="0"/>
  </r>
  <r>
    <s v="PROP00887"/>
    <x v="3"/>
    <x v="5"/>
    <x v="1"/>
    <n v="361"/>
    <n v="30000000"/>
    <n v="83102"/>
    <n v="1"/>
    <n v="1"/>
    <n v="7"/>
    <s v="North"/>
    <s v="Pool; Gym; Concierge; Elevator"/>
    <n v="4"/>
    <n v="7"/>
    <n v="80757"/>
    <n v="3.23"/>
    <s v="Luxury"/>
    <n v="0.41149999999999998"/>
    <d v="2025-01-09T00:00:00"/>
    <n v="155"/>
    <x v="2"/>
    <n v="113"/>
    <x v="1"/>
    <b v="1"/>
    <n v="0"/>
  </r>
  <r>
    <s v="PROP00888"/>
    <x v="0"/>
    <x v="7"/>
    <x v="1"/>
    <n v="439"/>
    <n v="10000000"/>
    <n v="22779"/>
    <n v="1"/>
    <n v="2"/>
    <n v="25"/>
    <s v="North-East"/>
    <s v="Parking; Elevator; Gym; Pool; Concierge; Playground; AC"/>
    <n v="7"/>
    <n v="5"/>
    <n v="39137"/>
    <n v="4.7"/>
    <s v="Premium"/>
    <n v="0.48479999999999995"/>
    <d v="2025-04-19T00:00:00"/>
    <n v="291"/>
    <x v="1"/>
    <n v="87"/>
    <x v="0"/>
    <b v="1"/>
    <n v="20000"/>
  </r>
  <r>
    <s v="PROP00889"/>
    <x v="0"/>
    <x v="18"/>
    <x v="0"/>
    <n v="958"/>
    <n v="10000000"/>
    <n v="10438"/>
    <n v="1"/>
    <n v="1"/>
    <n v="23"/>
    <s v="South-West"/>
    <s v="Playground; Library; Elevator; Security; Concierge; AC"/>
    <n v="6"/>
    <n v="7"/>
    <n v="34705"/>
    <n v="4.16"/>
    <s v="Premium"/>
    <n v="0.4582"/>
    <d v="2024-08-09T00:00:00"/>
    <n v="285"/>
    <x v="2"/>
    <n v="30"/>
    <x v="1"/>
    <b v="1"/>
    <n v="20000"/>
  </r>
  <r>
    <s v="PROP00890"/>
    <x v="1"/>
    <x v="24"/>
    <x v="2"/>
    <n v="3763"/>
    <n v="50000000"/>
    <n v="13287"/>
    <n v="4"/>
    <n v="2"/>
    <n v="8"/>
    <s v="South-East"/>
    <s v="Playground; Library; AC; Pool; Gym; Elevator; Concierge; Parking"/>
    <n v="8"/>
    <n v="7"/>
    <n v="142058"/>
    <n v="3.41"/>
    <s v="Luxury"/>
    <n v="0.42049999999999998"/>
    <d v="2025-11-08T00:00:00"/>
    <n v="344"/>
    <x v="0"/>
    <n v="70"/>
    <x v="0"/>
    <b v="1"/>
    <n v="100000"/>
  </r>
  <r>
    <s v="PROP00891"/>
    <x v="3"/>
    <x v="3"/>
    <x v="1"/>
    <n v="399"/>
    <n v="30000000"/>
    <n v="75187"/>
    <n v="0"/>
    <n v="2"/>
    <n v="13"/>
    <s v="North-West"/>
    <s v="Pool; Gym; Security; Elevator"/>
    <n v="4"/>
    <n v="9"/>
    <n v="95784"/>
    <n v="3.83"/>
    <s v="Luxury"/>
    <n v="0.44159999999999999"/>
    <d v="2024-06-04T00:00:00"/>
    <n v="277"/>
    <x v="2"/>
    <n v="131"/>
    <x v="0"/>
    <b v="1"/>
    <n v="0"/>
  </r>
  <r>
    <s v="PROP00892"/>
    <x v="0"/>
    <x v="7"/>
    <x v="3"/>
    <n v="6661"/>
    <n v="10000000"/>
    <n v="1501"/>
    <n v="5"/>
    <n v="3"/>
    <n v="24"/>
    <s v="North-East"/>
    <s v="Gym; Parking; Pool; Playground; Library; Garden; Security"/>
    <n v="7"/>
    <n v="10"/>
    <n v="29391"/>
    <n v="3.53"/>
    <s v="Premium"/>
    <n v="0.42630000000000001"/>
    <d v="2026-04-06T00:00:00"/>
    <n v="30"/>
    <x v="0"/>
    <n v="111"/>
    <x v="0"/>
    <b v="1"/>
    <n v="0"/>
  </r>
  <r>
    <s v="PROP00893"/>
    <x v="1"/>
    <x v="1"/>
    <x v="3"/>
    <n v="6580"/>
    <n v="50000000"/>
    <n v="7598"/>
    <n v="5"/>
    <n v="3"/>
    <n v="12"/>
    <s v="West"/>
    <s v="Parking; Concierge; Playground; AC; Pool"/>
    <n v="5"/>
    <n v="5"/>
    <n v="168359"/>
    <n v="4.04"/>
    <s v="Luxury"/>
    <n v="0.45200000000000001"/>
    <d v="2025-12-09T00:00:00"/>
    <n v="70"/>
    <x v="2"/>
    <n v="32"/>
    <x v="0"/>
    <b v="1"/>
    <n v="0"/>
  </r>
  <r>
    <s v="PROP00894"/>
    <x v="2"/>
    <x v="25"/>
    <x v="0"/>
    <n v="1282"/>
    <n v="15000000"/>
    <n v="11700"/>
    <n v="2"/>
    <n v="1"/>
    <n v="7"/>
    <s v="South-West"/>
    <s v="Garden; Elevator; Security"/>
    <n v="3"/>
    <n v="7"/>
    <n v="39193"/>
    <n v="3.14"/>
    <s v="Premium"/>
    <n v="0.40679999999999999"/>
    <d v="2024-06-05T00:00:00"/>
    <n v="187"/>
    <x v="0"/>
    <n v="146"/>
    <x v="0"/>
    <b v="0"/>
    <n v="0"/>
  </r>
  <r>
    <s v="PROP00895"/>
    <x v="3"/>
    <x v="17"/>
    <x v="4"/>
    <n v="7996"/>
    <n v="30000000"/>
    <n v="3751"/>
    <n v="5"/>
    <n v="3"/>
    <n v="7"/>
    <s v="East"/>
    <s v="Gym; Parking; Security; Playground; AC; Pool; Elevator; Garden"/>
    <n v="8"/>
    <n v="10"/>
    <n v="111735"/>
    <n v="4.47"/>
    <s v="Luxury"/>
    <n v="0.47350000000000003"/>
    <d v="2024-10-22T00:00:00"/>
    <n v="88"/>
    <x v="2"/>
    <n v="154"/>
    <x v="0"/>
    <b v="1"/>
    <n v="60000"/>
  </r>
  <r>
    <s v="PROP00896"/>
    <x v="5"/>
    <x v="19"/>
    <x v="3"/>
    <n v="2382"/>
    <n v="40000000"/>
    <n v="16792"/>
    <n v="4"/>
    <n v="3"/>
    <n v="14"/>
    <s v="North-West"/>
    <s v="Elevator; Gym; Pool"/>
    <n v="3"/>
    <n v="6"/>
    <n v="163840"/>
    <n v="4.92"/>
    <s v="Luxury"/>
    <n v="0.49579999999999996"/>
    <d v="2024-07-06T00:00:00"/>
    <n v="192"/>
    <x v="2"/>
    <n v="43"/>
    <x v="0"/>
    <b v="0"/>
    <n v="0"/>
  </r>
  <r>
    <s v="PROP00897"/>
    <x v="5"/>
    <x v="19"/>
    <x v="4"/>
    <n v="6789"/>
    <n v="40000000"/>
    <n v="5891"/>
    <n v="6"/>
    <n v="3"/>
    <n v="26"/>
    <s v="East"/>
    <s v="Concierge; Playground; Security; Garden; Gym; Elevator"/>
    <n v="6"/>
    <n v="5"/>
    <n v="103336"/>
    <n v="3.1"/>
    <s v="Luxury"/>
    <n v="0.40500000000000003"/>
    <d v="2025-05-11T00:00:00"/>
    <n v="226"/>
    <x v="2"/>
    <n v="167"/>
    <x v="0"/>
    <b v="0"/>
    <n v="80000"/>
  </r>
  <r>
    <s v="PROP00898"/>
    <x v="5"/>
    <x v="14"/>
    <x v="0"/>
    <n v="1136"/>
    <n v="40000000"/>
    <n v="35211"/>
    <n v="2"/>
    <n v="2"/>
    <n v="19"/>
    <s v="South-West"/>
    <s v="Elevator; Playground; Library"/>
    <n v="3"/>
    <n v="9"/>
    <n v="118783"/>
    <n v="3.56"/>
    <s v="Luxury"/>
    <n v="0.42820000000000003"/>
    <d v="2025-08-27T00:00:00"/>
    <n v="127"/>
    <x v="1"/>
    <n v="67"/>
    <x v="1"/>
    <b v="1"/>
    <n v="80000"/>
  </r>
  <r>
    <s v="PROP00899"/>
    <x v="2"/>
    <x v="25"/>
    <x v="0"/>
    <n v="1163"/>
    <n v="15000000"/>
    <n v="12897"/>
    <n v="1"/>
    <n v="1"/>
    <n v="2"/>
    <s v="North"/>
    <s v="Gym; Pool; Concierge"/>
    <n v="3"/>
    <n v="10"/>
    <n v="46166"/>
    <n v="3.69"/>
    <s v="Premium"/>
    <n v="0.43469999999999998"/>
    <d v="2024-06-09T00:00:00"/>
    <n v="343"/>
    <x v="0"/>
    <n v="42"/>
    <x v="0"/>
    <b v="0"/>
    <n v="30000"/>
  </r>
  <r>
    <s v="PROP00900"/>
    <x v="2"/>
    <x v="22"/>
    <x v="0"/>
    <n v="2977"/>
    <n v="15000000"/>
    <n v="5038"/>
    <n v="2"/>
    <n v="1"/>
    <n v="11"/>
    <s v="East"/>
    <s v="Elevator; Security; Playground"/>
    <n v="3"/>
    <n v="5"/>
    <n v="55880"/>
    <n v="4.47"/>
    <s v="Premium"/>
    <n v="0.47350000000000003"/>
    <d v="2026-01-22T00:00:00"/>
    <n v="73"/>
    <x v="0"/>
    <n v="74"/>
    <x v="1"/>
    <b v="0"/>
    <n v="0"/>
  </r>
  <r>
    <s v="PROP00901"/>
    <x v="3"/>
    <x v="15"/>
    <x v="4"/>
    <n v="6722"/>
    <n v="30000000"/>
    <n v="4462"/>
    <n v="4"/>
    <n v="2"/>
    <n v="0"/>
    <s v="East"/>
    <s v="Security; Parking; AC; Gym; Garden"/>
    <n v="5"/>
    <n v="9"/>
    <n v="91025"/>
    <n v="3.64"/>
    <s v="Luxury"/>
    <n v="0.43200000000000005"/>
    <d v="2025-08-21T00:00:00"/>
    <n v="99"/>
    <x v="0"/>
    <n v="127"/>
    <x v="0"/>
    <b v="1"/>
    <n v="60000"/>
  </r>
  <r>
    <s v="PROP00902"/>
    <x v="3"/>
    <x v="3"/>
    <x v="2"/>
    <n v="2737"/>
    <n v="30000000"/>
    <n v="10960"/>
    <n v="5"/>
    <n v="2"/>
    <n v="9"/>
    <s v="East"/>
    <s v="AC; Concierge; Playground; Gym; Parking; Garden; Library"/>
    <n v="7"/>
    <n v="8"/>
    <n v="93709"/>
    <n v="3.75"/>
    <s v="Luxury"/>
    <n v="0.43740000000000001"/>
    <d v="2024-06-14T00:00:00"/>
    <n v="37"/>
    <x v="0"/>
    <n v="119"/>
    <x v="1"/>
    <b v="1"/>
    <n v="0"/>
  </r>
  <r>
    <s v="PROP00903"/>
    <x v="2"/>
    <x v="22"/>
    <x v="4"/>
    <n v="8750"/>
    <n v="15000000"/>
    <n v="1714"/>
    <n v="4"/>
    <n v="3"/>
    <n v="13"/>
    <s v="North-West"/>
    <s v="Garden; Parking; Playground; Elevator; Pool; AC; Concierge; Library"/>
    <n v="8"/>
    <n v="8"/>
    <n v="57369"/>
    <n v="4.59"/>
    <s v="Premium"/>
    <n v="0.47950000000000004"/>
    <d v="2025-12-02T00:00:00"/>
    <n v="9"/>
    <x v="1"/>
    <n v="69"/>
    <x v="1"/>
    <b v="1"/>
    <n v="0"/>
  </r>
  <r>
    <s v="PROP00904"/>
    <x v="5"/>
    <x v="14"/>
    <x v="0"/>
    <n v="980"/>
    <n v="40000000"/>
    <n v="40816"/>
    <n v="2"/>
    <n v="1"/>
    <n v="20"/>
    <s v="South"/>
    <s v="Elevator; Parking; AC; Security; Concierge"/>
    <n v="5"/>
    <n v="5"/>
    <n v="161604"/>
    <n v="4.8499999999999996"/>
    <s v="Luxury"/>
    <n v="0.4924"/>
    <d v="2025-03-20T00:00:00"/>
    <n v="162"/>
    <x v="0"/>
    <n v="111"/>
    <x v="1"/>
    <b v="1"/>
    <n v="0"/>
  </r>
  <r>
    <s v="PROP00905"/>
    <x v="3"/>
    <x v="17"/>
    <x v="3"/>
    <n v="7290"/>
    <n v="30000000"/>
    <n v="4115"/>
    <n v="6"/>
    <n v="3"/>
    <n v="26"/>
    <s v="North-East"/>
    <s v="Security; Parking; Gym; Garden; Library; Concierge; AC"/>
    <n v="7"/>
    <n v="4"/>
    <n v="76353"/>
    <n v="3.05"/>
    <s v="Luxury"/>
    <n v="0.40270000000000006"/>
    <d v="2024-06-29T00:00:00"/>
    <n v="105"/>
    <x v="0"/>
    <n v="79"/>
    <x v="0"/>
    <b v="1"/>
    <n v="60000"/>
  </r>
  <r>
    <s v="PROP00906"/>
    <x v="1"/>
    <x v="24"/>
    <x v="4"/>
    <n v="7378"/>
    <n v="50000000"/>
    <n v="6776"/>
    <n v="4"/>
    <n v="2"/>
    <n v="2"/>
    <s v="North-East"/>
    <s v="Pool; Parking; AC; Gym; Elevator; Library; Concierge; Garden"/>
    <n v="8"/>
    <n v="8"/>
    <n v="200974"/>
    <n v="4.82"/>
    <s v="Luxury"/>
    <n v="0.49119999999999997"/>
    <d v="2026-01-19T00:00:00"/>
    <n v="223"/>
    <x v="2"/>
    <n v="69"/>
    <x v="1"/>
    <b v="0"/>
    <n v="0"/>
  </r>
  <r>
    <s v="PROP00907"/>
    <x v="5"/>
    <x v="11"/>
    <x v="0"/>
    <n v="2787"/>
    <n v="40000000"/>
    <n v="14352"/>
    <n v="1"/>
    <n v="2"/>
    <n v="8"/>
    <s v="North"/>
    <s v="AC; Gym; Library; Parking; Concierge; Pool; Elevator"/>
    <n v="7"/>
    <n v="7"/>
    <n v="111844"/>
    <n v="3.36"/>
    <s v="Luxury"/>
    <n v="0.4178"/>
    <d v="2024-12-16T00:00:00"/>
    <n v="327"/>
    <x v="1"/>
    <n v="143"/>
    <x v="1"/>
    <b v="1"/>
    <n v="0"/>
  </r>
  <r>
    <s v="PROP00908"/>
    <x v="4"/>
    <x v="31"/>
    <x v="1"/>
    <n v="576"/>
    <n v="12000000"/>
    <n v="20833"/>
    <n v="1"/>
    <n v="2"/>
    <n v="30"/>
    <s v="North-East"/>
    <s v="Security; Pool; Library; Playground; AC; Concierge"/>
    <n v="6"/>
    <n v="7"/>
    <n v="32235"/>
    <n v="3.22"/>
    <s v="Premium"/>
    <n v="0.41119999999999995"/>
    <d v="2025-12-21T00:00:00"/>
    <n v="92"/>
    <x v="2"/>
    <n v="67"/>
    <x v="0"/>
    <b v="1"/>
    <n v="24000"/>
  </r>
  <r>
    <s v="PROP00909"/>
    <x v="1"/>
    <x v="24"/>
    <x v="0"/>
    <n v="586"/>
    <n v="50000000"/>
    <n v="85324"/>
    <n v="3"/>
    <n v="1"/>
    <n v="19"/>
    <s v="North-West"/>
    <s v="AC; Garden; Pool; Parking; Playground"/>
    <n v="5"/>
    <n v="9"/>
    <n v="201419"/>
    <n v="4.83"/>
    <s v="Luxury"/>
    <n v="0.49170000000000003"/>
    <d v="2024-10-10T00:00:00"/>
    <n v="47"/>
    <x v="2"/>
    <n v="58"/>
    <x v="1"/>
    <b v="0"/>
    <n v="100000"/>
  </r>
  <r>
    <s v="PROP00910"/>
    <x v="2"/>
    <x v="25"/>
    <x v="4"/>
    <n v="7866"/>
    <n v="15000000"/>
    <n v="1906"/>
    <n v="6"/>
    <n v="4"/>
    <n v="18"/>
    <s v="North"/>
    <s v="AC; Pool; Parking; Security; Playground; Elevator; Gym; Concierge"/>
    <n v="8"/>
    <n v="9"/>
    <n v="59379"/>
    <n v="4.75"/>
    <s v="Premium"/>
    <n v="0.48749999999999999"/>
    <d v="2025-03-08T00:00:00"/>
    <n v="362"/>
    <x v="0"/>
    <n v="73"/>
    <x v="0"/>
    <b v="1"/>
    <n v="30000"/>
  </r>
  <r>
    <s v="PROP00911"/>
    <x v="5"/>
    <x v="10"/>
    <x v="3"/>
    <n v="6417"/>
    <n v="40000000"/>
    <n v="6233"/>
    <n v="5"/>
    <n v="2"/>
    <n v="17"/>
    <s v="South-East"/>
    <s v="Garden; Pool; Gym; Parking; Playground; Concierge"/>
    <n v="6"/>
    <n v="8"/>
    <n v="118010"/>
    <n v="3.54"/>
    <s v="Luxury"/>
    <n v="0.42700000000000005"/>
    <d v="2024-11-18T00:00:00"/>
    <n v="182"/>
    <x v="1"/>
    <n v="30"/>
    <x v="0"/>
    <b v="0"/>
    <n v="80000"/>
  </r>
  <r>
    <s v="PROP00912"/>
    <x v="0"/>
    <x v="9"/>
    <x v="4"/>
    <n v="3511"/>
    <n v="10000000"/>
    <n v="2848"/>
    <n v="4"/>
    <n v="3"/>
    <n v="12"/>
    <s v="East"/>
    <s v="Library; Parking; Concierge; Elevator; Garden; Pool; Security"/>
    <n v="7"/>
    <n v="8"/>
    <n v="41549"/>
    <n v="4.99"/>
    <s v="Premium"/>
    <n v="0.49930000000000002"/>
    <d v="2025-10-15T00:00:00"/>
    <n v="345"/>
    <x v="1"/>
    <n v="128"/>
    <x v="0"/>
    <b v="1"/>
    <n v="0"/>
  </r>
  <r>
    <s v="PROP00913"/>
    <x v="2"/>
    <x v="33"/>
    <x v="0"/>
    <n v="2471"/>
    <n v="15000000"/>
    <n v="6070"/>
    <n v="3"/>
    <n v="1"/>
    <n v="28"/>
    <s v="North-East"/>
    <s v="AC; Library; Parking; Garden; Elevator; Gym; Pool; Playground"/>
    <n v="8"/>
    <n v="9"/>
    <n v="40216"/>
    <n v="3.22"/>
    <s v="Premium"/>
    <n v="0.41090000000000004"/>
    <d v="2026-02-27T00:00:00"/>
    <n v="81"/>
    <x v="0"/>
    <n v="159"/>
    <x v="0"/>
    <b v="1"/>
    <n v="30000"/>
  </r>
  <r>
    <s v="PROP00914"/>
    <x v="1"/>
    <x v="23"/>
    <x v="4"/>
    <n v="9956"/>
    <n v="50000000"/>
    <n v="5022"/>
    <n v="6"/>
    <n v="3"/>
    <n v="11"/>
    <s v="North"/>
    <s v="Concierge; Pool; Elevator; Parking"/>
    <n v="4"/>
    <n v="9"/>
    <n v="199637"/>
    <n v="4.79"/>
    <s v="Luxury"/>
    <n v="0.48960000000000004"/>
    <d v="2024-12-26T00:00:00"/>
    <n v="217"/>
    <x v="0"/>
    <n v="41"/>
    <x v="1"/>
    <b v="1"/>
    <n v="100000"/>
  </r>
  <r>
    <s v="PROP00915"/>
    <x v="0"/>
    <x v="9"/>
    <x v="4"/>
    <n v="3822"/>
    <n v="10000000"/>
    <n v="2616"/>
    <n v="6"/>
    <n v="4"/>
    <n v="7"/>
    <s v="North-West"/>
    <s v="Elevator; Parking; Concierge"/>
    <n v="3"/>
    <n v="6"/>
    <n v="26946"/>
    <n v="3.23"/>
    <s v="Premium"/>
    <n v="0.41170000000000001"/>
    <d v="2024-12-15T00:00:00"/>
    <n v="297"/>
    <x v="2"/>
    <n v="137"/>
    <x v="0"/>
    <b v="0"/>
    <n v="0"/>
  </r>
  <r>
    <s v="PROP00916"/>
    <x v="0"/>
    <x v="8"/>
    <x v="3"/>
    <n v="7534"/>
    <n v="10000000"/>
    <n v="1327"/>
    <n v="3"/>
    <n v="1"/>
    <n v="22"/>
    <s v="South-East"/>
    <s v="Library; Playground; Elevator; Security; Garden; Pool"/>
    <n v="6"/>
    <n v="6"/>
    <n v="26570"/>
    <n v="3.19"/>
    <s v="Premium"/>
    <n v="0.40939999999999999"/>
    <d v="2025-06-17T00:00:00"/>
    <n v="304"/>
    <x v="0"/>
    <n v="159"/>
    <x v="0"/>
    <b v="0"/>
    <n v="0"/>
  </r>
  <r>
    <s v="PROP00917"/>
    <x v="3"/>
    <x v="5"/>
    <x v="2"/>
    <n v="4249"/>
    <n v="30000000"/>
    <n v="7060"/>
    <n v="5"/>
    <n v="2"/>
    <n v="24"/>
    <s v="East"/>
    <s v="Security; Parking; Gym; Garden; AC; Library"/>
    <n v="6"/>
    <n v="6"/>
    <n v="95600"/>
    <n v="3.82"/>
    <s v="Luxury"/>
    <n v="0.44119999999999998"/>
    <d v="2024-09-17T00:00:00"/>
    <n v="225"/>
    <x v="1"/>
    <n v="46"/>
    <x v="1"/>
    <b v="0"/>
    <n v="60000"/>
  </r>
  <r>
    <s v="PROP00918"/>
    <x v="4"/>
    <x v="4"/>
    <x v="4"/>
    <n v="9404"/>
    <n v="12000000"/>
    <n v="1276"/>
    <n v="6"/>
    <n v="4"/>
    <n v="9"/>
    <s v="North-East"/>
    <s v="Concierge; Security; Playground; Elevator; AC; Library; Parking; Pool"/>
    <n v="8"/>
    <n v="10"/>
    <n v="40181"/>
    <n v="4.0199999999999996"/>
    <s v="Premium"/>
    <n v="0.45090000000000002"/>
    <d v="2024-08-30T00:00:00"/>
    <n v="58"/>
    <x v="2"/>
    <n v="107"/>
    <x v="1"/>
    <b v="0"/>
    <n v="24000"/>
  </r>
  <r>
    <s v="PROP00919"/>
    <x v="5"/>
    <x v="16"/>
    <x v="4"/>
    <n v="8160"/>
    <n v="40000000"/>
    <n v="4901"/>
    <n v="5"/>
    <n v="2"/>
    <n v="12"/>
    <s v="North-East"/>
    <s v="Elevator; AC; Pool; Garden; Parking; Security; Gym; Concierge"/>
    <n v="8"/>
    <n v="8"/>
    <n v="152822"/>
    <n v="4.58"/>
    <s v="Luxury"/>
    <n v="0.47920000000000001"/>
    <d v="2025-11-25T00:00:00"/>
    <n v="6"/>
    <x v="2"/>
    <n v="130"/>
    <x v="1"/>
    <b v="1"/>
    <n v="80000"/>
  </r>
  <r>
    <s v="PROP00920"/>
    <x v="1"/>
    <x v="1"/>
    <x v="1"/>
    <n v="321"/>
    <n v="50000000"/>
    <n v="155763"/>
    <n v="1"/>
    <n v="1"/>
    <n v="12"/>
    <s v="North-East"/>
    <s v="Security; AC; Gym; Concierge; Elevator; Pool"/>
    <n v="6"/>
    <n v="5"/>
    <n v="146055"/>
    <n v="3.51"/>
    <s v="Luxury"/>
    <n v="0.42530000000000001"/>
    <d v="2024-11-28T00:00:00"/>
    <n v="285"/>
    <x v="0"/>
    <n v="30"/>
    <x v="0"/>
    <b v="1"/>
    <n v="0"/>
  </r>
  <r>
    <s v="PROP00921"/>
    <x v="2"/>
    <x v="22"/>
    <x v="4"/>
    <n v="7514"/>
    <n v="15000000"/>
    <n v="1996"/>
    <n v="4"/>
    <n v="3"/>
    <n v="8"/>
    <s v="South-East"/>
    <s v="Pool; AC; Playground; Garden; Elevator; Gym; Concierge; Library"/>
    <n v="8"/>
    <n v="6"/>
    <n v="38681"/>
    <n v="3.09"/>
    <s v="Premium"/>
    <n v="0.4047"/>
    <d v="2025-10-09T00:00:00"/>
    <n v="348"/>
    <x v="0"/>
    <n v="129"/>
    <x v="1"/>
    <b v="1"/>
    <n v="0"/>
  </r>
  <r>
    <s v="PROP00922"/>
    <x v="0"/>
    <x v="34"/>
    <x v="0"/>
    <n v="1864"/>
    <n v="10000000"/>
    <n v="5364"/>
    <n v="4"/>
    <n v="3"/>
    <n v="3"/>
    <s v="North-West"/>
    <s v="Security; Garden; Concierge; Elevator; Playground; Parking; AC"/>
    <n v="7"/>
    <n v="4"/>
    <n v="33377"/>
    <n v="4.01"/>
    <s v="Premium"/>
    <n v="0.45030000000000003"/>
    <d v="2025-01-08T00:00:00"/>
    <n v="272"/>
    <x v="1"/>
    <n v="60"/>
    <x v="1"/>
    <b v="1"/>
    <n v="0"/>
  </r>
  <r>
    <s v="PROP00923"/>
    <x v="0"/>
    <x v="0"/>
    <x v="0"/>
    <n v="862"/>
    <n v="10000000"/>
    <n v="11600"/>
    <n v="2"/>
    <n v="2"/>
    <n v="11"/>
    <s v="North"/>
    <s v="Pool; Gym; Garden; Parking; Library; Playground; Security; AC"/>
    <n v="8"/>
    <n v="8"/>
    <n v="29570"/>
    <n v="3.55"/>
    <s v="Premium"/>
    <n v="0.4274"/>
    <d v="2025-05-28T00:00:00"/>
    <n v="192"/>
    <x v="1"/>
    <n v="132"/>
    <x v="0"/>
    <b v="0"/>
    <n v="20000"/>
  </r>
  <r>
    <s v="PROP00924"/>
    <x v="2"/>
    <x v="32"/>
    <x v="3"/>
    <n v="2957"/>
    <n v="15000000"/>
    <n v="5072"/>
    <n v="5"/>
    <n v="3"/>
    <n v="19"/>
    <s v="East"/>
    <s v="Library; Concierge; Parking; AC; Garden; Pool; Security"/>
    <n v="7"/>
    <n v="9"/>
    <n v="37697"/>
    <n v="3.02"/>
    <s v="Premium"/>
    <n v="0.40079999999999999"/>
    <d v="2025-09-15T00:00:00"/>
    <n v="226"/>
    <x v="0"/>
    <n v="105"/>
    <x v="0"/>
    <b v="0"/>
    <n v="0"/>
  </r>
  <r>
    <s v="PROP00925"/>
    <x v="5"/>
    <x v="16"/>
    <x v="1"/>
    <n v="405"/>
    <n v="38463843"/>
    <n v="94972"/>
    <n v="1"/>
    <n v="2"/>
    <n v="11"/>
    <s v="South-East"/>
    <s v="Garden; Library; Playground; Pool; Gym; AC; Security"/>
    <n v="7"/>
    <n v="9"/>
    <n v="149395"/>
    <n v="4.66"/>
    <s v="Luxury"/>
    <n v="0.48299999999999998"/>
    <d v="2025-12-25T00:00:00"/>
    <n v="112"/>
    <x v="0"/>
    <n v="119"/>
    <x v="0"/>
    <b v="1"/>
    <n v="76927"/>
  </r>
  <r>
    <s v="PROP00926"/>
    <x v="1"/>
    <x v="23"/>
    <x v="3"/>
    <n v="5230"/>
    <n v="50000000"/>
    <n v="9560"/>
    <n v="4"/>
    <n v="2"/>
    <n v="30"/>
    <s v="East"/>
    <s v="Pool; Concierge; Garden"/>
    <n v="3"/>
    <n v="6"/>
    <n v="163609"/>
    <n v="3.93"/>
    <s v="Luxury"/>
    <n v="0.44630000000000003"/>
    <d v="2025-12-05T00:00:00"/>
    <n v="329"/>
    <x v="0"/>
    <n v="167"/>
    <x v="0"/>
    <b v="0"/>
    <n v="0"/>
  </r>
  <r>
    <s v="PROP00927"/>
    <x v="0"/>
    <x v="7"/>
    <x v="2"/>
    <n v="3769"/>
    <n v="10000000"/>
    <n v="2653"/>
    <n v="4"/>
    <n v="2"/>
    <n v="5"/>
    <s v="South-West"/>
    <s v="Security; Parking; Playground; Pool; Concierge; AC; Gym"/>
    <n v="7"/>
    <n v="4"/>
    <n v="33372"/>
    <n v="4"/>
    <s v="Premium"/>
    <n v="0.45020000000000004"/>
    <d v="2024-12-30T00:00:00"/>
    <n v="35"/>
    <x v="0"/>
    <n v="144"/>
    <x v="0"/>
    <b v="0"/>
    <n v="20000"/>
  </r>
  <r>
    <s v="PROP00928"/>
    <x v="4"/>
    <x v="29"/>
    <x v="0"/>
    <n v="1887"/>
    <n v="12000000"/>
    <n v="6359"/>
    <n v="3"/>
    <n v="1"/>
    <n v="8"/>
    <s v="West"/>
    <s v="Concierge; Security; AC; Garden; Pool; Parking"/>
    <n v="6"/>
    <n v="9"/>
    <n v="32822"/>
    <n v="3.28"/>
    <s v="Premium"/>
    <n v="0.41409999999999997"/>
    <d v="2025-02-20T00:00:00"/>
    <n v="58"/>
    <x v="1"/>
    <n v="105"/>
    <x v="1"/>
    <b v="1"/>
    <n v="0"/>
  </r>
  <r>
    <s v="PROP00929"/>
    <x v="4"/>
    <x v="31"/>
    <x v="4"/>
    <n v="6763"/>
    <n v="12000000"/>
    <n v="1774"/>
    <n v="4"/>
    <n v="3"/>
    <n v="9"/>
    <s v="West"/>
    <s v="Garden; Gym; Playground; Pool; Elevator; Security; AC"/>
    <n v="7"/>
    <n v="10"/>
    <n v="40597"/>
    <n v="4.0599999999999996"/>
    <s v="Premium"/>
    <n v="0.45299999999999996"/>
    <d v="2025-03-09T00:00:00"/>
    <n v="353"/>
    <x v="0"/>
    <n v="47"/>
    <x v="0"/>
    <b v="1"/>
    <n v="24000"/>
  </r>
  <r>
    <s v="PROP00930"/>
    <x v="2"/>
    <x v="26"/>
    <x v="4"/>
    <n v="6886"/>
    <n v="15000000"/>
    <n v="2178"/>
    <n v="6"/>
    <n v="3"/>
    <n v="25"/>
    <s v="North"/>
    <s v="Pool; Playground; Parking; Garden; Security; Library; Elevator"/>
    <n v="7"/>
    <n v="4"/>
    <n v="51371"/>
    <n v="4.1100000000000003"/>
    <s v="Premium"/>
    <n v="0.45549999999999996"/>
    <d v="2025-11-07T00:00:00"/>
    <n v="93"/>
    <x v="0"/>
    <n v="110"/>
    <x v="0"/>
    <b v="0"/>
    <n v="0"/>
  </r>
  <r>
    <s v="PROP00931"/>
    <x v="2"/>
    <x v="22"/>
    <x v="3"/>
    <n v="4682"/>
    <n v="15000000"/>
    <n v="3203"/>
    <n v="4"/>
    <n v="3"/>
    <n v="25"/>
    <s v="North-East"/>
    <s v="Gym; Pool; AC; Parking; Garden; Playground; Concierge"/>
    <n v="7"/>
    <n v="7"/>
    <n v="47037"/>
    <n v="3.76"/>
    <s v="Premium"/>
    <n v="0.43810000000000004"/>
    <d v="2026-02-14T00:00:00"/>
    <n v="84"/>
    <x v="2"/>
    <n v="126"/>
    <x v="1"/>
    <b v="1"/>
    <n v="0"/>
  </r>
  <r>
    <s v="PROP00932"/>
    <x v="3"/>
    <x v="15"/>
    <x v="1"/>
    <n v="319"/>
    <n v="30000000"/>
    <n v="94043"/>
    <n v="1"/>
    <n v="2"/>
    <n v="20"/>
    <s v="North"/>
    <s v="Security; Playground; Gym; Elevator; Library; AC"/>
    <n v="6"/>
    <n v="6"/>
    <n v="80608"/>
    <n v="3.22"/>
    <s v="Luxury"/>
    <n v="0.41119999999999995"/>
    <d v="2024-11-15T00:00:00"/>
    <n v="117"/>
    <x v="0"/>
    <n v="152"/>
    <x v="0"/>
    <b v="1"/>
    <n v="0"/>
  </r>
  <r>
    <s v="PROP00933"/>
    <x v="3"/>
    <x v="35"/>
    <x v="0"/>
    <n v="2613"/>
    <n v="30000000"/>
    <n v="11481"/>
    <n v="4"/>
    <n v="3"/>
    <n v="28"/>
    <s v="North-East"/>
    <s v="Parking; Security; Library; Elevator; Playground"/>
    <n v="5"/>
    <n v="7"/>
    <n v="121958"/>
    <n v="4.88"/>
    <s v="Luxury"/>
    <n v="0.49390000000000001"/>
    <d v="2024-06-27T00:00:00"/>
    <n v="190"/>
    <x v="2"/>
    <n v="179"/>
    <x v="1"/>
    <b v="1"/>
    <n v="0"/>
  </r>
  <r>
    <s v="PROP00934"/>
    <x v="2"/>
    <x v="22"/>
    <x v="4"/>
    <n v="5855"/>
    <n v="15000000"/>
    <n v="2561"/>
    <n v="6"/>
    <n v="3"/>
    <n v="30"/>
    <s v="South"/>
    <s v="Pool; Gym; Parking; Elevator; AC; Garden; Security"/>
    <n v="7"/>
    <n v="8"/>
    <n v="44980"/>
    <n v="3.6"/>
    <s v="Premium"/>
    <n v="0.4299"/>
    <d v="2024-11-07T00:00:00"/>
    <n v="42"/>
    <x v="0"/>
    <n v="145"/>
    <x v="1"/>
    <b v="1"/>
    <n v="0"/>
  </r>
  <r>
    <s v="PROP00935"/>
    <x v="4"/>
    <x v="12"/>
    <x v="2"/>
    <n v="2575"/>
    <n v="12000000"/>
    <n v="4660"/>
    <n v="4"/>
    <n v="2"/>
    <n v="25"/>
    <s v="South-West"/>
    <s v="Garden; Library; Concierge; AC; Pool"/>
    <n v="5"/>
    <n v="9"/>
    <n v="32096"/>
    <n v="3.21"/>
    <s v="Premium"/>
    <n v="0.41049999999999998"/>
    <d v="2025-11-09T00:00:00"/>
    <n v="108"/>
    <x v="2"/>
    <n v="37"/>
    <x v="1"/>
    <b v="0"/>
    <n v="24000"/>
  </r>
  <r>
    <s v="PROP00936"/>
    <x v="1"/>
    <x v="20"/>
    <x v="3"/>
    <n v="6995"/>
    <n v="50000000"/>
    <n v="7147"/>
    <n v="6"/>
    <n v="3"/>
    <n v="8"/>
    <s v="East"/>
    <s v="Elevator; Gym; AC; Playground; Security"/>
    <n v="5"/>
    <n v="6"/>
    <n v="162107"/>
    <n v="3.89"/>
    <s v="Luxury"/>
    <n v="0.44450000000000001"/>
    <d v="2024-10-01T00:00:00"/>
    <n v="287"/>
    <x v="0"/>
    <n v="67"/>
    <x v="1"/>
    <b v="0"/>
    <n v="100000"/>
  </r>
  <r>
    <s v="PROP00937"/>
    <x v="3"/>
    <x v="3"/>
    <x v="0"/>
    <n v="2972"/>
    <n v="30000000"/>
    <n v="10094"/>
    <n v="3"/>
    <n v="1"/>
    <n v="24"/>
    <s v="South"/>
    <s v="Concierge; Gym; Playground; Pool; Library; Garden; AC; Parking"/>
    <n v="8"/>
    <n v="5"/>
    <n v="87056"/>
    <n v="3.48"/>
    <s v="Luxury"/>
    <n v="0.42409999999999998"/>
    <d v="2024-09-23T00:00:00"/>
    <n v="65"/>
    <x v="0"/>
    <n v="166"/>
    <x v="1"/>
    <b v="0"/>
    <n v="60000"/>
  </r>
  <r>
    <s v="PROP00938"/>
    <x v="0"/>
    <x v="18"/>
    <x v="2"/>
    <n v="1996"/>
    <n v="10000000"/>
    <n v="5010"/>
    <n v="3"/>
    <n v="2"/>
    <n v="1"/>
    <s v="North"/>
    <s v="Gym; AC; Playground; Library; Security; Elevator; Concierge"/>
    <n v="7"/>
    <n v="9"/>
    <n v="26016"/>
    <n v="3.12"/>
    <s v="Premium"/>
    <n v="0.40610000000000002"/>
    <d v="2025-12-27T00:00:00"/>
    <n v="106"/>
    <x v="0"/>
    <n v="148"/>
    <x v="1"/>
    <b v="1"/>
    <n v="0"/>
  </r>
  <r>
    <s v="PROP00939"/>
    <x v="0"/>
    <x v="9"/>
    <x v="1"/>
    <n v="355"/>
    <n v="10000000"/>
    <n v="28169"/>
    <n v="1"/>
    <n v="2"/>
    <n v="4"/>
    <s v="South-West"/>
    <s v="Pool; Garden; Playground; Security; Concierge; Library"/>
    <n v="6"/>
    <n v="4"/>
    <n v="28483"/>
    <n v="3.42"/>
    <s v="Premium"/>
    <n v="0.42090000000000005"/>
    <d v="2025-09-09T00:00:00"/>
    <n v="321"/>
    <x v="2"/>
    <n v="31"/>
    <x v="1"/>
    <b v="0"/>
    <n v="0"/>
  </r>
  <r>
    <s v="PROP00940"/>
    <x v="1"/>
    <x v="24"/>
    <x v="2"/>
    <n v="3344"/>
    <n v="50000000"/>
    <n v="14952"/>
    <n v="3"/>
    <n v="1"/>
    <n v="20"/>
    <s v="East"/>
    <s v="Library; Elevator; Garden; Security; Concierge"/>
    <n v="5"/>
    <n v="6"/>
    <n v="190821"/>
    <n v="4.58"/>
    <s v="Luxury"/>
    <n v="0.47899999999999998"/>
    <d v="2026-01-16T00:00:00"/>
    <n v="202"/>
    <x v="0"/>
    <n v="93"/>
    <x v="0"/>
    <b v="1"/>
    <n v="100000"/>
  </r>
  <r>
    <s v="PROP00941"/>
    <x v="2"/>
    <x v="2"/>
    <x v="3"/>
    <n v="5743"/>
    <n v="15000000"/>
    <n v="2611"/>
    <n v="3"/>
    <n v="1"/>
    <n v="17"/>
    <s v="East"/>
    <s v="Library; Elevator; AC; Gym; Parking; Pool; Playground"/>
    <n v="7"/>
    <n v="10"/>
    <n v="46942"/>
    <n v="3.76"/>
    <s v="Premium"/>
    <n v="0.43780000000000002"/>
    <d v="2025-08-26T00:00:00"/>
    <n v="40"/>
    <x v="0"/>
    <n v="135"/>
    <x v="0"/>
    <b v="1"/>
    <n v="0"/>
  </r>
  <r>
    <s v="PROP00942"/>
    <x v="5"/>
    <x v="19"/>
    <x v="3"/>
    <n v="4742"/>
    <n v="40000000"/>
    <n v="8435"/>
    <n v="5"/>
    <n v="3"/>
    <n v="26"/>
    <s v="North"/>
    <s v="Gym; Playground; Pool; Elevator; Concierge"/>
    <n v="5"/>
    <n v="7"/>
    <n v="165341"/>
    <n v="4.96"/>
    <s v="Luxury"/>
    <n v="0.498"/>
    <d v="2026-05-06T00:00:00"/>
    <n v="107"/>
    <x v="0"/>
    <n v="137"/>
    <x v="1"/>
    <b v="1"/>
    <n v="80000"/>
  </r>
  <r>
    <s v="PROP00943"/>
    <x v="5"/>
    <x v="19"/>
    <x v="2"/>
    <n v="4270"/>
    <n v="40000000"/>
    <n v="9367"/>
    <n v="4"/>
    <n v="3"/>
    <n v="3"/>
    <s v="North"/>
    <s v="Elevator; Garden; Playground; Library; Pool; Gym; AC"/>
    <n v="7"/>
    <n v="9"/>
    <n v="126808"/>
    <n v="3.8"/>
    <s v="Luxury"/>
    <n v="0.44020000000000004"/>
    <d v="2024-06-02T00:00:00"/>
    <n v="292"/>
    <x v="2"/>
    <n v="30"/>
    <x v="0"/>
    <b v="1"/>
    <n v="0"/>
  </r>
  <r>
    <s v="PROP00944"/>
    <x v="4"/>
    <x v="12"/>
    <x v="1"/>
    <n v="388"/>
    <n v="12000000"/>
    <n v="30927"/>
    <n v="1"/>
    <n v="2"/>
    <n v="3"/>
    <s v="West"/>
    <s v="Garden; Playground; Concierge; Pool; Elevator; Gym; AC; Library"/>
    <n v="8"/>
    <n v="4"/>
    <n v="49356"/>
    <n v="4.9400000000000004"/>
    <s v="Premium"/>
    <n v="0.49680000000000002"/>
    <d v="2024-10-25T00:00:00"/>
    <n v="197"/>
    <x v="1"/>
    <n v="57"/>
    <x v="1"/>
    <b v="1"/>
    <n v="24000"/>
  </r>
  <r>
    <s v="PROP00945"/>
    <x v="5"/>
    <x v="10"/>
    <x v="4"/>
    <n v="7127"/>
    <n v="40000000"/>
    <n v="5612"/>
    <n v="6"/>
    <n v="3"/>
    <n v="16"/>
    <s v="West"/>
    <s v="Garden; AC; Concierge; Elevator; Playground; Parking"/>
    <n v="6"/>
    <n v="7"/>
    <n v="114296"/>
    <n v="3.43"/>
    <s v="Luxury"/>
    <n v="0.4214"/>
    <d v="2025-07-28T00:00:00"/>
    <n v="129"/>
    <x v="2"/>
    <n v="33"/>
    <x v="0"/>
    <b v="1"/>
    <n v="80000"/>
  </r>
  <r>
    <s v="PROP00946"/>
    <x v="4"/>
    <x v="4"/>
    <x v="4"/>
    <n v="3923"/>
    <n v="12000000"/>
    <n v="3058"/>
    <n v="5"/>
    <n v="2"/>
    <n v="16"/>
    <s v="North-East"/>
    <s v="Library; Gym; Parking; Security; Pool; Garden; Playground; Elevator"/>
    <n v="8"/>
    <n v="10"/>
    <n v="49397"/>
    <n v="4.9400000000000004"/>
    <s v="Premium"/>
    <n v="0.49700000000000005"/>
    <d v="2025-08-19T00:00:00"/>
    <n v="120"/>
    <x v="0"/>
    <n v="73"/>
    <x v="0"/>
    <b v="1"/>
    <n v="0"/>
  </r>
  <r>
    <s v="PROP00947"/>
    <x v="2"/>
    <x v="2"/>
    <x v="3"/>
    <n v="2059"/>
    <n v="15000000"/>
    <n v="7285"/>
    <n v="5"/>
    <n v="3"/>
    <n v="2"/>
    <s v="South"/>
    <s v="Gym; Concierge; Security"/>
    <n v="3"/>
    <n v="5"/>
    <n v="41489"/>
    <n v="3.32"/>
    <s v="Premium"/>
    <n v="0.41600000000000004"/>
    <d v="2025-04-29T00:00:00"/>
    <n v="330"/>
    <x v="1"/>
    <n v="171"/>
    <x v="0"/>
    <b v="1"/>
    <n v="0"/>
  </r>
  <r>
    <s v="PROP00948"/>
    <x v="0"/>
    <x v="9"/>
    <x v="2"/>
    <n v="1904"/>
    <n v="10000000"/>
    <n v="5252"/>
    <n v="3"/>
    <n v="1"/>
    <n v="24"/>
    <s v="North-West"/>
    <s v="AC; Concierge; Gym; Security; Playground"/>
    <n v="5"/>
    <n v="8"/>
    <n v="31496"/>
    <n v="3.78"/>
    <s v="Premium"/>
    <n v="0.439"/>
    <d v="2025-08-26T00:00:00"/>
    <n v="105"/>
    <x v="1"/>
    <n v="134"/>
    <x v="0"/>
    <b v="1"/>
    <n v="0"/>
  </r>
  <r>
    <s v="PROP00949"/>
    <x v="1"/>
    <x v="21"/>
    <x v="2"/>
    <n v="4749"/>
    <n v="50000000"/>
    <n v="10528"/>
    <n v="3"/>
    <n v="1"/>
    <n v="9"/>
    <s v="South-West"/>
    <s v="Security; Garden; Parking"/>
    <n v="3"/>
    <n v="5"/>
    <n v="169464"/>
    <n v="4.07"/>
    <s v="Luxury"/>
    <n v="0.45340000000000003"/>
    <d v="2024-08-16T00:00:00"/>
    <n v="196"/>
    <x v="0"/>
    <n v="108"/>
    <x v="1"/>
    <b v="1"/>
    <n v="0"/>
  </r>
  <r>
    <s v="PROP00950"/>
    <x v="3"/>
    <x v="35"/>
    <x v="1"/>
    <n v="256"/>
    <n v="23750654"/>
    <n v="92775"/>
    <n v="0"/>
    <n v="2"/>
    <n v="14"/>
    <s v="South-West"/>
    <s v="Parking; Gym; Elevator; Library; AC; Playground; Concierge; Security"/>
    <n v="8"/>
    <n v="6"/>
    <n v="75768"/>
    <n v="3.83"/>
    <s v="Luxury"/>
    <n v="0.44140000000000001"/>
    <d v="2025-12-27T00:00:00"/>
    <n v="210"/>
    <x v="0"/>
    <n v="80"/>
    <x v="0"/>
    <b v="1"/>
    <n v="0"/>
  </r>
  <r>
    <s v="PROP00951"/>
    <x v="2"/>
    <x v="2"/>
    <x v="4"/>
    <n v="5564"/>
    <n v="15000000"/>
    <n v="2695"/>
    <n v="4"/>
    <n v="2"/>
    <n v="3"/>
    <s v="North"/>
    <s v="Garden; Parking; Playground; Library; Security; Gym"/>
    <n v="6"/>
    <n v="10"/>
    <n v="42904"/>
    <n v="3.43"/>
    <s v="Premium"/>
    <n v="0.42159999999999997"/>
    <d v="2025-01-27T00:00:00"/>
    <n v="336"/>
    <x v="0"/>
    <n v="38"/>
    <x v="1"/>
    <b v="1"/>
    <n v="30000"/>
  </r>
  <r>
    <s v="PROP00952"/>
    <x v="1"/>
    <x v="28"/>
    <x v="3"/>
    <n v="6428"/>
    <n v="50000000"/>
    <n v="7778"/>
    <n v="6"/>
    <n v="3"/>
    <n v="23"/>
    <s v="North"/>
    <s v="Concierge; Pool; Library; Garden; AC; Playground; Gym"/>
    <n v="7"/>
    <n v="9"/>
    <n v="146157"/>
    <n v="3.51"/>
    <s v="Luxury"/>
    <n v="0.4254"/>
    <d v="2024-05-18T00:00:00"/>
    <n v="58"/>
    <x v="2"/>
    <n v="134"/>
    <x v="1"/>
    <b v="1"/>
    <n v="100000"/>
  </r>
  <r>
    <s v="PROP00953"/>
    <x v="4"/>
    <x v="4"/>
    <x v="1"/>
    <n v="253"/>
    <n v="12000000"/>
    <n v="47430"/>
    <n v="1"/>
    <n v="2"/>
    <n v="9"/>
    <s v="West"/>
    <s v="Library; Gym; Parking; Elevator"/>
    <n v="4"/>
    <n v="5"/>
    <n v="35862"/>
    <n v="3.59"/>
    <s v="Premium"/>
    <n v="0.42930000000000001"/>
    <d v="2025-12-31T00:00:00"/>
    <n v="332"/>
    <x v="0"/>
    <n v="53"/>
    <x v="1"/>
    <b v="1"/>
    <n v="24000"/>
  </r>
  <r>
    <s v="PROP00954"/>
    <x v="5"/>
    <x v="10"/>
    <x v="3"/>
    <n v="6814"/>
    <n v="40000000"/>
    <n v="5870"/>
    <n v="5"/>
    <n v="2"/>
    <n v="4"/>
    <s v="North"/>
    <s v="Gym; Security; AC; Playground; Garden; Library; Pool; Concierge"/>
    <n v="8"/>
    <n v="6"/>
    <n v="112175"/>
    <n v="3.37"/>
    <s v="Luxury"/>
    <n v="0.41830000000000001"/>
    <d v="2024-07-27T00:00:00"/>
    <n v="116"/>
    <x v="2"/>
    <n v="54"/>
    <x v="0"/>
    <b v="0"/>
    <n v="0"/>
  </r>
  <r>
    <s v="PROP00955"/>
    <x v="1"/>
    <x v="23"/>
    <x v="1"/>
    <n v="558"/>
    <n v="50000000"/>
    <n v="89605"/>
    <n v="1"/>
    <n v="1"/>
    <n v="21"/>
    <s v="South-East"/>
    <s v="Security; Playground; AC; Elevator"/>
    <n v="4"/>
    <n v="9"/>
    <n v="128087"/>
    <n v="3.07"/>
    <s v="Luxury"/>
    <n v="0.40369999999999995"/>
    <d v="2026-01-26T00:00:00"/>
    <n v="164"/>
    <x v="0"/>
    <n v="58"/>
    <x v="0"/>
    <b v="1"/>
    <n v="0"/>
  </r>
  <r>
    <s v="PROP00956"/>
    <x v="4"/>
    <x v="30"/>
    <x v="2"/>
    <n v="4500"/>
    <n v="12000000"/>
    <n v="2666"/>
    <n v="5"/>
    <n v="3"/>
    <n v="15"/>
    <s v="North"/>
    <s v="Library; AC; Elevator; Pool; Concierge; Garden; Security"/>
    <n v="7"/>
    <n v="6"/>
    <n v="40003"/>
    <n v="4"/>
    <s v="Premium"/>
    <n v="0.45"/>
    <d v="2025-08-12T00:00:00"/>
    <n v="262"/>
    <x v="0"/>
    <n v="36"/>
    <x v="0"/>
    <b v="0"/>
    <n v="24000"/>
  </r>
  <r>
    <s v="PROP00957"/>
    <x v="4"/>
    <x v="4"/>
    <x v="4"/>
    <n v="3266"/>
    <n v="12000000"/>
    <n v="3674"/>
    <n v="5"/>
    <n v="3"/>
    <n v="19"/>
    <s v="West"/>
    <s v="Parking; Pool; Library; Elevator; Gym; Playground; Garden"/>
    <n v="7"/>
    <n v="5"/>
    <n v="49238"/>
    <n v="4.92"/>
    <s v="Premium"/>
    <n v="0.49619999999999997"/>
    <d v="2024-08-12T00:00:00"/>
    <n v="118"/>
    <x v="0"/>
    <n v="113"/>
    <x v="1"/>
    <b v="0"/>
    <n v="0"/>
  </r>
  <r>
    <s v="PROP00958"/>
    <x v="5"/>
    <x v="16"/>
    <x v="0"/>
    <n v="2465"/>
    <n v="40000000"/>
    <n v="16227"/>
    <n v="2"/>
    <n v="1"/>
    <n v="7"/>
    <s v="North"/>
    <s v="AC; Library; Playground; Parking; Garden; Pool; Security"/>
    <n v="7"/>
    <n v="7"/>
    <n v="166524"/>
    <n v="5"/>
    <s v="Luxury"/>
    <n v="0.49979999999999997"/>
    <d v="2025-10-22T00:00:00"/>
    <n v="8"/>
    <x v="2"/>
    <n v="67"/>
    <x v="1"/>
    <b v="0"/>
    <n v="80000"/>
  </r>
  <r>
    <s v="PROP00959"/>
    <x v="3"/>
    <x v="15"/>
    <x v="0"/>
    <n v="649"/>
    <n v="30000000"/>
    <n v="46224"/>
    <n v="1"/>
    <n v="1"/>
    <n v="17"/>
    <s v="West"/>
    <s v="Library; Garden; Security; Playground; Elevator; AC; Concierge"/>
    <n v="7"/>
    <n v="8"/>
    <n v="105609"/>
    <n v="4.22"/>
    <s v="Luxury"/>
    <n v="0.4612"/>
    <d v="2026-05-11T00:00:00"/>
    <n v="47"/>
    <x v="0"/>
    <n v="175"/>
    <x v="0"/>
    <b v="0"/>
    <n v="60000"/>
  </r>
  <r>
    <s v="PROP00960"/>
    <x v="2"/>
    <x v="26"/>
    <x v="0"/>
    <n v="2774"/>
    <n v="15000000"/>
    <n v="5407"/>
    <n v="1"/>
    <n v="2"/>
    <n v="18"/>
    <s v="North-West"/>
    <s v="Parking; Garden; Elevator; Playground; AC; Pool; Library; Concierge"/>
    <n v="8"/>
    <n v="10"/>
    <n v="52944"/>
    <n v="4.24"/>
    <s v="Premium"/>
    <n v="0.46179999999999999"/>
    <d v="2025-04-12T00:00:00"/>
    <n v="154"/>
    <x v="0"/>
    <n v="116"/>
    <x v="0"/>
    <b v="0"/>
    <n v="0"/>
  </r>
  <r>
    <s v="PROP00961"/>
    <x v="5"/>
    <x v="16"/>
    <x v="3"/>
    <n v="2332"/>
    <n v="40000000"/>
    <n v="17152"/>
    <n v="3"/>
    <n v="1"/>
    <n v="29"/>
    <s v="South"/>
    <s v="Elevator; AC; Security; Playground; Pool; Library; Garden"/>
    <n v="7"/>
    <n v="4"/>
    <n v="148200"/>
    <n v="4.45"/>
    <s v="Luxury"/>
    <n v="0.47229999999999994"/>
    <d v="2025-09-06T00:00:00"/>
    <n v="268"/>
    <x v="1"/>
    <n v="54"/>
    <x v="0"/>
    <b v="0"/>
    <n v="80000"/>
  </r>
  <r>
    <s v="PROP00962"/>
    <x v="0"/>
    <x v="9"/>
    <x v="4"/>
    <n v="8290"/>
    <n v="10000000"/>
    <n v="1206"/>
    <n v="5"/>
    <n v="3"/>
    <n v="10"/>
    <s v="South"/>
    <s v="Parking; Security; Elevator; Gym; Pool; Concierge; Library"/>
    <n v="7"/>
    <n v="7"/>
    <n v="30399"/>
    <n v="3.65"/>
    <s v="Premium"/>
    <n v="0.43240000000000001"/>
    <d v="2025-09-12T00:00:00"/>
    <n v="229"/>
    <x v="0"/>
    <n v="37"/>
    <x v="1"/>
    <b v="0"/>
    <n v="0"/>
  </r>
  <r>
    <s v="PROP00963"/>
    <x v="5"/>
    <x v="14"/>
    <x v="2"/>
    <n v="3156"/>
    <n v="40000000"/>
    <n v="12674"/>
    <n v="5"/>
    <n v="3"/>
    <n v="4"/>
    <s v="South"/>
    <s v="Gym; Pool; Elevator; Security; AC; Parking; Concierge; Garden"/>
    <n v="8"/>
    <n v="8"/>
    <n v="110147"/>
    <n v="3.3"/>
    <s v="Luxury"/>
    <n v="0.41520000000000001"/>
    <d v="2025-12-24T00:00:00"/>
    <n v="306"/>
    <x v="2"/>
    <n v="144"/>
    <x v="1"/>
    <b v="1"/>
    <n v="80000"/>
  </r>
  <r>
    <s v="PROP00964"/>
    <x v="2"/>
    <x v="32"/>
    <x v="0"/>
    <n v="2574"/>
    <n v="15000000"/>
    <n v="5827"/>
    <n v="3"/>
    <n v="1"/>
    <n v="15"/>
    <s v="West"/>
    <s v="Playground; Parking; Concierge; Pool; AC"/>
    <n v="5"/>
    <n v="7"/>
    <n v="41494"/>
    <n v="3.32"/>
    <s v="Premium"/>
    <n v="0.41600000000000004"/>
    <d v="2025-09-29T00:00:00"/>
    <n v="5"/>
    <x v="0"/>
    <n v="34"/>
    <x v="1"/>
    <b v="1"/>
    <n v="30000"/>
  </r>
  <r>
    <s v="PROP00965"/>
    <x v="4"/>
    <x v="4"/>
    <x v="4"/>
    <n v="4142"/>
    <n v="12000000"/>
    <n v="2897"/>
    <n v="6"/>
    <n v="4"/>
    <n v="3"/>
    <s v="North"/>
    <s v="Pool; Library; Elevator; Playground; Concierge; Parking; Security"/>
    <n v="7"/>
    <n v="4"/>
    <n v="47325"/>
    <n v="4.7300000000000004"/>
    <s v="Premium"/>
    <n v="0.48659999999999998"/>
    <d v="2025-04-02T00:00:00"/>
    <n v="238"/>
    <x v="0"/>
    <n v="45"/>
    <x v="0"/>
    <b v="1"/>
    <n v="24000"/>
  </r>
  <r>
    <s v="PROP00966"/>
    <x v="5"/>
    <x v="16"/>
    <x v="1"/>
    <n v="262"/>
    <n v="24809565"/>
    <n v="94692"/>
    <n v="0"/>
    <n v="1"/>
    <n v="4"/>
    <s v="East"/>
    <s v="Garden; AC; Parking; Elevator; Gym; Playground; Security"/>
    <n v="7"/>
    <n v="9"/>
    <n v="99406"/>
    <n v="4.8099999999999996"/>
    <s v="Luxury"/>
    <n v="0.4904"/>
    <d v="2024-10-10T00:00:00"/>
    <n v="36"/>
    <x v="2"/>
    <n v="139"/>
    <x v="1"/>
    <b v="1"/>
    <n v="49619"/>
  </r>
  <r>
    <s v="PROP00967"/>
    <x v="1"/>
    <x v="23"/>
    <x v="2"/>
    <n v="3680"/>
    <n v="50000000"/>
    <n v="13586"/>
    <n v="4"/>
    <n v="2"/>
    <n v="15"/>
    <s v="North"/>
    <s v="Library; Elevator; Playground; Pool; Concierge; Parking; Security; AC"/>
    <n v="8"/>
    <n v="7"/>
    <n v="150455"/>
    <n v="3.61"/>
    <s v="Luxury"/>
    <n v="0.43049999999999999"/>
    <d v="2025-11-14T00:00:00"/>
    <n v="113"/>
    <x v="1"/>
    <n v="137"/>
    <x v="1"/>
    <b v="0"/>
    <n v="100000"/>
  </r>
  <r>
    <s v="PROP00968"/>
    <x v="1"/>
    <x v="20"/>
    <x v="0"/>
    <n v="1763"/>
    <n v="50000000"/>
    <n v="28360"/>
    <n v="2"/>
    <n v="1"/>
    <n v="11"/>
    <s v="West"/>
    <s v="Garden; Security; Concierge; Library; Pool; Parking"/>
    <n v="6"/>
    <n v="7"/>
    <n v="205091"/>
    <n v="4.92"/>
    <s v="Luxury"/>
    <n v="0.49609999999999999"/>
    <d v="2026-02-18T00:00:00"/>
    <n v="87"/>
    <x v="0"/>
    <n v="166"/>
    <x v="0"/>
    <b v="0"/>
    <n v="100000"/>
  </r>
  <r>
    <s v="PROP00969"/>
    <x v="0"/>
    <x v="7"/>
    <x v="3"/>
    <n v="5758"/>
    <n v="10000000"/>
    <n v="1736"/>
    <n v="4"/>
    <n v="3"/>
    <n v="14"/>
    <s v="South-West"/>
    <s v="AC; Library; Elevator"/>
    <n v="3"/>
    <n v="10"/>
    <n v="40531"/>
    <n v="4.8600000000000003"/>
    <s v="Premium"/>
    <n v="0.49320000000000003"/>
    <d v="2025-03-31T00:00:00"/>
    <n v="142"/>
    <x v="1"/>
    <n v="63"/>
    <x v="0"/>
    <b v="0"/>
    <n v="0"/>
  </r>
  <r>
    <s v="PROP00970"/>
    <x v="4"/>
    <x v="30"/>
    <x v="4"/>
    <n v="9916"/>
    <n v="12000000"/>
    <n v="1210"/>
    <n v="5"/>
    <n v="3"/>
    <n v="15"/>
    <s v="North"/>
    <s v="Pool; Parking; Gym; Playground; Elevator; AC"/>
    <n v="6"/>
    <n v="6"/>
    <n v="49499"/>
    <n v="4.95"/>
    <s v="Premium"/>
    <n v="0.4975"/>
    <d v="2026-01-23T00:00:00"/>
    <n v="290"/>
    <x v="2"/>
    <n v="158"/>
    <x v="1"/>
    <b v="0"/>
    <n v="24000"/>
  </r>
  <r>
    <s v="PROP00971"/>
    <x v="3"/>
    <x v="15"/>
    <x v="2"/>
    <n v="2613"/>
    <n v="30000000"/>
    <n v="11481"/>
    <n v="3"/>
    <n v="2"/>
    <n v="1"/>
    <s v="South"/>
    <s v="Library; Elevator; Parking; Gym; Pool"/>
    <n v="5"/>
    <n v="10"/>
    <n v="106859"/>
    <n v="4.2699999999999996"/>
    <s v="Luxury"/>
    <n v="0.4637"/>
    <d v="2025-08-29T00:00:00"/>
    <n v="84"/>
    <x v="2"/>
    <n v="121"/>
    <x v="1"/>
    <b v="0"/>
    <n v="60000"/>
  </r>
  <r>
    <s v="PROP00972"/>
    <x v="1"/>
    <x v="21"/>
    <x v="2"/>
    <n v="4781"/>
    <n v="50000000"/>
    <n v="10458"/>
    <n v="4"/>
    <n v="2"/>
    <n v="24"/>
    <s v="South"/>
    <s v="Pool; Concierge; Garden"/>
    <n v="3"/>
    <n v="7"/>
    <n v="163633"/>
    <n v="3.93"/>
    <s v="Luxury"/>
    <n v="0.44640000000000002"/>
    <d v="2026-05-12T00:00:00"/>
    <n v="158"/>
    <x v="1"/>
    <n v="89"/>
    <x v="0"/>
    <b v="0"/>
    <n v="0"/>
  </r>
  <r>
    <s v="PROP00973"/>
    <x v="4"/>
    <x v="12"/>
    <x v="3"/>
    <n v="7931"/>
    <n v="12000000"/>
    <n v="1513"/>
    <n v="3"/>
    <n v="2"/>
    <n v="18"/>
    <s v="South-East"/>
    <s v="AC; Gym; Library; Garden; Parking; Elevator"/>
    <n v="6"/>
    <n v="5"/>
    <n v="46331"/>
    <n v="4.63"/>
    <s v="Premium"/>
    <n v="0.48170000000000002"/>
    <d v="2026-03-31T00:00:00"/>
    <n v="160"/>
    <x v="0"/>
    <n v="124"/>
    <x v="0"/>
    <b v="0"/>
    <n v="24000"/>
  </r>
  <r>
    <s v="PROP00974"/>
    <x v="0"/>
    <x v="34"/>
    <x v="3"/>
    <n v="2240"/>
    <n v="10000000"/>
    <n v="4464"/>
    <n v="3"/>
    <n v="2"/>
    <n v="1"/>
    <s v="North-West"/>
    <s v="Elevator; AC; Library; Gym; Pool"/>
    <n v="5"/>
    <n v="7"/>
    <n v="36892"/>
    <n v="4.43"/>
    <s v="Premium"/>
    <n v="0.47139999999999999"/>
    <d v="2024-07-26T00:00:00"/>
    <n v="30"/>
    <x v="1"/>
    <n v="43"/>
    <x v="0"/>
    <b v="1"/>
    <n v="20000"/>
  </r>
  <r>
    <s v="PROP00975"/>
    <x v="0"/>
    <x v="34"/>
    <x v="0"/>
    <n v="2835"/>
    <n v="10000000"/>
    <n v="3527"/>
    <n v="4"/>
    <n v="2"/>
    <n v="2"/>
    <s v="West"/>
    <s v="Security; Gym; AC"/>
    <n v="3"/>
    <n v="10"/>
    <n v="40613"/>
    <n v="4.87"/>
    <s v="Premium"/>
    <n v="0.49369999999999997"/>
    <d v="2026-01-15T00:00:00"/>
    <n v="51"/>
    <x v="0"/>
    <n v="157"/>
    <x v="1"/>
    <b v="0"/>
    <n v="20000"/>
  </r>
  <r>
    <s v="PROP00976"/>
    <x v="0"/>
    <x v="0"/>
    <x v="1"/>
    <n v="329"/>
    <n v="10000000"/>
    <n v="30395"/>
    <n v="1"/>
    <n v="1"/>
    <n v="23"/>
    <s v="South-East"/>
    <s v="Security; Pool; Elevator; Library; Playground; Garden; Parking"/>
    <n v="7"/>
    <n v="7"/>
    <n v="35478"/>
    <n v="4.26"/>
    <s v="Premium"/>
    <n v="0.46289999999999998"/>
    <d v="2026-02-25T00:00:00"/>
    <n v="115"/>
    <x v="0"/>
    <n v="117"/>
    <x v="1"/>
    <b v="1"/>
    <n v="20000"/>
  </r>
  <r>
    <s v="PROP00977"/>
    <x v="1"/>
    <x v="21"/>
    <x v="3"/>
    <n v="6572"/>
    <n v="50000000"/>
    <n v="7608"/>
    <n v="6"/>
    <n v="3"/>
    <n v="15"/>
    <s v="South"/>
    <s v="Concierge; Gym; Garden; Elevator"/>
    <n v="4"/>
    <n v="8"/>
    <n v="133815"/>
    <n v="3.21"/>
    <s v="Luxury"/>
    <n v="0.41060000000000002"/>
    <d v="2026-04-16T00:00:00"/>
    <n v="316"/>
    <x v="0"/>
    <n v="58"/>
    <x v="1"/>
    <b v="1"/>
    <n v="100000"/>
  </r>
  <r>
    <s v="PROP00978"/>
    <x v="3"/>
    <x v="27"/>
    <x v="4"/>
    <n v="9210"/>
    <n v="30000000"/>
    <n v="3257"/>
    <n v="6"/>
    <n v="4"/>
    <n v="8"/>
    <s v="North"/>
    <s v="Concierge; Pool; Garden; Elevator; Parking; AC"/>
    <n v="6"/>
    <n v="4"/>
    <n v="95961"/>
    <n v="3.84"/>
    <s v="Luxury"/>
    <n v="0.44189999999999996"/>
    <d v="2026-01-26T00:00:00"/>
    <n v="147"/>
    <x v="1"/>
    <n v="76"/>
    <x v="0"/>
    <b v="0"/>
    <n v="0"/>
  </r>
  <r>
    <s v="PROP00979"/>
    <x v="2"/>
    <x v="25"/>
    <x v="0"/>
    <n v="460"/>
    <n v="15000000"/>
    <n v="32608"/>
    <n v="2"/>
    <n v="2"/>
    <n v="21"/>
    <s v="East"/>
    <s v="Garden; Parking; Elevator; Concierge; Pool"/>
    <n v="5"/>
    <n v="7"/>
    <n v="40538"/>
    <n v="3.24"/>
    <s v="Premium"/>
    <n v="0.41220000000000001"/>
    <d v="2024-09-22T00:00:00"/>
    <n v="283"/>
    <x v="0"/>
    <n v="127"/>
    <x v="1"/>
    <b v="0"/>
    <n v="0"/>
  </r>
  <r>
    <s v="PROP00980"/>
    <x v="2"/>
    <x v="33"/>
    <x v="1"/>
    <n v="260"/>
    <n v="15000000"/>
    <n v="57692"/>
    <n v="1"/>
    <n v="2"/>
    <n v="21"/>
    <s v="South-East"/>
    <s v="Playground; Pool; Library; Security; Elevator; Gym; AC; Parking"/>
    <n v="8"/>
    <n v="4"/>
    <n v="60990"/>
    <n v="4.88"/>
    <s v="Premium"/>
    <n v="0.49399999999999999"/>
    <d v="2025-12-20T00:00:00"/>
    <n v="209"/>
    <x v="0"/>
    <n v="59"/>
    <x v="1"/>
    <b v="1"/>
    <n v="0"/>
  </r>
  <r>
    <s v="PROP00981"/>
    <x v="1"/>
    <x v="28"/>
    <x v="1"/>
    <n v="254"/>
    <n v="40137192"/>
    <n v="158020"/>
    <n v="0"/>
    <n v="1"/>
    <n v="11"/>
    <s v="North-East"/>
    <s v="AC; Security; Parking"/>
    <n v="3"/>
    <n v="8"/>
    <n v="147358"/>
    <n v="4.41"/>
    <s v="Luxury"/>
    <n v="0.4703"/>
    <d v="2024-06-02T00:00:00"/>
    <n v="296"/>
    <x v="0"/>
    <n v="86"/>
    <x v="0"/>
    <b v="0"/>
    <n v="0"/>
  </r>
  <r>
    <s v="PROP00982"/>
    <x v="4"/>
    <x v="4"/>
    <x v="3"/>
    <n v="2193"/>
    <n v="12000000"/>
    <n v="5471"/>
    <n v="3"/>
    <n v="2"/>
    <n v="29"/>
    <s v="South-East"/>
    <s v="Library; Pool; Gym"/>
    <n v="3"/>
    <n v="4"/>
    <n v="30937"/>
    <n v="3.09"/>
    <s v="Premium"/>
    <n v="0.4047"/>
    <d v="2026-01-31T00:00:00"/>
    <n v="244"/>
    <x v="0"/>
    <n v="126"/>
    <x v="1"/>
    <b v="0"/>
    <n v="0"/>
  </r>
  <r>
    <s v="PROP00983"/>
    <x v="2"/>
    <x v="33"/>
    <x v="3"/>
    <n v="3893"/>
    <n v="15000000"/>
    <n v="3853"/>
    <n v="5"/>
    <n v="2"/>
    <n v="9"/>
    <s v="North-West"/>
    <s v="Pool; Elevator; Gym; Parking; Concierge; Playground; Library"/>
    <n v="7"/>
    <n v="10"/>
    <n v="56717"/>
    <n v="4.54"/>
    <s v="Premium"/>
    <n v="0.47689999999999999"/>
    <d v="2025-12-06T00:00:00"/>
    <n v="218"/>
    <x v="0"/>
    <n v="179"/>
    <x v="0"/>
    <b v="0"/>
    <n v="0"/>
  </r>
  <r>
    <s v="PROP00984"/>
    <x v="3"/>
    <x v="5"/>
    <x v="2"/>
    <n v="2814"/>
    <n v="30000000"/>
    <n v="10660"/>
    <n v="2"/>
    <n v="1"/>
    <n v="17"/>
    <s v="South"/>
    <s v="Concierge; Elevator; Playground"/>
    <n v="3"/>
    <n v="4"/>
    <n v="104613"/>
    <n v="4.18"/>
    <s v="Luxury"/>
    <n v="0.4592"/>
    <d v="2024-10-15T00:00:00"/>
    <n v="186"/>
    <x v="0"/>
    <n v="117"/>
    <x v="1"/>
    <b v="1"/>
    <n v="0"/>
  </r>
  <r>
    <s v="PROP00985"/>
    <x v="0"/>
    <x v="0"/>
    <x v="4"/>
    <n v="6783"/>
    <n v="10000000"/>
    <n v="1474"/>
    <n v="4"/>
    <n v="2"/>
    <n v="23"/>
    <s v="South-East"/>
    <s v="Gym; Parking; Security; Library; AC; Garden"/>
    <n v="6"/>
    <n v="4"/>
    <n v="32047"/>
    <n v="3.85"/>
    <s v="Premium"/>
    <n v="0.44229999999999997"/>
    <d v="2025-01-26T00:00:00"/>
    <n v="34"/>
    <x v="0"/>
    <n v="121"/>
    <x v="1"/>
    <b v="1"/>
    <n v="20000"/>
  </r>
  <r>
    <s v="PROP00986"/>
    <x v="2"/>
    <x v="32"/>
    <x v="0"/>
    <n v="2448"/>
    <n v="15000000"/>
    <n v="6127"/>
    <n v="4"/>
    <n v="2"/>
    <n v="11"/>
    <s v="West"/>
    <s v="Security; Concierge; Garden; AC; Playground; Gym"/>
    <n v="6"/>
    <n v="10"/>
    <n v="45451"/>
    <n v="3.64"/>
    <s v="Premium"/>
    <n v="0.43180000000000002"/>
    <d v="2025-09-23T00:00:00"/>
    <n v="227"/>
    <x v="0"/>
    <n v="77"/>
    <x v="1"/>
    <b v="1"/>
    <n v="0"/>
  </r>
  <r>
    <s v="PROP00987"/>
    <x v="4"/>
    <x v="31"/>
    <x v="1"/>
    <n v="593"/>
    <n v="12000000"/>
    <n v="20236"/>
    <n v="0"/>
    <n v="2"/>
    <n v="1"/>
    <s v="South-West"/>
    <s v="Elevator; Parking; Playground; AC"/>
    <n v="4"/>
    <n v="5"/>
    <n v="38056"/>
    <n v="3.81"/>
    <s v="Premium"/>
    <n v="0.44030000000000002"/>
    <d v="2025-12-14T00:00:00"/>
    <n v="265"/>
    <x v="1"/>
    <n v="172"/>
    <x v="1"/>
    <b v="1"/>
    <n v="0"/>
  </r>
  <r>
    <s v="PROP00988"/>
    <x v="2"/>
    <x v="2"/>
    <x v="2"/>
    <n v="2057"/>
    <n v="15000000"/>
    <n v="7292"/>
    <n v="2"/>
    <n v="2"/>
    <n v="20"/>
    <s v="South-East"/>
    <s v="Garden; Parking; Concierge; Gym; Playground; Pool"/>
    <n v="6"/>
    <n v="9"/>
    <n v="51212"/>
    <n v="4.0999999999999996"/>
    <s v="Premium"/>
    <n v="0.45479999999999998"/>
    <d v="2025-03-30T00:00:00"/>
    <n v="184"/>
    <x v="0"/>
    <n v="65"/>
    <x v="0"/>
    <b v="1"/>
    <n v="0"/>
  </r>
  <r>
    <s v="PROP00989"/>
    <x v="0"/>
    <x v="9"/>
    <x v="1"/>
    <n v="560"/>
    <n v="10000000"/>
    <n v="17857"/>
    <n v="0"/>
    <n v="2"/>
    <n v="28"/>
    <s v="South-East"/>
    <s v="Gym; Security; Library; AC; Playground; Pool; Concierge; Elevator"/>
    <n v="8"/>
    <n v="10"/>
    <n v="37957"/>
    <n v="4.55"/>
    <s v="Premium"/>
    <n v="0.47770000000000001"/>
    <d v="2025-08-22T00:00:00"/>
    <n v="352"/>
    <x v="0"/>
    <n v="36"/>
    <x v="0"/>
    <b v="0"/>
    <n v="20000"/>
  </r>
  <r>
    <s v="PROP00990"/>
    <x v="4"/>
    <x v="30"/>
    <x v="0"/>
    <n v="1740"/>
    <n v="12000000"/>
    <n v="6896"/>
    <n v="4"/>
    <n v="3"/>
    <n v="30"/>
    <s v="South-East"/>
    <s v="Gym; Playground; Garden; AC; Library"/>
    <n v="5"/>
    <n v="7"/>
    <n v="31155"/>
    <n v="3.12"/>
    <s v="Premium"/>
    <n v="0.40579999999999999"/>
    <d v="2025-01-14T00:00:00"/>
    <n v="364"/>
    <x v="0"/>
    <n v="157"/>
    <x v="1"/>
    <b v="0"/>
    <n v="0"/>
  </r>
  <r>
    <s v="PROP00991"/>
    <x v="3"/>
    <x v="17"/>
    <x v="0"/>
    <n v="2803"/>
    <n v="30000000"/>
    <n v="10702"/>
    <n v="1"/>
    <n v="1"/>
    <n v="26"/>
    <s v="North-West"/>
    <s v="Security; Parking; AC; Garden; Pool; Library; Playground"/>
    <n v="7"/>
    <n v="9"/>
    <n v="84013"/>
    <n v="3.36"/>
    <s v="Luxury"/>
    <n v="0.41799999999999998"/>
    <d v="2024-05-21T00:00:00"/>
    <n v="247"/>
    <x v="0"/>
    <n v="67"/>
    <x v="0"/>
    <b v="1"/>
    <n v="60000"/>
  </r>
  <r>
    <s v="PROP00992"/>
    <x v="2"/>
    <x v="22"/>
    <x v="1"/>
    <n v="468"/>
    <n v="15000000"/>
    <n v="32051"/>
    <n v="0"/>
    <n v="2"/>
    <n v="3"/>
    <s v="South-East"/>
    <s v="Parking; Gym; Security; Pool; Concierge; Playground"/>
    <n v="6"/>
    <n v="8"/>
    <n v="44205"/>
    <n v="3.54"/>
    <s v="Premium"/>
    <n v="0.42680000000000001"/>
    <d v="2024-10-26T00:00:00"/>
    <n v="17"/>
    <x v="0"/>
    <n v="89"/>
    <x v="1"/>
    <b v="1"/>
    <n v="30000"/>
  </r>
  <r>
    <s v="PROP00993"/>
    <x v="2"/>
    <x v="25"/>
    <x v="0"/>
    <n v="1249"/>
    <n v="15000000"/>
    <n v="12009"/>
    <n v="2"/>
    <n v="1"/>
    <n v="0"/>
    <s v="North-East"/>
    <s v="Library; AC; Gym; Concierge"/>
    <n v="4"/>
    <n v="4"/>
    <n v="47438"/>
    <n v="3.8"/>
    <s v="Premium"/>
    <n v="0.43979999999999997"/>
    <d v="2024-12-23T00:00:00"/>
    <n v="280"/>
    <x v="2"/>
    <n v="138"/>
    <x v="0"/>
    <b v="1"/>
    <n v="0"/>
  </r>
  <r>
    <s v="PROP00994"/>
    <x v="2"/>
    <x v="26"/>
    <x v="3"/>
    <n v="2658"/>
    <n v="15000000"/>
    <n v="5643"/>
    <n v="6"/>
    <n v="3"/>
    <n v="14"/>
    <s v="North-East"/>
    <s v="Playground; Gym; AC"/>
    <n v="3"/>
    <n v="5"/>
    <n v="42716"/>
    <n v="3.42"/>
    <s v="Premium"/>
    <n v="0.42090000000000005"/>
    <d v="2025-03-17T00:00:00"/>
    <n v="144"/>
    <x v="2"/>
    <n v="94"/>
    <x v="1"/>
    <b v="1"/>
    <n v="30000"/>
  </r>
  <r>
    <s v="PROP00995"/>
    <x v="2"/>
    <x v="32"/>
    <x v="4"/>
    <n v="5282"/>
    <n v="15000000"/>
    <n v="2839"/>
    <n v="5"/>
    <n v="3"/>
    <n v="7"/>
    <s v="North-East"/>
    <s v="Gym; AC; Garden; Security; Elevator; Concierge; Parking"/>
    <n v="7"/>
    <n v="10"/>
    <n v="59524"/>
    <n v="4.76"/>
    <s v="Premium"/>
    <n v="0.48810000000000003"/>
    <d v="2024-08-22T00:00:00"/>
    <n v="167"/>
    <x v="2"/>
    <n v="170"/>
    <x v="0"/>
    <b v="1"/>
    <n v="30000"/>
  </r>
  <r>
    <s v="PROP00996"/>
    <x v="3"/>
    <x v="17"/>
    <x v="3"/>
    <n v="6040"/>
    <n v="30000000"/>
    <n v="4966"/>
    <n v="4"/>
    <n v="2"/>
    <n v="5"/>
    <s v="South-West"/>
    <s v="Pool; Library; Garden; Parking; Playground; Gym; AC"/>
    <n v="7"/>
    <n v="9"/>
    <n v="116522"/>
    <n v="4.66"/>
    <s v="Luxury"/>
    <n v="0.48299999999999998"/>
    <d v="2025-03-11T00:00:00"/>
    <n v="88"/>
    <x v="0"/>
    <n v="114"/>
    <x v="1"/>
    <b v="1"/>
    <n v="0"/>
  </r>
  <r>
    <s v="PROP00997"/>
    <x v="5"/>
    <x v="10"/>
    <x v="4"/>
    <n v="7007"/>
    <n v="40000000"/>
    <n v="5708"/>
    <n v="5"/>
    <n v="3"/>
    <n v="0"/>
    <s v="North-West"/>
    <s v="Gym; AC; Library; Parking; Elevator; Garden"/>
    <n v="6"/>
    <n v="8"/>
    <n v="150235"/>
    <n v="4.51"/>
    <s v="Luxury"/>
    <n v="0.47539999999999999"/>
    <d v="2026-04-22T00:00:00"/>
    <n v="341"/>
    <x v="0"/>
    <n v="32"/>
    <x v="0"/>
    <b v="1"/>
    <n v="80000"/>
  </r>
  <r>
    <s v="PROP00998"/>
    <x v="3"/>
    <x v="15"/>
    <x v="0"/>
    <n v="1921"/>
    <n v="30000000"/>
    <n v="15616"/>
    <n v="3"/>
    <n v="1"/>
    <n v="19"/>
    <s v="West"/>
    <s v="Security; Elevator; Gym"/>
    <n v="3"/>
    <n v="5"/>
    <n v="82843"/>
    <n v="3.31"/>
    <s v="Luxury"/>
    <n v="0.41570000000000001"/>
    <d v="2025-10-29T00:00:00"/>
    <n v="86"/>
    <x v="0"/>
    <n v="31"/>
    <x v="0"/>
    <b v="0"/>
    <n v="60000"/>
  </r>
  <r>
    <s v="PROP00999"/>
    <x v="1"/>
    <x v="1"/>
    <x v="2"/>
    <n v="4170"/>
    <n v="50000000"/>
    <n v="11990"/>
    <n v="4"/>
    <n v="3"/>
    <n v="27"/>
    <s v="North-East"/>
    <s v="Pool; Garden; Playground"/>
    <n v="3"/>
    <n v="7"/>
    <n v="184826"/>
    <n v="4.4400000000000004"/>
    <s v="Luxury"/>
    <n v="0.4718"/>
    <d v="2026-04-10T00:00:00"/>
    <n v="259"/>
    <x v="0"/>
    <n v="178"/>
    <x v="1"/>
    <b v="1"/>
    <n v="100000"/>
  </r>
  <r>
    <s v="PROP01000"/>
    <x v="3"/>
    <x v="15"/>
    <x v="3"/>
    <n v="4412"/>
    <n v="30000000"/>
    <n v="6799"/>
    <n v="4"/>
    <n v="3"/>
    <n v="29"/>
    <s v="North"/>
    <s v="Elevator; Library; Parking; Gym"/>
    <n v="4"/>
    <n v="5"/>
    <n v="112331"/>
    <n v="4.49"/>
    <s v="Luxury"/>
    <n v="0.47470000000000001"/>
    <d v="2024-11-09T00:00:00"/>
    <n v="65"/>
    <x v="1"/>
    <n v="61"/>
    <x v="1"/>
    <b v="0"/>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45247-FB10-4E1A-B765-9777D4FDF7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34:AB77" firstHeaderRow="1" firstDataRow="1" firstDataCol="1"/>
  <pivotFields count="25">
    <pivotField showAll="0"/>
    <pivotField axis="axisRow" showAll="0">
      <items count="7">
        <item x="3"/>
        <item x="0"/>
        <item x="5"/>
        <item x="4"/>
        <item x="1"/>
        <item x="2"/>
        <item t="default"/>
      </items>
    </pivotField>
    <pivotField axis="axisRow" showAll="0">
      <items count="37">
        <item x="24"/>
        <item x="0"/>
        <item x="1"/>
        <item x="26"/>
        <item x="30"/>
        <item x="18"/>
        <item x="20"/>
        <item x="25"/>
        <item x="21"/>
        <item x="16"/>
        <item x="29"/>
        <item x="10"/>
        <item x="32"/>
        <item x="31"/>
        <item x="27"/>
        <item x="3"/>
        <item x="17"/>
        <item x="4"/>
        <item x="9"/>
        <item x="12"/>
        <item x="33"/>
        <item x="15"/>
        <item x="6"/>
        <item x="22"/>
        <item x="5"/>
        <item x="23"/>
        <item x="13"/>
        <item x="19"/>
        <item x="14"/>
        <item x="11"/>
        <item x="28"/>
        <item x="7"/>
        <item x="8"/>
        <item x="34"/>
        <item x="2"/>
        <item x="35"/>
        <item t="default"/>
      </items>
    </pivotField>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numFmtId="10" showAll="0"/>
    <pivotField numFmtId="14" showAll="0"/>
    <pivotField dataField="1" showAll="0"/>
    <pivotField showAll="0"/>
    <pivotField showAll="0"/>
    <pivotField showAll="0"/>
    <pivotField showAll="0"/>
    <pivotField showAll="0"/>
  </pivotFields>
  <rowFields count="2">
    <field x="1"/>
    <field x="2"/>
  </rowFields>
  <rowItems count="43">
    <i>
      <x/>
    </i>
    <i r="1">
      <x v="14"/>
    </i>
    <i r="1">
      <x v="15"/>
    </i>
    <i r="1">
      <x v="16"/>
    </i>
    <i r="1">
      <x v="21"/>
    </i>
    <i r="1">
      <x v="24"/>
    </i>
    <i r="1">
      <x v="35"/>
    </i>
    <i>
      <x v="1"/>
    </i>
    <i r="1">
      <x v="1"/>
    </i>
    <i r="1">
      <x v="5"/>
    </i>
    <i r="1">
      <x v="18"/>
    </i>
    <i r="1">
      <x v="31"/>
    </i>
    <i r="1">
      <x v="32"/>
    </i>
    <i r="1">
      <x v="33"/>
    </i>
    <i>
      <x v="2"/>
    </i>
    <i r="1">
      <x v="9"/>
    </i>
    <i r="1">
      <x v="11"/>
    </i>
    <i r="1">
      <x v="26"/>
    </i>
    <i r="1">
      <x v="27"/>
    </i>
    <i r="1">
      <x v="28"/>
    </i>
    <i r="1">
      <x v="29"/>
    </i>
    <i>
      <x v="3"/>
    </i>
    <i r="1">
      <x v="4"/>
    </i>
    <i r="1">
      <x v="10"/>
    </i>
    <i r="1">
      <x v="13"/>
    </i>
    <i r="1">
      <x v="17"/>
    </i>
    <i r="1">
      <x v="19"/>
    </i>
    <i r="1">
      <x v="22"/>
    </i>
    <i>
      <x v="4"/>
    </i>
    <i r="1">
      <x/>
    </i>
    <i r="1">
      <x v="2"/>
    </i>
    <i r="1">
      <x v="6"/>
    </i>
    <i r="1">
      <x v="8"/>
    </i>
    <i r="1">
      <x v="25"/>
    </i>
    <i r="1">
      <x v="30"/>
    </i>
    <i>
      <x v="5"/>
    </i>
    <i r="1">
      <x v="3"/>
    </i>
    <i r="1">
      <x v="7"/>
    </i>
    <i r="1">
      <x v="12"/>
    </i>
    <i r="1">
      <x v="20"/>
    </i>
    <i r="1">
      <x v="23"/>
    </i>
    <i r="1">
      <x v="34"/>
    </i>
    <i t="grand">
      <x/>
    </i>
  </rowItems>
  <colItems count="1">
    <i/>
  </colItems>
  <dataFields count="1">
    <dataField name="Average of Days_On_Market" fld="19" subtotal="average" baseField="0" baseItem="0" numFmtId="1"/>
  </dataFields>
  <formats count="13">
    <format dxfId="39">
      <pivotArea collapsedLevelsAreSubtotals="1" fieldPosition="0">
        <references count="1">
          <reference field="1" count="1">
            <x v="0"/>
          </reference>
        </references>
      </pivotArea>
    </format>
    <format dxfId="38">
      <pivotArea collapsedLevelsAreSubtotals="1" fieldPosition="0">
        <references count="2">
          <reference field="1" count="1" selected="0">
            <x v="0"/>
          </reference>
          <reference field="2" count="6">
            <x v="14"/>
            <x v="15"/>
            <x v="16"/>
            <x v="21"/>
            <x v="24"/>
            <x v="35"/>
          </reference>
        </references>
      </pivotArea>
    </format>
    <format dxfId="37">
      <pivotArea collapsedLevelsAreSubtotals="1" fieldPosition="0">
        <references count="1">
          <reference field="1" count="1">
            <x v="1"/>
          </reference>
        </references>
      </pivotArea>
    </format>
    <format dxfId="36">
      <pivotArea collapsedLevelsAreSubtotals="1" fieldPosition="0">
        <references count="2">
          <reference field="1" count="1" selected="0">
            <x v="1"/>
          </reference>
          <reference field="2" count="6">
            <x v="1"/>
            <x v="5"/>
            <x v="18"/>
            <x v="31"/>
            <x v="32"/>
            <x v="33"/>
          </reference>
        </references>
      </pivotArea>
    </format>
    <format dxfId="35">
      <pivotArea collapsedLevelsAreSubtotals="1" fieldPosition="0">
        <references count="1">
          <reference field="1" count="1">
            <x v="2"/>
          </reference>
        </references>
      </pivotArea>
    </format>
    <format dxfId="34">
      <pivotArea collapsedLevelsAreSubtotals="1" fieldPosition="0">
        <references count="2">
          <reference field="1" count="1" selected="0">
            <x v="2"/>
          </reference>
          <reference field="2" count="6">
            <x v="9"/>
            <x v="11"/>
            <x v="26"/>
            <x v="27"/>
            <x v="28"/>
            <x v="29"/>
          </reference>
        </references>
      </pivotArea>
    </format>
    <format dxfId="33">
      <pivotArea collapsedLevelsAreSubtotals="1" fieldPosition="0">
        <references count="1">
          <reference field="1" count="1">
            <x v="3"/>
          </reference>
        </references>
      </pivotArea>
    </format>
    <format dxfId="32">
      <pivotArea collapsedLevelsAreSubtotals="1" fieldPosition="0">
        <references count="2">
          <reference field="1" count="1" selected="0">
            <x v="3"/>
          </reference>
          <reference field="2" count="6">
            <x v="4"/>
            <x v="10"/>
            <x v="13"/>
            <x v="17"/>
            <x v="19"/>
            <x v="22"/>
          </reference>
        </references>
      </pivotArea>
    </format>
    <format dxfId="31">
      <pivotArea collapsedLevelsAreSubtotals="1" fieldPosition="0">
        <references count="1">
          <reference field="1" count="1">
            <x v="4"/>
          </reference>
        </references>
      </pivotArea>
    </format>
    <format dxfId="30">
      <pivotArea collapsedLevelsAreSubtotals="1" fieldPosition="0">
        <references count="2">
          <reference field="1" count="1" selected="0">
            <x v="4"/>
          </reference>
          <reference field="2" count="6">
            <x v="0"/>
            <x v="2"/>
            <x v="6"/>
            <x v="8"/>
            <x v="25"/>
            <x v="30"/>
          </reference>
        </references>
      </pivotArea>
    </format>
    <format dxfId="29">
      <pivotArea collapsedLevelsAreSubtotals="1" fieldPosition="0">
        <references count="1">
          <reference field="1" count="1">
            <x v="5"/>
          </reference>
        </references>
      </pivotArea>
    </format>
    <format dxfId="28">
      <pivotArea collapsedLevelsAreSubtotals="1" fieldPosition="0">
        <references count="2">
          <reference field="1" count="1" selected="0">
            <x v="5"/>
          </reference>
          <reference field="2" count="6">
            <x v="3"/>
            <x v="7"/>
            <x v="12"/>
            <x v="20"/>
            <x v="23"/>
            <x v="34"/>
          </reference>
        </references>
      </pivotArea>
    </format>
    <format dxfId="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1C67E0-6AF1-4231-8E5E-3F28CE94FC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28:AB32" firstHeaderRow="1" firstDataRow="1" firstDataCol="1"/>
  <pivotFields count="25">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numFmtId="10" showAll="0"/>
    <pivotField numFmtId="14" showAll="0"/>
    <pivotField showAll="0"/>
    <pivotField axis="axisRow" dataField="1" showAll="0">
      <items count="4">
        <item x="0"/>
        <item x="1"/>
        <item x="2"/>
        <item t="default"/>
      </items>
    </pivotField>
    <pivotField showAll="0"/>
    <pivotField showAll="0"/>
    <pivotField showAll="0"/>
    <pivotField showAll="0"/>
  </pivotFields>
  <rowFields count="1">
    <field x="20"/>
  </rowFields>
  <rowItems count="4">
    <i>
      <x/>
    </i>
    <i>
      <x v="1"/>
    </i>
    <i>
      <x v="2"/>
    </i>
    <i t="grand">
      <x/>
    </i>
  </rowItems>
  <colItems count="1">
    <i/>
  </colItems>
  <dataFields count="1">
    <dataField name="Count of Status" fld="2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0" count="1" selected="0">
            <x v="0"/>
          </reference>
        </references>
      </pivotArea>
    </chartFormat>
    <chartFormat chart="3" format="7">
      <pivotArea type="data" outline="0" fieldPosition="0">
        <references count="2">
          <reference field="4294967294" count="1" selected="0">
            <x v="0"/>
          </reference>
          <reference field="20" count="1" selected="0">
            <x v="1"/>
          </reference>
        </references>
      </pivotArea>
    </chartFormat>
    <chartFormat chart="3" format="8">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224C6-3247-4434-8DB3-AA5043F24E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A19:AB26" firstHeaderRow="1" firstDataRow="1" firstDataCol="1"/>
  <pivotFields count="25">
    <pivotField showAll="0"/>
    <pivotField axis="axisRow" showAll="0" sortType="ascending">
      <items count="7">
        <item x="3"/>
        <item x="0"/>
        <item x="5"/>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dataField="1" numFmtId="10" showAll="0"/>
    <pivotField numFmtId="14" showAll="0"/>
    <pivotField showAll="0"/>
    <pivotField showAll="0"/>
    <pivotField showAll="0"/>
    <pivotField showAll="0"/>
    <pivotField showAll="0"/>
    <pivotField showAll="0"/>
  </pivotFields>
  <rowFields count="1">
    <field x="1"/>
  </rowFields>
  <rowItems count="7">
    <i>
      <x v="5"/>
    </i>
    <i>
      <x/>
    </i>
    <i>
      <x v="1"/>
    </i>
    <i>
      <x v="2"/>
    </i>
    <i>
      <x v="3"/>
    </i>
    <i>
      <x v="4"/>
    </i>
    <i t="grand">
      <x/>
    </i>
  </rowItems>
  <colItems count="1">
    <i/>
  </colItems>
  <dataFields count="1">
    <dataField name="Average of Estimated_Roi_5Yr_Pct" fld="17" subtotal="average" baseField="0" baseItem="0" numFmtId="1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A203A-2989-45D8-8F40-7D3F78900C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11:AB17" firstHeaderRow="1" firstDataRow="1" firstDataCol="1"/>
  <pivotFields count="25">
    <pivotField showAll="0"/>
    <pivotField showAll="0"/>
    <pivotField showAll="0"/>
    <pivotField axis="axisRow" dataField="1" showAll="0">
      <items count="6">
        <item x="0"/>
        <item x="2"/>
        <item x="4"/>
        <item x="1"/>
        <item x="3"/>
        <item t="default"/>
      </items>
    </pivotField>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numFmtId="10" showAll="0"/>
    <pivotField numFmtId="14"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Property_Type" fld="3" subtotal="count" baseField="0" baseItem="0"/>
  </dataFields>
  <chartFormats count="7">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E929E-7383-474F-83C1-F30BB43CAC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2:AB9" firstHeaderRow="1" firstDataRow="1" firstDataCol="1"/>
  <pivotFields count="25">
    <pivotField showAll="0"/>
    <pivotField axis="axisRow" showAll="0" sortType="ascending">
      <items count="7">
        <item x="3"/>
        <item x="0"/>
        <item x="5"/>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numFmtId="10" showAll="0"/>
    <pivotField numFmtId="14" showAll="0"/>
    <pivotField showAll="0"/>
    <pivotField showAll="0"/>
    <pivotField showAll="0"/>
    <pivotField showAll="0"/>
    <pivotField showAll="0"/>
    <pivotField showAll="0"/>
  </pivotFields>
  <rowFields count="1">
    <field x="1"/>
  </rowFields>
  <rowItems count="7">
    <i>
      <x v="1"/>
    </i>
    <i>
      <x v="3"/>
    </i>
    <i>
      <x v="5"/>
    </i>
    <i>
      <x/>
    </i>
    <i>
      <x v="2"/>
    </i>
    <i>
      <x v="4"/>
    </i>
    <i t="grand">
      <x/>
    </i>
  </rowItems>
  <colItems count="1">
    <i/>
  </colItems>
  <dataFields count="1">
    <dataField name="Average of Price_Inr" fld="5"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EB600-A920-4536-AF4A-F3F6593628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2:AE5" firstHeaderRow="1" firstDataRow="1" firstDataCol="1"/>
  <pivotFields count="25">
    <pivotField showAll="0"/>
    <pivotField showAll="0"/>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numFmtId="10" showAll="0"/>
    <pivotField numFmtId="14" showAll="0"/>
    <pivotField showAll="0"/>
    <pivotField showAll="0"/>
    <pivotField showAll="0"/>
    <pivotField axis="axisRow" showAll="0">
      <items count="3">
        <item x="1"/>
        <item x="0"/>
        <item t="default"/>
      </items>
    </pivotField>
    <pivotField showAll="0"/>
    <pivotField showAll="0"/>
  </pivotFields>
  <rowFields count="1">
    <field x="22"/>
  </rowFields>
  <rowItems count="3">
    <i>
      <x/>
    </i>
    <i>
      <x v="1"/>
    </i>
    <i t="grand">
      <x/>
    </i>
  </rowItems>
  <colItems count="1">
    <i/>
  </colItems>
  <dataFields count="1">
    <dataField name="Average of Price_Inr" fld="5" subtotal="average"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F214343-5282-40D5-BAD9-440626B73834}" sourceName="City">
  <pivotTables>
    <pivotTable tabId="1" name="PivotTable3"/>
  </pivotTables>
  <data>
    <tabular pivotCacheId="1835156551">
      <items count="6">
        <i x="3" s="1"/>
        <i x="0" s="1"/>
        <i x="5"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5F1E4D0B-C9F8-4F61-99AE-377ABEF6A065}" sourceName="Property_Type">
  <pivotTables>
    <pivotTable tabId="1" name="PivotTable1"/>
  </pivotTables>
  <data>
    <tabular pivotCacheId="1835156551">
      <items count="5">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3DEDA0A-31A0-453C-9279-BC142F6596E4}" sourceName="City">
  <pivotTables>
    <pivotTable tabId="1" name="PivotTable2"/>
  </pivotTables>
  <data>
    <tabular pivotCacheId="1835156551">
      <items count="6">
        <i x="3" s="1"/>
        <i x="0" s="1"/>
        <i x="5"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33888C9-97BB-4F03-AF9C-E5B1D7663371}" sourceName="Status">
  <pivotTables>
    <pivotTable tabId="1" name="PivotTable4"/>
  </pivotTables>
  <data>
    <tabular pivotCacheId="183515655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5D43E987-91F2-4AE3-B4C5-E8786C06270B}" sourceName="City">
  <pivotTables>
    <pivotTable tabId="1" name="PivotTable5"/>
  </pivotTables>
  <data>
    <tabular pivotCacheId="1835156551">
      <items count="6">
        <i x="3" s="1"/>
        <i x="0" s="1"/>
        <i x="5" s="1"/>
        <i x="4"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87656F38-D630-42E5-B1AA-7775E6BD16C9}" sourceName="District">
  <pivotTables>
    <pivotTable tabId="1" name="PivotTable5"/>
  </pivotTables>
  <data>
    <tabular pivotCacheId="1835156551">
      <items count="36">
        <i x="24" s="1"/>
        <i x="0" s="1"/>
        <i x="1" s="1"/>
        <i x="26" s="1"/>
        <i x="30" s="1"/>
        <i x="18" s="1"/>
        <i x="20" s="1"/>
        <i x="25" s="1"/>
        <i x="21" s="1"/>
        <i x="16" s="1"/>
        <i x="29" s="1"/>
        <i x="10" s="1"/>
        <i x="32" s="1"/>
        <i x="31" s="1"/>
        <i x="27" s="1"/>
        <i x="3" s="1"/>
        <i x="17" s="1"/>
        <i x="4" s="1"/>
        <i x="9" s="1"/>
        <i x="12" s="1"/>
        <i x="33" s="1"/>
        <i x="15" s="1"/>
        <i x="6" s="1"/>
        <i x="22" s="1"/>
        <i x="5" s="1"/>
        <i x="23" s="1"/>
        <i x="13" s="1"/>
        <i x="19" s="1"/>
        <i x="14" s="1"/>
        <i x="11" s="1"/>
        <i x="28" s="1"/>
        <i x="7" s="1"/>
        <i x="8" s="1"/>
        <i x="34" s="1"/>
        <i x="2"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E2FA2F8-0FEA-4E9D-A34B-5044A8526ECC}" cache="Slicer_City" caption="City" rowHeight="251883"/>
  <slicer name="Property_Type" xr10:uid="{32EB26AC-E41C-4984-82D9-98056D7B6278}" cache="Slicer_Property_Type" caption="Property_Type" rowHeight="251883"/>
  <slicer name="City 1" xr10:uid="{8C8C0BDC-B314-47EB-8BD2-0DD3415F9509}" cache="Slicer_City1" caption="City" rowHeight="251883"/>
  <slicer name="Status" xr10:uid="{BB05E6FD-4CA1-43E3-9D9F-89AB8DE46853}" cache="Slicer_Status" caption="Status" rowHeight="251883"/>
  <slicer name="City 2" xr10:uid="{BA22DF81-E1AE-4476-A8F5-897EEBAD12E9}" cache="Slicer_City2" caption="City" rowHeight="251883"/>
  <slicer name="District" xr10:uid="{E75F435D-FF3B-44A0-9FD5-2EB5C63B5B6B}" cache="Slicer_District" caption="Distri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0B3620-7B0F-4BD1-A409-625E17D7B3BB}" name="Table1" displayName="Table1" ref="A1:Y1001" totalsRowShown="0" headerRowDxfId="26" dataDxfId="25">
  <autoFilter ref="A1:Y1001" xr:uid="{C90B3620-7B0F-4BD1-A409-625E17D7B3BB}"/>
  <tableColumns count="25">
    <tableColumn id="1" xr3:uid="{B9587C62-4A83-4D95-A215-57EE449E6B4E}" name="Property_Id" dataDxfId="24"/>
    <tableColumn id="2" xr3:uid="{0B0F185E-825C-4A9B-8A50-07403F9B709D}" name="City" dataDxfId="23"/>
    <tableColumn id="3" xr3:uid="{D5BDBA86-6A42-41A2-82DA-8D7EE3F75B2F}" name="District" dataDxfId="22"/>
    <tableColumn id="4" xr3:uid="{34D06CBC-0A77-442D-9B7E-EE157227E1C6}" name="Property_Type" dataDxfId="21"/>
    <tableColumn id="5" xr3:uid="{8DD14018-E0B8-4D85-A578-74EFA3152A34}" name="Built_Up_Area_Sqft" dataDxfId="20"/>
    <tableColumn id="6" xr3:uid="{2AFF5856-171F-4F17-92BA-CEA409F3D111}" name="Price_Inr" dataDxfId="19"/>
    <tableColumn id="7" xr3:uid="{2DCD1F28-CA1D-4409-8954-9F75A4908113}" name="Price_Per_Sqft_Inr" dataDxfId="18"/>
    <tableColumn id="8" xr3:uid="{AEC9CAF1-BDA3-4455-AB2D-29402EDADEF5}" name="Bedrooms" dataDxfId="17"/>
    <tableColumn id="9" xr3:uid="{049197F6-8215-4B22-BBA2-908DA02E9B53}" name="Bathrooms" dataDxfId="16"/>
    <tableColumn id="10" xr3:uid="{CA54344D-FA66-4752-B167-770CE1D0D7B9}" name="Age_Years" dataDxfId="15"/>
    <tableColumn id="11" xr3:uid="{832CB2DD-27EE-403A-9FE9-45729B350E8B}" name="Facing" dataDxfId="14"/>
    <tableColumn id="12" xr3:uid="{A7B79641-43CD-48BB-BF54-EDEF2540225C}" name="Amenities" dataDxfId="13"/>
    <tableColumn id="13" xr3:uid="{18DA8966-47FE-42AA-83B3-C5734B3AA84E}" name="Amenities_Count" dataDxfId="12"/>
    <tableColumn id="14" xr3:uid="{90F273B3-4F28-4FD6-BF88-894CFAB10198}" name="Walkability_Score" dataDxfId="11"/>
    <tableColumn id="15" xr3:uid="{3A08E156-137D-4AA4-A2C6-5A03BACCF495}" name="Monthly_Rental_Estimate_Inr" dataDxfId="10"/>
    <tableColumn id="16" xr3:uid="{0B99CA79-DC2D-4C03-BC4B-C2AF95DA812C}" name="Annual_Rental_Yield_Pct" dataDxfId="9"/>
    <tableColumn id="17" xr3:uid="{F341DC54-F364-4A67-9424-CC86E2DB975A}" name="Price_Category" dataDxfId="8"/>
    <tableColumn id="27" xr3:uid="{933D4892-60F7-4B47-9963-CF37F42ECDBF}" name="Estimated_Roi_5Yr_Pct" dataDxfId="7" dataCellStyle="Percent"/>
    <tableColumn id="19" xr3:uid="{08576302-FE13-4C1D-8C59-4311385BF19C}" name="Listing_Date" dataDxfId="6"/>
    <tableColumn id="20" xr3:uid="{0A0B2012-69F4-4960-82E7-974AFDFAFB6B}" name="Days_On_Market" dataDxfId="5"/>
    <tableColumn id="21" xr3:uid="{ABE278CA-EE84-4FE6-8BA9-840F97D9B018}" name="Status" dataDxfId="4"/>
    <tableColumn id="22" xr3:uid="{4F141391-DF99-434A-8C48-999EB0FD233C}" name="Registration_Days" dataDxfId="3"/>
    <tableColumn id="23" xr3:uid="{41069A5F-EB02-4CE1-B5DE-6D564AB65228}" name="Is_Gated_Community" dataDxfId="2"/>
    <tableColumn id="24" xr3:uid="{3CD4AB52-D1FE-4B4C-8F87-0F9D5FE9BC0B}" name="Has_Maintenance_Fee" dataDxfId="1"/>
    <tableColumn id="25" xr3:uid="{9B496B63-8DA3-437E-9612-057E53AA0040}" name="Monthly_Maintenance_In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8002-905E-42A9-8615-F7EEAE8AE58A}">
  <dimension ref="A1:AF1001"/>
  <sheetViews>
    <sheetView topLeftCell="P1" zoomScaleNormal="100" workbookViewId="0">
      <selection activeCell="T8" sqref="T8"/>
    </sheetView>
  </sheetViews>
  <sheetFormatPr defaultRowHeight="14.5" x14ac:dyDescent="0.35"/>
  <cols>
    <col min="1" max="1" width="14.81640625" style="1" bestFit="1" customWidth="1"/>
    <col min="2" max="2" width="9.54296875" style="1" bestFit="1" customWidth="1"/>
    <col min="3" max="3" width="12.26953125" style="1" bestFit="1" customWidth="1"/>
    <col min="4" max="4" width="17.08984375" style="1" bestFit="1" customWidth="1"/>
    <col min="5" max="5" width="21.36328125" style="1" bestFit="1" customWidth="1"/>
    <col min="6" max="6" width="14.453125" style="4" bestFit="1" customWidth="1"/>
    <col min="7" max="7" width="20.6328125" style="4" bestFit="1" customWidth="1"/>
    <col min="8" max="8" width="13.7265625" style="1" bestFit="1" customWidth="1"/>
    <col min="9" max="9" width="14.36328125" style="1" bestFit="1" customWidth="1"/>
    <col min="10" max="10" width="13.81640625" style="1" bestFit="1" customWidth="1"/>
    <col min="11" max="11" width="10.90625" style="1" bestFit="1" customWidth="1"/>
    <col min="12" max="12" width="59.453125" style="1" bestFit="1" customWidth="1"/>
    <col min="13" max="13" width="19.81640625" style="1" bestFit="1" customWidth="1"/>
    <col min="14" max="14" width="20.453125" style="1" bestFit="1" customWidth="1"/>
    <col min="15" max="15" width="30" style="1" bestFit="1" customWidth="1"/>
    <col min="16" max="16" width="26.453125" style="1" bestFit="1" customWidth="1"/>
    <col min="17" max="17" width="17.90625" style="1" bestFit="1" customWidth="1"/>
    <col min="18" max="18" width="24.6328125" style="3" customWidth="1"/>
    <col min="19" max="19" width="15.6328125" style="2" bestFit="1" customWidth="1"/>
    <col min="20" max="20" width="19.26953125" style="1" bestFit="1" customWidth="1"/>
    <col min="21" max="21" width="10.7265625" style="1" bestFit="1" customWidth="1"/>
    <col min="22" max="22" width="20.453125" style="1" bestFit="1" customWidth="1"/>
    <col min="23" max="23" width="23.453125" style="1" bestFit="1" customWidth="1"/>
    <col min="24" max="24" width="24.26953125" style="1" bestFit="1" customWidth="1"/>
    <col min="25" max="25" width="27.1796875" style="1" bestFit="1" customWidth="1"/>
    <col min="26" max="26" width="8.7265625" style="1"/>
    <col min="27" max="27" width="15.7265625" style="1" bestFit="1" customWidth="1"/>
    <col min="28" max="28" width="29.26953125" style="1" bestFit="1" customWidth="1"/>
    <col min="29" max="29" width="8.7265625" style="1"/>
    <col min="30" max="30" width="12.453125" style="1" bestFit="1" customWidth="1"/>
    <col min="31" max="31" width="17.26953125" style="1" bestFit="1" customWidth="1"/>
    <col min="32" max="16384" width="8.7265625" style="1"/>
  </cols>
  <sheetData>
    <row r="1" spans="1:32" x14ac:dyDescent="0.35">
      <c r="A1" s="1" t="s">
        <v>2038</v>
      </c>
      <c r="B1" s="1" t="s">
        <v>2039</v>
      </c>
      <c r="C1" s="1" t="s">
        <v>2040</v>
      </c>
      <c r="D1" s="1" t="s">
        <v>2041</v>
      </c>
      <c r="E1" s="1" t="s">
        <v>2042</v>
      </c>
      <c r="F1" s="4" t="s">
        <v>2043</v>
      </c>
      <c r="G1" s="4" t="s">
        <v>2044</v>
      </c>
      <c r="H1" s="1" t="s">
        <v>2045</v>
      </c>
      <c r="I1" s="1" t="s">
        <v>2046</v>
      </c>
      <c r="J1" s="1" t="s">
        <v>2047</v>
      </c>
      <c r="K1" s="1" t="s">
        <v>2048</v>
      </c>
      <c r="L1" s="1" t="s">
        <v>2049</v>
      </c>
      <c r="M1" s="1" t="s">
        <v>2050</v>
      </c>
      <c r="N1" s="1" t="s">
        <v>2051</v>
      </c>
      <c r="O1" s="1" t="s">
        <v>2052</v>
      </c>
      <c r="P1" s="1" t="s">
        <v>2053</v>
      </c>
      <c r="Q1" s="1" t="s">
        <v>2054</v>
      </c>
      <c r="R1" s="3" t="s">
        <v>2055</v>
      </c>
      <c r="S1" s="2" t="s">
        <v>2056</v>
      </c>
      <c r="T1" s="1" t="s">
        <v>2057</v>
      </c>
      <c r="U1" s="1" t="s">
        <v>2058</v>
      </c>
      <c r="V1" s="1" t="s">
        <v>2059</v>
      </c>
      <c r="W1" s="1" t="s">
        <v>2060</v>
      </c>
      <c r="X1" s="1" t="s">
        <v>2061</v>
      </c>
      <c r="Y1" s="1" t="s">
        <v>2062</v>
      </c>
    </row>
    <row r="2" spans="1:32" x14ac:dyDescent="0.35">
      <c r="A2" s="1" t="s">
        <v>0</v>
      </c>
      <c r="B2" s="1" t="s">
        <v>1</v>
      </c>
      <c r="C2" s="1" t="s">
        <v>2</v>
      </c>
      <c r="D2" s="1" t="s">
        <v>3</v>
      </c>
      <c r="E2" s="1">
        <v>1526</v>
      </c>
      <c r="F2" s="4">
        <v>10000000</v>
      </c>
      <c r="G2" s="4">
        <v>6553</v>
      </c>
      <c r="H2" s="1">
        <v>2</v>
      </c>
      <c r="I2" s="1">
        <v>1</v>
      </c>
      <c r="J2" s="1">
        <v>4</v>
      </c>
      <c r="K2" s="1" t="s">
        <v>4</v>
      </c>
      <c r="L2" s="1" t="s">
        <v>5</v>
      </c>
      <c r="M2" s="1">
        <v>8</v>
      </c>
      <c r="N2" s="1">
        <v>9</v>
      </c>
      <c r="O2" s="1">
        <v>35033</v>
      </c>
      <c r="P2" s="1">
        <v>4.2</v>
      </c>
      <c r="Q2" s="1" t="s">
        <v>6</v>
      </c>
      <c r="R2" s="3">
        <v>0.46020000000000005</v>
      </c>
      <c r="S2" s="2">
        <v>45582</v>
      </c>
      <c r="T2" s="1">
        <v>215</v>
      </c>
      <c r="U2" s="1" t="s">
        <v>7</v>
      </c>
      <c r="V2" s="1">
        <v>169</v>
      </c>
      <c r="W2" s="1" t="b">
        <v>1</v>
      </c>
      <c r="X2" s="1" t="b">
        <v>0</v>
      </c>
      <c r="Y2" s="1">
        <v>0</v>
      </c>
      <c r="AA2" s="5" t="s">
        <v>2076</v>
      </c>
      <c r="AB2" t="s">
        <v>2078</v>
      </c>
      <c r="AC2"/>
      <c r="AD2" s="5" t="s">
        <v>2076</v>
      </c>
      <c r="AE2" t="s">
        <v>2078</v>
      </c>
      <c r="AF2"/>
    </row>
    <row r="3" spans="1:32" x14ac:dyDescent="0.35">
      <c r="A3" s="1" t="s">
        <v>8</v>
      </c>
      <c r="B3" s="1" t="s">
        <v>9</v>
      </c>
      <c r="C3" s="1" t="s">
        <v>10</v>
      </c>
      <c r="D3" s="1" t="s">
        <v>11</v>
      </c>
      <c r="E3" s="1">
        <v>424</v>
      </c>
      <c r="F3" s="4">
        <v>50000000</v>
      </c>
      <c r="G3" s="4">
        <v>117924</v>
      </c>
      <c r="H3" s="1">
        <v>1</v>
      </c>
      <c r="I3" s="1">
        <v>1</v>
      </c>
      <c r="J3" s="1">
        <v>6</v>
      </c>
      <c r="K3" s="1" t="s">
        <v>12</v>
      </c>
      <c r="L3" s="1" t="s">
        <v>13</v>
      </c>
      <c r="M3" s="1">
        <v>5</v>
      </c>
      <c r="N3" s="1">
        <v>7</v>
      </c>
      <c r="O3" s="1">
        <v>192260</v>
      </c>
      <c r="P3" s="1">
        <v>4.6100000000000003</v>
      </c>
      <c r="Q3" s="1" t="s">
        <v>14</v>
      </c>
      <c r="R3" s="3">
        <v>0.48070000000000002</v>
      </c>
      <c r="S3" s="2">
        <v>45686</v>
      </c>
      <c r="T3" s="1">
        <v>283</v>
      </c>
      <c r="U3" s="1" t="s">
        <v>7</v>
      </c>
      <c r="V3" s="1">
        <v>50</v>
      </c>
      <c r="W3" s="1" t="b">
        <v>0</v>
      </c>
      <c r="X3" s="1" t="b">
        <v>0</v>
      </c>
      <c r="Y3" s="1">
        <v>100000</v>
      </c>
      <c r="AA3" s="6" t="s">
        <v>1</v>
      </c>
      <c r="AB3" s="7">
        <v>10000000</v>
      </c>
      <c r="AC3"/>
      <c r="AD3" s="6" t="s">
        <v>2083</v>
      </c>
      <c r="AE3" s="7">
        <v>25498765.872881357</v>
      </c>
      <c r="AF3"/>
    </row>
    <row r="4" spans="1:32" x14ac:dyDescent="0.35">
      <c r="A4" s="1" t="s">
        <v>15</v>
      </c>
      <c r="B4" s="1" t="s">
        <v>1</v>
      </c>
      <c r="C4" s="1" t="s">
        <v>2</v>
      </c>
      <c r="D4" s="1" t="s">
        <v>3</v>
      </c>
      <c r="E4" s="1">
        <v>1333</v>
      </c>
      <c r="F4" s="4">
        <v>10000000</v>
      </c>
      <c r="G4" s="4">
        <v>7501</v>
      </c>
      <c r="H4" s="1">
        <v>3</v>
      </c>
      <c r="I4" s="1">
        <v>1</v>
      </c>
      <c r="J4" s="1">
        <v>27</v>
      </c>
      <c r="K4" s="1" t="s">
        <v>12</v>
      </c>
      <c r="L4" s="1" t="s">
        <v>16</v>
      </c>
      <c r="M4" s="1">
        <v>4</v>
      </c>
      <c r="N4" s="1">
        <v>9</v>
      </c>
      <c r="O4" s="1">
        <v>30921</v>
      </c>
      <c r="P4" s="1">
        <v>3.71</v>
      </c>
      <c r="Q4" s="1" t="s">
        <v>6</v>
      </c>
      <c r="R4" s="3">
        <v>0.4355</v>
      </c>
      <c r="S4" s="2">
        <v>45470</v>
      </c>
      <c r="T4" s="1">
        <v>312</v>
      </c>
      <c r="U4" s="1" t="s">
        <v>7</v>
      </c>
      <c r="V4" s="1">
        <v>48</v>
      </c>
      <c r="W4" s="1" t="b">
        <v>1</v>
      </c>
      <c r="X4" s="1" t="b">
        <v>1</v>
      </c>
      <c r="Y4" s="1">
        <v>20000</v>
      </c>
      <c r="AA4" s="6" t="s">
        <v>32</v>
      </c>
      <c r="AB4" s="7">
        <v>12000000</v>
      </c>
      <c r="AC4"/>
      <c r="AD4" s="6" t="s">
        <v>2084</v>
      </c>
      <c r="AE4" s="7">
        <v>26390552.363636363</v>
      </c>
      <c r="AF4"/>
    </row>
    <row r="5" spans="1:32" x14ac:dyDescent="0.35">
      <c r="A5" s="1" t="s">
        <v>17</v>
      </c>
      <c r="B5" s="1" t="s">
        <v>18</v>
      </c>
      <c r="C5" s="1" t="s">
        <v>19</v>
      </c>
      <c r="D5" s="1" t="s">
        <v>20</v>
      </c>
      <c r="E5" s="1">
        <v>4121</v>
      </c>
      <c r="F5" s="4">
        <v>15000000</v>
      </c>
      <c r="G5" s="4">
        <v>3639</v>
      </c>
      <c r="H5" s="1">
        <v>3</v>
      </c>
      <c r="I5" s="1">
        <v>2</v>
      </c>
      <c r="J5" s="1">
        <v>26</v>
      </c>
      <c r="K5" s="1" t="s">
        <v>21</v>
      </c>
      <c r="L5" s="1" t="s">
        <v>22</v>
      </c>
      <c r="M5" s="1">
        <v>3</v>
      </c>
      <c r="N5" s="1">
        <v>6</v>
      </c>
      <c r="O5" s="1">
        <v>42774</v>
      </c>
      <c r="P5" s="1">
        <v>3.42</v>
      </c>
      <c r="Q5" s="1" t="s">
        <v>6</v>
      </c>
      <c r="R5" s="3">
        <v>0.42109999999999997</v>
      </c>
      <c r="S5" s="2">
        <v>45576</v>
      </c>
      <c r="T5" s="1">
        <v>336</v>
      </c>
      <c r="U5" s="1" t="s">
        <v>23</v>
      </c>
      <c r="V5" s="1">
        <v>84</v>
      </c>
      <c r="W5" s="1" t="b">
        <v>0</v>
      </c>
      <c r="X5" s="1" t="b">
        <v>0</v>
      </c>
      <c r="Y5" s="1">
        <v>0</v>
      </c>
      <c r="AA5" s="6" t="s">
        <v>18</v>
      </c>
      <c r="AB5" s="7">
        <v>15000000</v>
      </c>
      <c r="AC5"/>
      <c r="AD5" s="6" t="s">
        <v>2077</v>
      </c>
      <c r="AE5" s="7">
        <v>25969629.140000001</v>
      </c>
      <c r="AF5"/>
    </row>
    <row r="6" spans="1:32" x14ac:dyDescent="0.35">
      <c r="A6" s="1" t="s">
        <v>24</v>
      </c>
      <c r="B6" s="1" t="s">
        <v>25</v>
      </c>
      <c r="C6" s="1" t="s">
        <v>26</v>
      </c>
      <c r="D6" s="1" t="s">
        <v>27</v>
      </c>
      <c r="E6" s="1">
        <v>4020</v>
      </c>
      <c r="F6" s="4">
        <v>30000000</v>
      </c>
      <c r="G6" s="4">
        <v>7462</v>
      </c>
      <c r="H6" s="1">
        <v>5</v>
      </c>
      <c r="I6" s="1">
        <v>3</v>
      </c>
      <c r="J6" s="1">
        <v>28</v>
      </c>
      <c r="K6" s="1" t="s">
        <v>28</v>
      </c>
      <c r="L6" s="1" t="s">
        <v>29</v>
      </c>
      <c r="M6" s="1">
        <v>7</v>
      </c>
      <c r="N6" s="1">
        <v>7</v>
      </c>
      <c r="O6" s="1">
        <v>82642</v>
      </c>
      <c r="P6" s="1">
        <v>3.31</v>
      </c>
      <c r="Q6" s="1" t="s">
        <v>14</v>
      </c>
      <c r="R6" s="3">
        <v>0.4153</v>
      </c>
      <c r="S6" s="2">
        <v>45993</v>
      </c>
      <c r="T6" s="1">
        <v>198</v>
      </c>
      <c r="U6" s="1" t="s">
        <v>30</v>
      </c>
      <c r="V6" s="1">
        <v>46</v>
      </c>
      <c r="W6" s="1" t="b">
        <v>0</v>
      </c>
      <c r="X6" s="1" t="b">
        <v>0</v>
      </c>
      <c r="Y6" s="1">
        <v>0</v>
      </c>
      <c r="AA6" s="6" t="s">
        <v>25</v>
      </c>
      <c r="AB6" s="7">
        <v>29798753.08839779</v>
      </c>
      <c r="AC6"/>
      <c r="AD6"/>
      <c r="AE6"/>
      <c r="AF6"/>
    </row>
    <row r="7" spans="1:32" x14ac:dyDescent="0.35">
      <c r="A7" s="1" t="s">
        <v>31</v>
      </c>
      <c r="B7" s="1" t="s">
        <v>32</v>
      </c>
      <c r="C7" s="1" t="s">
        <v>33</v>
      </c>
      <c r="D7" s="1" t="s">
        <v>3</v>
      </c>
      <c r="E7" s="1">
        <v>2599</v>
      </c>
      <c r="F7" s="4">
        <v>12000000</v>
      </c>
      <c r="G7" s="4">
        <v>4617</v>
      </c>
      <c r="H7" s="1">
        <v>3</v>
      </c>
      <c r="I7" s="1">
        <v>2</v>
      </c>
      <c r="J7" s="1">
        <v>3</v>
      </c>
      <c r="K7" s="1" t="s">
        <v>34</v>
      </c>
      <c r="L7" s="1" t="s">
        <v>35</v>
      </c>
      <c r="M7" s="1">
        <v>5</v>
      </c>
      <c r="N7" s="1">
        <v>10</v>
      </c>
      <c r="O7" s="1">
        <v>45239</v>
      </c>
      <c r="P7" s="1">
        <v>4.5199999999999996</v>
      </c>
      <c r="Q7" s="1" t="s">
        <v>6</v>
      </c>
      <c r="R7" s="3">
        <v>0.47619999999999996</v>
      </c>
      <c r="S7" s="2">
        <v>45637</v>
      </c>
      <c r="T7" s="1">
        <v>328</v>
      </c>
      <c r="U7" s="1" t="s">
        <v>23</v>
      </c>
      <c r="V7" s="1">
        <v>106</v>
      </c>
      <c r="W7" s="1" t="b">
        <v>1</v>
      </c>
      <c r="X7" s="1" t="b">
        <v>1</v>
      </c>
      <c r="Y7" s="1">
        <v>0</v>
      </c>
      <c r="AA7" s="6" t="s">
        <v>54</v>
      </c>
      <c r="AB7" s="7">
        <v>39006068.963855423</v>
      </c>
      <c r="AC7"/>
      <c r="AD7"/>
      <c r="AE7"/>
      <c r="AF7"/>
    </row>
    <row r="8" spans="1:32" x14ac:dyDescent="0.35">
      <c r="A8" s="1" t="s">
        <v>36</v>
      </c>
      <c r="B8" s="1" t="s">
        <v>25</v>
      </c>
      <c r="C8" s="1" t="s">
        <v>37</v>
      </c>
      <c r="D8" s="1" t="s">
        <v>38</v>
      </c>
      <c r="E8" s="1">
        <v>3004</v>
      </c>
      <c r="F8" s="4">
        <v>30000000</v>
      </c>
      <c r="G8" s="4">
        <v>9986</v>
      </c>
      <c r="H8" s="1">
        <v>6</v>
      </c>
      <c r="I8" s="1">
        <v>4</v>
      </c>
      <c r="J8" s="1">
        <v>15</v>
      </c>
      <c r="K8" s="1" t="s">
        <v>4</v>
      </c>
      <c r="L8" s="1" t="s">
        <v>39</v>
      </c>
      <c r="M8" s="1">
        <v>3</v>
      </c>
      <c r="N8" s="1">
        <v>7</v>
      </c>
      <c r="O8" s="1">
        <v>118900</v>
      </c>
      <c r="P8" s="1">
        <v>4.76</v>
      </c>
      <c r="Q8" s="1" t="s">
        <v>14</v>
      </c>
      <c r="R8" s="3">
        <v>0.48780000000000001</v>
      </c>
      <c r="S8" s="2">
        <v>46076</v>
      </c>
      <c r="T8" s="1">
        <v>273</v>
      </c>
      <c r="U8" s="1" t="s">
        <v>7</v>
      </c>
      <c r="V8" s="1">
        <v>47</v>
      </c>
      <c r="W8" s="1" t="b">
        <v>1</v>
      </c>
      <c r="X8" s="1" t="b">
        <v>1</v>
      </c>
      <c r="Y8" s="1">
        <v>0</v>
      </c>
      <c r="AA8" s="6" t="s">
        <v>9</v>
      </c>
      <c r="AB8" s="7">
        <v>49827452.981481485</v>
      </c>
      <c r="AC8"/>
      <c r="AD8"/>
      <c r="AE8"/>
      <c r="AF8"/>
    </row>
    <row r="9" spans="1:32" x14ac:dyDescent="0.35">
      <c r="A9" s="1" t="s">
        <v>40</v>
      </c>
      <c r="B9" s="1" t="s">
        <v>32</v>
      </c>
      <c r="C9" s="1" t="s">
        <v>41</v>
      </c>
      <c r="D9" s="1" t="s">
        <v>20</v>
      </c>
      <c r="E9" s="1">
        <v>3661</v>
      </c>
      <c r="F9" s="4">
        <v>12000000</v>
      </c>
      <c r="G9" s="4">
        <v>3277</v>
      </c>
      <c r="H9" s="1">
        <v>5</v>
      </c>
      <c r="I9" s="1">
        <v>2</v>
      </c>
      <c r="J9" s="1">
        <v>29</v>
      </c>
      <c r="K9" s="1" t="s">
        <v>42</v>
      </c>
      <c r="L9" s="1" t="s">
        <v>43</v>
      </c>
      <c r="M9" s="1">
        <v>7</v>
      </c>
      <c r="N9" s="1">
        <v>8</v>
      </c>
      <c r="O9" s="1">
        <v>34493</v>
      </c>
      <c r="P9" s="1">
        <v>3.45</v>
      </c>
      <c r="Q9" s="1" t="s">
        <v>6</v>
      </c>
      <c r="R9" s="3">
        <v>0.42249999999999999</v>
      </c>
      <c r="S9" s="2">
        <v>45810</v>
      </c>
      <c r="T9" s="1">
        <v>302</v>
      </c>
      <c r="U9" s="1" t="s">
        <v>7</v>
      </c>
      <c r="V9" s="1">
        <v>88</v>
      </c>
      <c r="W9" s="1" t="b">
        <v>1</v>
      </c>
      <c r="X9" s="1" t="b">
        <v>1</v>
      </c>
      <c r="Y9" s="1">
        <v>24000</v>
      </c>
      <c r="AA9" s="6" t="s">
        <v>2077</v>
      </c>
      <c r="AB9" s="7">
        <v>25969629.140000001</v>
      </c>
      <c r="AC9"/>
      <c r="AD9"/>
      <c r="AE9"/>
      <c r="AF9"/>
    </row>
    <row r="10" spans="1:32" x14ac:dyDescent="0.35">
      <c r="A10" s="1" t="s">
        <v>44</v>
      </c>
      <c r="B10" s="1" t="s">
        <v>1</v>
      </c>
      <c r="C10" s="1" t="s">
        <v>45</v>
      </c>
      <c r="D10" s="1" t="s">
        <v>3</v>
      </c>
      <c r="E10" s="1">
        <v>1337</v>
      </c>
      <c r="F10" s="4">
        <v>10000000</v>
      </c>
      <c r="G10" s="4">
        <v>7479</v>
      </c>
      <c r="H10" s="1">
        <v>1</v>
      </c>
      <c r="I10" s="1">
        <v>1</v>
      </c>
      <c r="J10" s="1">
        <v>27</v>
      </c>
      <c r="K10" s="1" t="s">
        <v>42</v>
      </c>
      <c r="L10" s="1" t="s">
        <v>46</v>
      </c>
      <c r="M10" s="1">
        <v>5</v>
      </c>
      <c r="N10" s="1">
        <v>5</v>
      </c>
      <c r="O10" s="1">
        <v>27205</v>
      </c>
      <c r="P10" s="1">
        <v>3.26</v>
      </c>
      <c r="Q10" s="1" t="s">
        <v>6</v>
      </c>
      <c r="R10" s="3">
        <v>0.41320000000000001</v>
      </c>
      <c r="S10" s="2">
        <v>45572</v>
      </c>
      <c r="T10" s="1">
        <v>209</v>
      </c>
      <c r="U10" s="1" t="s">
        <v>7</v>
      </c>
      <c r="V10" s="1">
        <v>151</v>
      </c>
      <c r="W10" s="1" t="b">
        <v>1</v>
      </c>
      <c r="X10" s="1" t="b">
        <v>1</v>
      </c>
      <c r="Y10" s="1">
        <v>20000</v>
      </c>
      <c r="AA10"/>
      <c r="AB10"/>
      <c r="AC10"/>
      <c r="AD10"/>
      <c r="AE10"/>
      <c r="AF10"/>
    </row>
    <row r="11" spans="1:32" x14ac:dyDescent="0.35">
      <c r="A11" s="1" t="s">
        <v>47</v>
      </c>
      <c r="B11" s="1" t="s">
        <v>1</v>
      </c>
      <c r="C11" s="1" t="s">
        <v>48</v>
      </c>
      <c r="D11" s="1" t="s">
        <v>20</v>
      </c>
      <c r="E11" s="1">
        <v>3234</v>
      </c>
      <c r="F11" s="4">
        <v>10000000</v>
      </c>
      <c r="G11" s="4">
        <v>3092</v>
      </c>
      <c r="H11" s="1">
        <v>5</v>
      </c>
      <c r="I11" s="1">
        <v>3</v>
      </c>
      <c r="J11" s="1">
        <v>27</v>
      </c>
      <c r="K11" s="1" t="s">
        <v>4</v>
      </c>
      <c r="L11" s="1" t="s">
        <v>49</v>
      </c>
      <c r="M11" s="1">
        <v>8</v>
      </c>
      <c r="N11" s="1">
        <v>7</v>
      </c>
      <c r="O11" s="1">
        <v>32476</v>
      </c>
      <c r="P11" s="1">
        <v>3.9</v>
      </c>
      <c r="Q11" s="1" t="s">
        <v>6</v>
      </c>
      <c r="R11" s="3">
        <v>0.44490000000000002</v>
      </c>
      <c r="S11" s="2">
        <v>45724</v>
      </c>
      <c r="T11" s="1">
        <v>39</v>
      </c>
      <c r="U11" s="1" t="s">
        <v>7</v>
      </c>
      <c r="V11" s="1">
        <v>93</v>
      </c>
      <c r="W11" s="1" t="b">
        <v>0</v>
      </c>
      <c r="X11" s="1" t="b">
        <v>1</v>
      </c>
      <c r="Y11" s="1">
        <v>20000</v>
      </c>
      <c r="AA11" s="5" t="s">
        <v>2076</v>
      </c>
      <c r="AB11" t="s">
        <v>2079</v>
      </c>
      <c r="AC11"/>
      <c r="AD11"/>
      <c r="AE11"/>
      <c r="AF11"/>
    </row>
    <row r="12" spans="1:32" x14ac:dyDescent="0.35">
      <c r="A12" s="1" t="s">
        <v>50</v>
      </c>
      <c r="B12" s="1" t="s">
        <v>1</v>
      </c>
      <c r="C12" s="1" t="s">
        <v>51</v>
      </c>
      <c r="D12" s="1" t="s">
        <v>3</v>
      </c>
      <c r="E12" s="1">
        <v>782</v>
      </c>
      <c r="F12" s="4">
        <v>10000000</v>
      </c>
      <c r="G12" s="4">
        <v>12787</v>
      </c>
      <c r="H12" s="1">
        <v>2</v>
      </c>
      <c r="I12" s="1">
        <v>1</v>
      </c>
      <c r="J12" s="1">
        <v>13</v>
      </c>
      <c r="K12" s="1" t="s">
        <v>28</v>
      </c>
      <c r="L12" s="1" t="s">
        <v>52</v>
      </c>
      <c r="M12" s="1">
        <v>6</v>
      </c>
      <c r="N12" s="1">
        <v>9</v>
      </c>
      <c r="O12" s="1">
        <v>29420</v>
      </c>
      <c r="P12" s="1">
        <v>3.53</v>
      </c>
      <c r="Q12" s="1" t="s">
        <v>6</v>
      </c>
      <c r="R12" s="3">
        <v>0.42649999999999999</v>
      </c>
      <c r="S12" s="2">
        <v>45691</v>
      </c>
      <c r="T12" s="1">
        <v>339</v>
      </c>
      <c r="U12" s="1" t="s">
        <v>7</v>
      </c>
      <c r="V12" s="1">
        <v>172</v>
      </c>
      <c r="W12" s="1" t="b">
        <v>0</v>
      </c>
      <c r="X12" s="1" t="b">
        <v>1</v>
      </c>
      <c r="Y12" s="1">
        <v>20000</v>
      </c>
      <c r="AA12" s="6" t="s">
        <v>3</v>
      </c>
      <c r="AB12">
        <v>216</v>
      </c>
      <c r="AC12"/>
      <c r="AD12"/>
      <c r="AE12"/>
      <c r="AF12"/>
    </row>
    <row r="13" spans="1:32" x14ac:dyDescent="0.35">
      <c r="A13" s="1" t="s">
        <v>53</v>
      </c>
      <c r="B13" s="1" t="s">
        <v>54</v>
      </c>
      <c r="C13" s="1" t="s">
        <v>55</v>
      </c>
      <c r="D13" s="1" t="s">
        <v>3</v>
      </c>
      <c r="E13" s="1">
        <v>2772</v>
      </c>
      <c r="F13" s="4">
        <v>40000000</v>
      </c>
      <c r="G13" s="4">
        <v>14430</v>
      </c>
      <c r="H13" s="1">
        <v>1</v>
      </c>
      <c r="I13" s="1">
        <v>2</v>
      </c>
      <c r="J13" s="1">
        <v>1</v>
      </c>
      <c r="K13" s="1" t="s">
        <v>28</v>
      </c>
      <c r="L13" s="1" t="s">
        <v>56</v>
      </c>
      <c r="M13" s="1">
        <v>3</v>
      </c>
      <c r="N13" s="1">
        <v>4</v>
      </c>
      <c r="O13" s="1">
        <v>105340</v>
      </c>
      <c r="P13" s="1">
        <v>3.16</v>
      </c>
      <c r="Q13" s="1" t="s">
        <v>14</v>
      </c>
      <c r="R13" s="3">
        <v>0.40799999999999997</v>
      </c>
      <c r="S13" s="2">
        <v>45966</v>
      </c>
      <c r="T13" s="1">
        <v>207</v>
      </c>
      <c r="U13" s="1" t="s">
        <v>7</v>
      </c>
      <c r="V13" s="1">
        <v>90</v>
      </c>
      <c r="W13" s="1" t="b">
        <v>1</v>
      </c>
      <c r="X13" s="1" t="b">
        <v>1</v>
      </c>
      <c r="Y13" s="1">
        <v>80000</v>
      </c>
      <c r="AA13" s="6" t="s">
        <v>20</v>
      </c>
      <c r="AB13">
        <v>200</v>
      </c>
      <c r="AC13"/>
      <c r="AD13"/>
      <c r="AE13"/>
      <c r="AF13"/>
    </row>
    <row r="14" spans="1:32" x14ac:dyDescent="0.35">
      <c r="A14" s="1" t="s">
        <v>57</v>
      </c>
      <c r="B14" s="1" t="s">
        <v>32</v>
      </c>
      <c r="C14" s="1" t="s">
        <v>33</v>
      </c>
      <c r="D14" s="1" t="s">
        <v>11</v>
      </c>
      <c r="E14" s="1">
        <v>586</v>
      </c>
      <c r="F14" s="4">
        <v>12000000</v>
      </c>
      <c r="G14" s="4">
        <v>20477</v>
      </c>
      <c r="H14" s="1">
        <v>1</v>
      </c>
      <c r="I14" s="1">
        <v>2</v>
      </c>
      <c r="J14" s="1">
        <v>6</v>
      </c>
      <c r="K14" s="1" t="s">
        <v>58</v>
      </c>
      <c r="L14" s="1" t="s">
        <v>59</v>
      </c>
      <c r="M14" s="1">
        <v>8</v>
      </c>
      <c r="N14" s="1">
        <v>4</v>
      </c>
      <c r="O14" s="1">
        <v>42423</v>
      </c>
      <c r="P14" s="1">
        <v>4.24</v>
      </c>
      <c r="Q14" s="1" t="s">
        <v>6</v>
      </c>
      <c r="R14" s="3">
        <v>0.46210000000000001</v>
      </c>
      <c r="S14" s="2">
        <v>45580</v>
      </c>
      <c r="T14" s="1">
        <v>110</v>
      </c>
      <c r="U14" s="1" t="s">
        <v>23</v>
      </c>
      <c r="V14" s="1">
        <v>167</v>
      </c>
      <c r="W14" s="1" t="b">
        <v>0</v>
      </c>
      <c r="X14" s="1" t="b">
        <v>1</v>
      </c>
      <c r="Y14" s="1">
        <v>0</v>
      </c>
      <c r="AA14" s="6" t="s">
        <v>38</v>
      </c>
      <c r="AB14">
        <v>206</v>
      </c>
      <c r="AC14"/>
      <c r="AD14"/>
      <c r="AE14"/>
      <c r="AF14"/>
    </row>
    <row r="15" spans="1:32" x14ac:dyDescent="0.35">
      <c r="A15" s="1" t="s">
        <v>60</v>
      </c>
      <c r="B15" s="1" t="s">
        <v>9</v>
      </c>
      <c r="C15" s="1" t="s">
        <v>10</v>
      </c>
      <c r="D15" s="1" t="s">
        <v>20</v>
      </c>
      <c r="E15" s="1">
        <v>2667</v>
      </c>
      <c r="F15" s="4">
        <v>50000000</v>
      </c>
      <c r="G15" s="4">
        <v>18747</v>
      </c>
      <c r="H15" s="1">
        <v>3</v>
      </c>
      <c r="I15" s="1">
        <v>2</v>
      </c>
      <c r="J15" s="1">
        <v>26</v>
      </c>
      <c r="K15" s="1" t="s">
        <v>61</v>
      </c>
      <c r="L15" s="1" t="s">
        <v>62</v>
      </c>
      <c r="M15" s="1">
        <v>7</v>
      </c>
      <c r="N15" s="1">
        <v>6</v>
      </c>
      <c r="O15" s="1">
        <v>199142</v>
      </c>
      <c r="P15" s="1">
        <v>4.78</v>
      </c>
      <c r="Q15" s="1" t="s">
        <v>14</v>
      </c>
      <c r="R15" s="3">
        <v>0.48899999999999999</v>
      </c>
      <c r="S15" s="2">
        <v>45590</v>
      </c>
      <c r="T15" s="1">
        <v>176</v>
      </c>
      <c r="U15" s="1" t="s">
        <v>7</v>
      </c>
      <c r="V15" s="1">
        <v>83</v>
      </c>
      <c r="W15" s="1" t="b">
        <v>1</v>
      </c>
      <c r="X15" s="1" t="b">
        <v>0</v>
      </c>
      <c r="Y15" s="1">
        <v>0</v>
      </c>
      <c r="AA15" s="6" t="s">
        <v>11</v>
      </c>
      <c r="AB15">
        <v>183</v>
      </c>
      <c r="AC15"/>
      <c r="AD15"/>
      <c r="AE15"/>
      <c r="AF15"/>
    </row>
    <row r="16" spans="1:32" x14ac:dyDescent="0.35">
      <c r="A16" s="1" t="s">
        <v>63</v>
      </c>
      <c r="B16" s="1" t="s">
        <v>54</v>
      </c>
      <c r="C16" s="1" t="s">
        <v>64</v>
      </c>
      <c r="D16" s="1" t="s">
        <v>3</v>
      </c>
      <c r="E16" s="1">
        <v>2998</v>
      </c>
      <c r="F16" s="4">
        <v>40000000</v>
      </c>
      <c r="G16" s="4">
        <v>13342</v>
      </c>
      <c r="H16" s="1">
        <v>4</v>
      </c>
      <c r="I16" s="1">
        <v>3</v>
      </c>
      <c r="J16" s="1">
        <v>1</v>
      </c>
      <c r="K16" s="1" t="s">
        <v>61</v>
      </c>
      <c r="L16" s="1" t="s">
        <v>65</v>
      </c>
      <c r="M16" s="1">
        <v>3</v>
      </c>
      <c r="N16" s="1">
        <v>4</v>
      </c>
      <c r="O16" s="1">
        <v>136778</v>
      </c>
      <c r="P16" s="1">
        <v>4.0999999999999996</v>
      </c>
      <c r="Q16" s="1" t="s">
        <v>14</v>
      </c>
      <c r="R16" s="3">
        <v>0.45520000000000005</v>
      </c>
      <c r="S16" s="2">
        <v>45719</v>
      </c>
      <c r="T16" s="1">
        <v>354</v>
      </c>
      <c r="U16" s="1" t="s">
        <v>7</v>
      </c>
      <c r="V16" s="1">
        <v>49</v>
      </c>
      <c r="W16" s="1" t="b">
        <v>1</v>
      </c>
      <c r="X16" s="1" t="b">
        <v>1</v>
      </c>
      <c r="Y16" s="1">
        <v>0</v>
      </c>
      <c r="AA16" s="6" t="s">
        <v>27</v>
      </c>
      <c r="AB16">
        <v>195</v>
      </c>
      <c r="AC16"/>
      <c r="AD16"/>
      <c r="AE16"/>
      <c r="AF16"/>
    </row>
    <row r="17" spans="1:32" x14ac:dyDescent="0.35">
      <c r="A17" s="1" t="s">
        <v>66</v>
      </c>
      <c r="B17" s="1" t="s">
        <v>32</v>
      </c>
      <c r="C17" s="1" t="s">
        <v>67</v>
      </c>
      <c r="D17" s="1" t="s">
        <v>27</v>
      </c>
      <c r="E17" s="1">
        <v>5520</v>
      </c>
      <c r="F17" s="4">
        <v>12000000</v>
      </c>
      <c r="G17" s="4">
        <v>2173</v>
      </c>
      <c r="H17" s="1">
        <v>4</v>
      </c>
      <c r="I17" s="1">
        <v>2</v>
      </c>
      <c r="J17" s="1">
        <v>9</v>
      </c>
      <c r="K17" s="1" t="s">
        <v>58</v>
      </c>
      <c r="L17" s="1" t="s">
        <v>68</v>
      </c>
      <c r="M17" s="1">
        <v>5</v>
      </c>
      <c r="N17" s="1">
        <v>9</v>
      </c>
      <c r="O17" s="1">
        <v>41197</v>
      </c>
      <c r="P17" s="1">
        <v>4.12</v>
      </c>
      <c r="Q17" s="1" t="s">
        <v>6</v>
      </c>
      <c r="R17" s="3">
        <v>0.45600000000000002</v>
      </c>
      <c r="S17" s="2">
        <v>45740</v>
      </c>
      <c r="T17" s="1">
        <v>122</v>
      </c>
      <c r="U17" s="1" t="s">
        <v>23</v>
      </c>
      <c r="V17" s="1">
        <v>69</v>
      </c>
      <c r="W17" s="1" t="b">
        <v>1</v>
      </c>
      <c r="X17" s="1" t="b">
        <v>1</v>
      </c>
      <c r="Y17" s="1">
        <v>0</v>
      </c>
      <c r="AA17" s="6" t="s">
        <v>2077</v>
      </c>
      <c r="AB17">
        <v>1000</v>
      </c>
      <c r="AC17"/>
      <c r="AD17"/>
      <c r="AE17"/>
      <c r="AF17"/>
    </row>
    <row r="18" spans="1:32" x14ac:dyDescent="0.35">
      <c r="A18" s="1" t="s">
        <v>69</v>
      </c>
      <c r="B18" s="1" t="s">
        <v>9</v>
      </c>
      <c r="C18" s="1" t="s">
        <v>10</v>
      </c>
      <c r="D18" s="1" t="s">
        <v>20</v>
      </c>
      <c r="E18" s="1">
        <v>4704</v>
      </c>
      <c r="F18" s="4">
        <v>50000000</v>
      </c>
      <c r="G18" s="4">
        <v>10629</v>
      </c>
      <c r="H18" s="1">
        <v>5</v>
      </c>
      <c r="I18" s="1">
        <v>2</v>
      </c>
      <c r="J18" s="1">
        <v>8</v>
      </c>
      <c r="K18" s="1" t="s">
        <v>42</v>
      </c>
      <c r="L18" s="1" t="s">
        <v>70</v>
      </c>
      <c r="M18" s="1">
        <v>4</v>
      </c>
      <c r="N18" s="1">
        <v>10</v>
      </c>
      <c r="O18" s="1">
        <v>193048</v>
      </c>
      <c r="P18" s="1">
        <v>4.63</v>
      </c>
      <c r="Q18" s="1" t="s">
        <v>14</v>
      </c>
      <c r="R18" s="3">
        <v>0.48170000000000002</v>
      </c>
      <c r="S18" s="2">
        <v>45685</v>
      </c>
      <c r="T18" s="1">
        <v>115</v>
      </c>
      <c r="U18" s="1" t="s">
        <v>7</v>
      </c>
      <c r="V18" s="1">
        <v>88</v>
      </c>
      <c r="W18" s="1" t="b">
        <v>1</v>
      </c>
      <c r="X18" s="1" t="b">
        <v>1</v>
      </c>
      <c r="Y18" s="1">
        <v>0</v>
      </c>
      <c r="AA18"/>
      <c r="AB18"/>
      <c r="AC18"/>
      <c r="AD18"/>
      <c r="AE18"/>
      <c r="AF18"/>
    </row>
    <row r="19" spans="1:32" x14ac:dyDescent="0.35">
      <c r="A19" s="1" t="s">
        <v>71</v>
      </c>
      <c r="B19" s="1" t="s">
        <v>54</v>
      </c>
      <c r="C19" s="1" t="s">
        <v>72</v>
      </c>
      <c r="D19" s="1" t="s">
        <v>3</v>
      </c>
      <c r="E19" s="1">
        <v>1543</v>
      </c>
      <c r="F19" s="4">
        <v>40000000</v>
      </c>
      <c r="G19" s="4">
        <v>25923</v>
      </c>
      <c r="H19" s="1">
        <v>3</v>
      </c>
      <c r="I19" s="1">
        <v>2</v>
      </c>
      <c r="J19" s="1">
        <v>21</v>
      </c>
      <c r="K19" s="1" t="s">
        <v>28</v>
      </c>
      <c r="L19" s="1" t="s">
        <v>73</v>
      </c>
      <c r="M19" s="1">
        <v>7</v>
      </c>
      <c r="N19" s="1">
        <v>8</v>
      </c>
      <c r="O19" s="1">
        <v>128970</v>
      </c>
      <c r="P19" s="1">
        <v>3.87</v>
      </c>
      <c r="Q19" s="1" t="s">
        <v>14</v>
      </c>
      <c r="R19" s="3">
        <v>0.44350000000000001</v>
      </c>
      <c r="S19" s="2">
        <v>45835</v>
      </c>
      <c r="T19" s="1">
        <v>198</v>
      </c>
      <c r="U19" s="1" t="s">
        <v>7</v>
      </c>
      <c r="V19" s="1">
        <v>59</v>
      </c>
      <c r="W19" s="1" t="b">
        <v>1</v>
      </c>
      <c r="X19" s="1" t="b">
        <v>0</v>
      </c>
      <c r="Y19" s="1">
        <v>80000</v>
      </c>
      <c r="AA19" s="5" t="s">
        <v>2076</v>
      </c>
      <c r="AB19" t="s">
        <v>2080</v>
      </c>
      <c r="AC19"/>
      <c r="AD19"/>
      <c r="AE19"/>
      <c r="AF19"/>
    </row>
    <row r="20" spans="1:32" x14ac:dyDescent="0.35">
      <c r="A20" s="1" t="s">
        <v>74</v>
      </c>
      <c r="B20" s="1" t="s">
        <v>1</v>
      </c>
      <c r="C20" s="1" t="s">
        <v>48</v>
      </c>
      <c r="D20" s="1" t="s">
        <v>3</v>
      </c>
      <c r="E20" s="1">
        <v>2529</v>
      </c>
      <c r="F20" s="4">
        <v>10000000</v>
      </c>
      <c r="G20" s="4">
        <v>3954</v>
      </c>
      <c r="H20" s="1">
        <v>2</v>
      </c>
      <c r="I20" s="1">
        <v>2</v>
      </c>
      <c r="J20" s="1">
        <v>13</v>
      </c>
      <c r="K20" s="1" t="s">
        <v>34</v>
      </c>
      <c r="L20" s="1" t="s">
        <v>75</v>
      </c>
      <c r="M20" s="1">
        <v>3</v>
      </c>
      <c r="N20" s="1">
        <v>6</v>
      </c>
      <c r="O20" s="1">
        <v>36114</v>
      </c>
      <c r="P20" s="1">
        <v>4.33</v>
      </c>
      <c r="Q20" s="1" t="s">
        <v>6</v>
      </c>
      <c r="R20" s="3">
        <v>0.4667</v>
      </c>
      <c r="S20" s="2">
        <v>45822</v>
      </c>
      <c r="T20" s="1">
        <v>66</v>
      </c>
      <c r="U20" s="1" t="s">
        <v>7</v>
      </c>
      <c r="V20" s="1">
        <v>171</v>
      </c>
      <c r="W20" s="1" t="b">
        <v>1</v>
      </c>
      <c r="X20" s="1" t="b">
        <v>0</v>
      </c>
      <c r="Y20" s="1">
        <v>0</v>
      </c>
      <c r="AA20" s="6" t="s">
        <v>18</v>
      </c>
      <c r="AB20" s="8">
        <v>0.44591090909090897</v>
      </c>
      <c r="AC20"/>
    </row>
    <row r="21" spans="1:32" x14ac:dyDescent="0.35">
      <c r="A21" s="1" t="s">
        <v>76</v>
      </c>
      <c r="B21" s="1" t="s">
        <v>1</v>
      </c>
      <c r="C21" s="1" t="s">
        <v>45</v>
      </c>
      <c r="D21" s="1" t="s">
        <v>27</v>
      </c>
      <c r="E21" s="1">
        <v>7042</v>
      </c>
      <c r="F21" s="4">
        <v>10000000</v>
      </c>
      <c r="G21" s="4">
        <v>1420</v>
      </c>
      <c r="H21" s="1">
        <v>5</v>
      </c>
      <c r="I21" s="1">
        <v>3</v>
      </c>
      <c r="J21" s="1">
        <v>17</v>
      </c>
      <c r="K21" s="1" t="s">
        <v>21</v>
      </c>
      <c r="L21" s="1" t="s">
        <v>77</v>
      </c>
      <c r="M21" s="1">
        <v>3</v>
      </c>
      <c r="N21" s="1">
        <v>7</v>
      </c>
      <c r="O21" s="1">
        <v>35111</v>
      </c>
      <c r="P21" s="1">
        <v>4.21</v>
      </c>
      <c r="Q21" s="1" t="s">
        <v>6</v>
      </c>
      <c r="R21" s="3">
        <v>0.4607</v>
      </c>
      <c r="S21" s="2">
        <v>45827</v>
      </c>
      <c r="T21" s="1">
        <v>262</v>
      </c>
      <c r="U21" s="1" t="s">
        <v>7</v>
      </c>
      <c r="V21" s="1">
        <v>84</v>
      </c>
      <c r="W21" s="1" t="b">
        <v>0</v>
      </c>
      <c r="X21" s="1" t="b">
        <v>1</v>
      </c>
      <c r="Y21" s="1">
        <v>20000</v>
      </c>
      <c r="AA21" s="6" t="s">
        <v>25</v>
      </c>
      <c r="AB21" s="8">
        <v>0.44604088397790043</v>
      </c>
      <c r="AC21"/>
    </row>
    <row r="22" spans="1:32" x14ac:dyDescent="0.35">
      <c r="A22" s="1" t="s">
        <v>78</v>
      </c>
      <c r="B22" s="1" t="s">
        <v>54</v>
      </c>
      <c r="C22" s="1" t="s">
        <v>79</v>
      </c>
      <c r="D22" s="1" t="s">
        <v>38</v>
      </c>
      <c r="E22" s="1">
        <v>5745</v>
      </c>
      <c r="F22" s="4">
        <v>40000000</v>
      </c>
      <c r="G22" s="4">
        <v>6962</v>
      </c>
      <c r="H22" s="1">
        <v>4</v>
      </c>
      <c r="I22" s="1">
        <v>2</v>
      </c>
      <c r="J22" s="1">
        <v>21</v>
      </c>
      <c r="K22" s="1" t="s">
        <v>4</v>
      </c>
      <c r="L22" s="1" t="s">
        <v>80</v>
      </c>
      <c r="M22" s="1">
        <v>5</v>
      </c>
      <c r="N22" s="1">
        <v>9</v>
      </c>
      <c r="O22" s="1">
        <v>140751</v>
      </c>
      <c r="P22" s="1">
        <v>4.22</v>
      </c>
      <c r="Q22" s="1" t="s">
        <v>14</v>
      </c>
      <c r="R22" s="3">
        <v>0.46110000000000001</v>
      </c>
      <c r="S22" s="2">
        <v>46082</v>
      </c>
      <c r="T22" s="1">
        <v>100</v>
      </c>
      <c r="U22" s="1" t="s">
        <v>7</v>
      </c>
      <c r="V22" s="1">
        <v>177</v>
      </c>
      <c r="W22" s="1" t="b">
        <v>0</v>
      </c>
      <c r="X22" s="1" t="b">
        <v>0</v>
      </c>
      <c r="Y22" s="1">
        <v>0</v>
      </c>
      <c r="AA22" s="6" t="s">
        <v>1</v>
      </c>
      <c r="AB22" s="8">
        <v>0.44956871508379909</v>
      </c>
      <c r="AC22"/>
    </row>
    <row r="23" spans="1:32" x14ac:dyDescent="0.35">
      <c r="A23" s="1" t="s">
        <v>81</v>
      </c>
      <c r="B23" s="1" t="s">
        <v>25</v>
      </c>
      <c r="C23" s="1" t="s">
        <v>82</v>
      </c>
      <c r="D23" s="1" t="s">
        <v>3</v>
      </c>
      <c r="E23" s="1">
        <v>836</v>
      </c>
      <c r="F23" s="4">
        <v>30000000</v>
      </c>
      <c r="G23" s="4">
        <v>35885</v>
      </c>
      <c r="H23" s="1">
        <v>4</v>
      </c>
      <c r="I23" s="1">
        <v>2</v>
      </c>
      <c r="J23" s="1">
        <v>5</v>
      </c>
      <c r="K23" s="1" t="s">
        <v>42</v>
      </c>
      <c r="L23" s="1" t="s">
        <v>83</v>
      </c>
      <c r="M23" s="1">
        <v>8</v>
      </c>
      <c r="N23" s="1">
        <v>10</v>
      </c>
      <c r="O23" s="1">
        <v>124394</v>
      </c>
      <c r="P23" s="1">
        <v>4.9800000000000004</v>
      </c>
      <c r="Q23" s="1" t="s">
        <v>14</v>
      </c>
      <c r="R23" s="3">
        <v>0.49880000000000002</v>
      </c>
      <c r="S23" s="2">
        <v>45547</v>
      </c>
      <c r="T23" s="1">
        <v>314</v>
      </c>
      <c r="U23" s="1" t="s">
        <v>7</v>
      </c>
      <c r="V23" s="1">
        <v>143</v>
      </c>
      <c r="W23" s="1" t="b">
        <v>0</v>
      </c>
      <c r="X23" s="1" t="b">
        <v>0</v>
      </c>
      <c r="Y23" s="1">
        <v>60000</v>
      </c>
      <c r="AA23" s="6" t="s">
        <v>54</v>
      </c>
      <c r="AB23" s="8">
        <v>0.45061204819277112</v>
      </c>
      <c r="AC23"/>
    </row>
    <row r="24" spans="1:32" x14ac:dyDescent="0.35">
      <c r="A24" s="1" t="s">
        <v>84</v>
      </c>
      <c r="B24" s="1" t="s">
        <v>1</v>
      </c>
      <c r="C24" s="1" t="s">
        <v>48</v>
      </c>
      <c r="D24" s="1" t="s">
        <v>11</v>
      </c>
      <c r="E24" s="1">
        <v>382</v>
      </c>
      <c r="F24" s="4">
        <v>10000000</v>
      </c>
      <c r="G24" s="4">
        <v>26178</v>
      </c>
      <c r="H24" s="1">
        <v>0</v>
      </c>
      <c r="I24" s="1">
        <v>2</v>
      </c>
      <c r="J24" s="1">
        <v>24</v>
      </c>
      <c r="K24" s="1" t="s">
        <v>34</v>
      </c>
      <c r="L24" s="1" t="s">
        <v>85</v>
      </c>
      <c r="M24" s="1">
        <v>7</v>
      </c>
      <c r="N24" s="1">
        <v>5</v>
      </c>
      <c r="O24" s="1">
        <v>39883</v>
      </c>
      <c r="P24" s="1">
        <v>4.79</v>
      </c>
      <c r="Q24" s="1" t="s">
        <v>6</v>
      </c>
      <c r="R24" s="3">
        <v>0.48930000000000001</v>
      </c>
      <c r="S24" s="2">
        <v>46074</v>
      </c>
      <c r="T24" s="1">
        <v>356</v>
      </c>
      <c r="U24" s="1" t="s">
        <v>7</v>
      </c>
      <c r="V24" s="1">
        <v>128</v>
      </c>
      <c r="W24" s="1" t="b">
        <v>1</v>
      </c>
      <c r="X24" s="1" t="b">
        <v>1</v>
      </c>
      <c r="Y24" s="1">
        <v>20000</v>
      </c>
      <c r="AA24" s="6" t="s">
        <v>32</v>
      </c>
      <c r="AB24" s="8">
        <v>0.45160544217687071</v>
      </c>
      <c r="AC24"/>
    </row>
    <row r="25" spans="1:32" x14ac:dyDescent="0.35">
      <c r="A25" s="1" t="s">
        <v>86</v>
      </c>
      <c r="B25" s="1" t="s">
        <v>18</v>
      </c>
      <c r="C25" s="1" t="s">
        <v>19</v>
      </c>
      <c r="D25" s="1" t="s">
        <v>20</v>
      </c>
      <c r="E25" s="1">
        <v>3722</v>
      </c>
      <c r="F25" s="4">
        <v>15000000</v>
      </c>
      <c r="G25" s="4">
        <v>4030</v>
      </c>
      <c r="H25" s="1">
        <v>5</v>
      </c>
      <c r="I25" s="1">
        <v>3</v>
      </c>
      <c r="J25" s="1">
        <v>1</v>
      </c>
      <c r="K25" s="1" t="s">
        <v>21</v>
      </c>
      <c r="L25" s="1" t="s">
        <v>87</v>
      </c>
      <c r="M25" s="1">
        <v>4</v>
      </c>
      <c r="N25" s="1">
        <v>10</v>
      </c>
      <c r="O25" s="1">
        <v>61068</v>
      </c>
      <c r="P25" s="1">
        <v>4.8899999999999997</v>
      </c>
      <c r="Q25" s="1" t="s">
        <v>6</v>
      </c>
      <c r="R25" s="3">
        <v>0.49430000000000002</v>
      </c>
      <c r="S25" s="2">
        <v>45851</v>
      </c>
      <c r="T25" s="1">
        <v>276</v>
      </c>
      <c r="U25" s="1" t="s">
        <v>30</v>
      </c>
      <c r="V25" s="1">
        <v>137</v>
      </c>
      <c r="W25" s="1" t="b">
        <v>1</v>
      </c>
      <c r="X25" s="1" t="b">
        <v>0</v>
      </c>
      <c r="Y25" s="1">
        <v>30000</v>
      </c>
      <c r="AA25" s="6" t="s">
        <v>9</v>
      </c>
      <c r="AB25" s="8">
        <v>0.45293333333333335</v>
      </c>
      <c r="AC25"/>
    </row>
    <row r="26" spans="1:32" x14ac:dyDescent="0.35">
      <c r="A26" s="1" t="s">
        <v>88</v>
      </c>
      <c r="B26" s="1" t="s">
        <v>54</v>
      </c>
      <c r="C26" s="1" t="s">
        <v>89</v>
      </c>
      <c r="D26" s="1" t="s">
        <v>11</v>
      </c>
      <c r="E26" s="1">
        <v>264</v>
      </c>
      <c r="F26" s="4">
        <v>26959771</v>
      </c>
      <c r="G26" s="4">
        <v>102120</v>
      </c>
      <c r="H26" s="1">
        <v>1</v>
      </c>
      <c r="I26" s="1">
        <v>2</v>
      </c>
      <c r="J26" s="1">
        <v>21</v>
      </c>
      <c r="K26" s="1" t="s">
        <v>28</v>
      </c>
      <c r="L26" s="1" t="s">
        <v>90</v>
      </c>
      <c r="M26" s="1">
        <v>8</v>
      </c>
      <c r="N26" s="1">
        <v>6</v>
      </c>
      <c r="O26" s="1">
        <v>86658</v>
      </c>
      <c r="P26" s="1">
        <v>3.86</v>
      </c>
      <c r="Q26" s="1" t="s">
        <v>14</v>
      </c>
      <c r="R26" s="3">
        <v>0.44290000000000002</v>
      </c>
      <c r="S26" s="2">
        <v>45684</v>
      </c>
      <c r="T26" s="1">
        <v>168</v>
      </c>
      <c r="U26" s="1" t="s">
        <v>7</v>
      </c>
      <c r="V26" s="1">
        <v>127</v>
      </c>
      <c r="W26" s="1" t="b">
        <v>1</v>
      </c>
      <c r="X26" s="1" t="b">
        <v>0</v>
      </c>
      <c r="Y26" s="1">
        <v>0</v>
      </c>
      <c r="AA26" s="6" t="s">
        <v>2077</v>
      </c>
      <c r="AB26" s="8">
        <v>0.44934429999999964</v>
      </c>
      <c r="AC26"/>
    </row>
    <row r="27" spans="1:32" x14ac:dyDescent="0.35">
      <c r="A27" s="1" t="s">
        <v>91</v>
      </c>
      <c r="B27" s="1" t="s">
        <v>54</v>
      </c>
      <c r="C27" s="1" t="s">
        <v>89</v>
      </c>
      <c r="D27" s="1" t="s">
        <v>20</v>
      </c>
      <c r="E27" s="1">
        <v>4580</v>
      </c>
      <c r="F27" s="4">
        <v>40000000</v>
      </c>
      <c r="G27" s="4">
        <v>8733</v>
      </c>
      <c r="H27" s="1">
        <v>5</v>
      </c>
      <c r="I27" s="1">
        <v>3</v>
      </c>
      <c r="J27" s="1">
        <v>26</v>
      </c>
      <c r="K27" s="1" t="s">
        <v>12</v>
      </c>
      <c r="L27" s="1" t="s">
        <v>92</v>
      </c>
      <c r="M27" s="1">
        <v>3</v>
      </c>
      <c r="N27" s="1">
        <v>4</v>
      </c>
      <c r="O27" s="1">
        <v>104574</v>
      </c>
      <c r="P27" s="1">
        <v>3.14</v>
      </c>
      <c r="Q27" s="1" t="s">
        <v>14</v>
      </c>
      <c r="R27" s="3">
        <v>0.40689999999999998</v>
      </c>
      <c r="S27" s="2">
        <v>45489</v>
      </c>
      <c r="T27" s="1">
        <v>103</v>
      </c>
      <c r="U27" s="1" t="s">
        <v>7</v>
      </c>
      <c r="V27" s="1">
        <v>93</v>
      </c>
      <c r="W27" s="1" t="b">
        <v>1</v>
      </c>
      <c r="X27" s="1" t="b">
        <v>1</v>
      </c>
      <c r="Y27" s="1">
        <v>80000</v>
      </c>
      <c r="AA27"/>
      <c r="AB27"/>
      <c r="AC27"/>
    </row>
    <row r="28" spans="1:32" x14ac:dyDescent="0.35">
      <c r="A28" s="1" t="s">
        <v>93</v>
      </c>
      <c r="B28" s="1" t="s">
        <v>25</v>
      </c>
      <c r="C28" s="1" t="s">
        <v>94</v>
      </c>
      <c r="D28" s="1" t="s">
        <v>3</v>
      </c>
      <c r="E28" s="1">
        <v>2710</v>
      </c>
      <c r="F28" s="4">
        <v>30000000</v>
      </c>
      <c r="G28" s="4">
        <v>11070</v>
      </c>
      <c r="H28" s="1">
        <v>2</v>
      </c>
      <c r="I28" s="1">
        <v>2</v>
      </c>
      <c r="J28" s="1">
        <v>22</v>
      </c>
      <c r="K28" s="1" t="s">
        <v>34</v>
      </c>
      <c r="L28" s="1" t="s">
        <v>95</v>
      </c>
      <c r="M28" s="1">
        <v>5</v>
      </c>
      <c r="N28" s="1">
        <v>7</v>
      </c>
      <c r="O28" s="1">
        <v>76283</v>
      </c>
      <c r="P28" s="1">
        <v>3.05</v>
      </c>
      <c r="Q28" s="1" t="s">
        <v>14</v>
      </c>
      <c r="R28" s="3">
        <v>0.40259999999999996</v>
      </c>
      <c r="S28" s="2">
        <v>45837</v>
      </c>
      <c r="T28" s="1">
        <v>102</v>
      </c>
      <c r="U28" s="1" t="s">
        <v>7</v>
      </c>
      <c r="V28" s="1">
        <v>131</v>
      </c>
      <c r="W28" s="1" t="b">
        <v>1</v>
      </c>
      <c r="X28" s="1" t="b">
        <v>1</v>
      </c>
      <c r="Y28" s="1">
        <v>60000</v>
      </c>
      <c r="AA28" s="5" t="s">
        <v>2076</v>
      </c>
      <c r="AB28" t="s">
        <v>2081</v>
      </c>
      <c r="AC28"/>
    </row>
    <row r="29" spans="1:32" x14ac:dyDescent="0.35">
      <c r="A29" s="1" t="s">
        <v>96</v>
      </c>
      <c r="B29" s="1" t="s">
        <v>1</v>
      </c>
      <c r="C29" s="1" t="s">
        <v>97</v>
      </c>
      <c r="D29" s="1" t="s">
        <v>38</v>
      </c>
      <c r="E29" s="1">
        <v>9598</v>
      </c>
      <c r="F29" s="4">
        <v>10000000</v>
      </c>
      <c r="G29" s="4">
        <v>1041</v>
      </c>
      <c r="H29" s="1">
        <v>4</v>
      </c>
      <c r="I29" s="1">
        <v>2</v>
      </c>
      <c r="J29" s="1">
        <v>11</v>
      </c>
      <c r="K29" s="1" t="s">
        <v>21</v>
      </c>
      <c r="L29" s="1" t="s">
        <v>98</v>
      </c>
      <c r="M29" s="1">
        <v>7</v>
      </c>
      <c r="N29" s="1">
        <v>10</v>
      </c>
      <c r="O29" s="1">
        <v>26758</v>
      </c>
      <c r="P29" s="1">
        <v>3.21</v>
      </c>
      <c r="Q29" s="1" t="s">
        <v>6</v>
      </c>
      <c r="R29" s="3">
        <v>0.41049999999999998</v>
      </c>
      <c r="S29" s="2">
        <v>45786</v>
      </c>
      <c r="T29" s="1">
        <v>363</v>
      </c>
      <c r="U29" s="1" t="s">
        <v>30</v>
      </c>
      <c r="V29" s="1">
        <v>147</v>
      </c>
      <c r="W29" s="1" t="b">
        <v>1</v>
      </c>
      <c r="X29" s="1" t="b">
        <v>0</v>
      </c>
      <c r="Y29" s="1">
        <v>20000</v>
      </c>
      <c r="AA29" s="6" t="s">
        <v>7</v>
      </c>
      <c r="AB29">
        <v>584</v>
      </c>
      <c r="AC29"/>
    </row>
    <row r="30" spans="1:32" x14ac:dyDescent="0.35">
      <c r="A30" s="1" t="s">
        <v>99</v>
      </c>
      <c r="B30" s="1" t="s">
        <v>1</v>
      </c>
      <c r="C30" s="1" t="s">
        <v>51</v>
      </c>
      <c r="D30" s="1" t="s">
        <v>20</v>
      </c>
      <c r="E30" s="1">
        <v>4022</v>
      </c>
      <c r="F30" s="4">
        <v>10000000</v>
      </c>
      <c r="G30" s="4">
        <v>2486</v>
      </c>
      <c r="H30" s="1">
        <v>5</v>
      </c>
      <c r="I30" s="1">
        <v>3</v>
      </c>
      <c r="J30" s="1">
        <v>13</v>
      </c>
      <c r="K30" s="1" t="s">
        <v>4</v>
      </c>
      <c r="L30" s="1" t="s">
        <v>100</v>
      </c>
      <c r="M30" s="1">
        <v>8</v>
      </c>
      <c r="N30" s="1">
        <v>4</v>
      </c>
      <c r="O30" s="1">
        <v>34497</v>
      </c>
      <c r="P30" s="1">
        <v>4.1399999999999997</v>
      </c>
      <c r="Q30" s="1" t="s">
        <v>6</v>
      </c>
      <c r="R30" s="3">
        <v>0.45700000000000002</v>
      </c>
      <c r="S30" s="2">
        <v>45472</v>
      </c>
      <c r="T30" s="1">
        <v>167</v>
      </c>
      <c r="U30" s="1" t="s">
        <v>7</v>
      </c>
      <c r="V30" s="1">
        <v>156</v>
      </c>
      <c r="W30" s="1" t="b">
        <v>1</v>
      </c>
      <c r="X30" s="1" t="b">
        <v>0</v>
      </c>
      <c r="Y30" s="1">
        <v>20000</v>
      </c>
      <c r="AA30" s="6" t="s">
        <v>23</v>
      </c>
      <c r="AB30">
        <v>161</v>
      </c>
      <c r="AC30"/>
    </row>
    <row r="31" spans="1:32" x14ac:dyDescent="0.35">
      <c r="A31" s="1" t="s">
        <v>101</v>
      </c>
      <c r="B31" s="1" t="s">
        <v>54</v>
      </c>
      <c r="C31" s="1" t="s">
        <v>72</v>
      </c>
      <c r="D31" s="1" t="s">
        <v>20</v>
      </c>
      <c r="E31" s="1">
        <v>2645</v>
      </c>
      <c r="F31" s="4">
        <v>40000000</v>
      </c>
      <c r="G31" s="4">
        <v>15122</v>
      </c>
      <c r="H31" s="1">
        <v>4</v>
      </c>
      <c r="I31" s="1">
        <v>2</v>
      </c>
      <c r="J31" s="1">
        <v>16</v>
      </c>
      <c r="K31" s="1" t="s">
        <v>4</v>
      </c>
      <c r="L31" s="1" t="s">
        <v>102</v>
      </c>
      <c r="M31" s="1">
        <v>4</v>
      </c>
      <c r="N31" s="1">
        <v>4</v>
      </c>
      <c r="O31" s="1">
        <v>143060</v>
      </c>
      <c r="P31" s="1">
        <v>4.29</v>
      </c>
      <c r="Q31" s="1" t="s">
        <v>14</v>
      </c>
      <c r="R31" s="3">
        <v>0.46460000000000001</v>
      </c>
      <c r="S31" s="2">
        <v>45654</v>
      </c>
      <c r="T31" s="1">
        <v>151</v>
      </c>
      <c r="U31" s="1" t="s">
        <v>7</v>
      </c>
      <c r="V31" s="1">
        <v>53</v>
      </c>
      <c r="W31" s="1" t="b">
        <v>1</v>
      </c>
      <c r="X31" s="1" t="b">
        <v>0</v>
      </c>
      <c r="Y31" s="1">
        <v>80000</v>
      </c>
      <c r="AA31" s="6" t="s">
        <v>30</v>
      </c>
      <c r="AB31">
        <v>255</v>
      </c>
      <c r="AC31"/>
    </row>
    <row r="32" spans="1:32" x14ac:dyDescent="0.35">
      <c r="A32" s="1" t="s">
        <v>103</v>
      </c>
      <c r="B32" s="1" t="s">
        <v>54</v>
      </c>
      <c r="C32" s="1" t="s">
        <v>104</v>
      </c>
      <c r="D32" s="1" t="s">
        <v>38</v>
      </c>
      <c r="E32" s="1">
        <v>6023</v>
      </c>
      <c r="F32" s="4">
        <v>40000000</v>
      </c>
      <c r="G32" s="4">
        <v>6641</v>
      </c>
      <c r="H32" s="1">
        <v>5</v>
      </c>
      <c r="I32" s="1">
        <v>3</v>
      </c>
      <c r="J32" s="1">
        <v>13</v>
      </c>
      <c r="K32" s="1" t="s">
        <v>4</v>
      </c>
      <c r="L32" s="1" t="s">
        <v>105</v>
      </c>
      <c r="M32" s="1">
        <v>8</v>
      </c>
      <c r="N32" s="1">
        <v>10</v>
      </c>
      <c r="O32" s="1">
        <v>112838</v>
      </c>
      <c r="P32" s="1">
        <v>3.39</v>
      </c>
      <c r="Q32" s="1" t="s">
        <v>14</v>
      </c>
      <c r="R32" s="3">
        <v>0.41930000000000001</v>
      </c>
      <c r="S32" s="2">
        <v>46034</v>
      </c>
      <c r="T32" s="1">
        <v>99</v>
      </c>
      <c r="U32" s="1" t="s">
        <v>30</v>
      </c>
      <c r="V32" s="1">
        <v>77</v>
      </c>
      <c r="W32" s="1" t="b">
        <v>1</v>
      </c>
      <c r="X32" s="1" t="b">
        <v>0</v>
      </c>
      <c r="Y32" s="1">
        <v>0</v>
      </c>
      <c r="AA32" s="6" t="s">
        <v>2077</v>
      </c>
      <c r="AB32">
        <v>1000</v>
      </c>
      <c r="AC32"/>
    </row>
    <row r="33" spans="1:29" x14ac:dyDescent="0.35">
      <c r="A33" s="1" t="s">
        <v>106</v>
      </c>
      <c r="B33" s="1" t="s">
        <v>1</v>
      </c>
      <c r="C33" s="1" t="s">
        <v>51</v>
      </c>
      <c r="D33" s="1" t="s">
        <v>38</v>
      </c>
      <c r="E33" s="1">
        <v>7888</v>
      </c>
      <c r="F33" s="4">
        <v>10000000</v>
      </c>
      <c r="G33" s="4">
        <v>1267</v>
      </c>
      <c r="H33" s="1">
        <v>5</v>
      </c>
      <c r="I33" s="1">
        <v>2</v>
      </c>
      <c r="J33" s="1">
        <v>26</v>
      </c>
      <c r="K33" s="1" t="s">
        <v>34</v>
      </c>
      <c r="L33" s="1" t="s">
        <v>107</v>
      </c>
      <c r="M33" s="1">
        <v>4</v>
      </c>
      <c r="N33" s="1">
        <v>4</v>
      </c>
      <c r="O33" s="1">
        <v>33902</v>
      </c>
      <c r="P33" s="1">
        <v>4.07</v>
      </c>
      <c r="Q33" s="1" t="s">
        <v>6</v>
      </c>
      <c r="R33" s="3">
        <v>0.45340000000000003</v>
      </c>
      <c r="S33" s="2">
        <v>45876</v>
      </c>
      <c r="T33" s="1">
        <v>150</v>
      </c>
      <c r="U33" s="1" t="s">
        <v>7</v>
      </c>
      <c r="V33" s="1">
        <v>171</v>
      </c>
      <c r="W33" s="1" t="b">
        <v>1</v>
      </c>
      <c r="X33" s="1" t="b">
        <v>0</v>
      </c>
      <c r="Y33" s="1">
        <v>20000</v>
      </c>
      <c r="AA33"/>
      <c r="AB33"/>
      <c r="AC33"/>
    </row>
    <row r="34" spans="1:29" x14ac:dyDescent="0.35">
      <c r="A34" s="1" t="s">
        <v>108</v>
      </c>
      <c r="B34" s="1" t="s">
        <v>9</v>
      </c>
      <c r="C34" s="1" t="s">
        <v>109</v>
      </c>
      <c r="D34" s="1" t="s">
        <v>20</v>
      </c>
      <c r="E34" s="1">
        <v>3422</v>
      </c>
      <c r="F34" s="4">
        <v>50000000</v>
      </c>
      <c r="G34" s="4">
        <v>14611</v>
      </c>
      <c r="H34" s="1">
        <v>5</v>
      </c>
      <c r="I34" s="1">
        <v>3</v>
      </c>
      <c r="J34" s="1">
        <v>10</v>
      </c>
      <c r="K34" s="1" t="s">
        <v>58</v>
      </c>
      <c r="L34" s="1" t="s">
        <v>110</v>
      </c>
      <c r="M34" s="1">
        <v>4</v>
      </c>
      <c r="N34" s="1">
        <v>5</v>
      </c>
      <c r="O34" s="1">
        <v>131173</v>
      </c>
      <c r="P34" s="1">
        <v>3.15</v>
      </c>
      <c r="Q34" s="1" t="s">
        <v>14</v>
      </c>
      <c r="R34" s="3">
        <v>0.40740000000000004</v>
      </c>
      <c r="S34" s="2">
        <v>45512</v>
      </c>
      <c r="T34" s="1">
        <v>289</v>
      </c>
      <c r="U34" s="1" t="s">
        <v>30</v>
      </c>
      <c r="V34" s="1">
        <v>68</v>
      </c>
      <c r="W34" s="1" t="b">
        <v>0</v>
      </c>
      <c r="X34" s="1" t="b">
        <v>1</v>
      </c>
      <c r="Y34" s="1">
        <v>100000</v>
      </c>
      <c r="AA34" s="5" t="s">
        <v>2076</v>
      </c>
      <c r="AB34" t="s">
        <v>2082</v>
      </c>
      <c r="AC34"/>
    </row>
    <row r="35" spans="1:29" x14ac:dyDescent="0.35">
      <c r="A35" s="1" t="s">
        <v>111</v>
      </c>
      <c r="B35" s="1" t="s">
        <v>9</v>
      </c>
      <c r="C35" s="1" t="s">
        <v>109</v>
      </c>
      <c r="D35" s="1" t="s">
        <v>11</v>
      </c>
      <c r="E35" s="1">
        <v>560</v>
      </c>
      <c r="F35" s="4">
        <v>50000000</v>
      </c>
      <c r="G35" s="4">
        <v>89285</v>
      </c>
      <c r="H35" s="1">
        <v>0</v>
      </c>
      <c r="I35" s="1">
        <v>2</v>
      </c>
      <c r="J35" s="1">
        <v>14</v>
      </c>
      <c r="K35" s="1" t="s">
        <v>58</v>
      </c>
      <c r="L35" s="1" t="s">
        <v>112</v>
      </c>
      <c r="M35" s="1">
        <v>6</v>
      </c>
      <c r="N35" s="1">
        <v>4</v>
      </c>
      <c r="O35" s="1">
        <v>142315</v>
      </c>
      <c r="P35" s="1">
        <v>3.42</v>
      </c>
      <c r="Q35" s="1" t="s">
        <v>14</v>
      </c>
      <c r="R35" s="3">
        <v>0.42080000000000001</v>
      </c>
      <c r="S35" s="2">
        <v>45940</v>
      </c>
      <c r="T35" s="1">
        <v>123</v>
      </c>
      <c r="U35" s="1" t="s">
        <v>7</v>
      </c>
      <c r="V35" s="1">
        <v>70</v>
      </c>
      <c r="W35" s="1" t="b">
        <v>1</v>
      </c>
      <c r="X35" s="1" t="b">
        <v>1</v>
      </c>
      <c r="Y35" s="1">
        <v>100000</v>
      </c>
      <c r="AA35" s="6" t="s">
        <v>25</v>
      </c>
      <c r="AB35" s="10">
        <v>178.87845303867402</v>
      </c>
      <c r="AC35"/>
    </row>
    <row r="36" spans="1:29" x14ac:dyDescent="0.35">
      <c r="A36" s="1" t="s">
        <v>113</v>
      </c>
      <c r="B36" s="1" t="s">
        <v>9</v>
      </c>
      <c r="C36" s="1" t="s">
        <v>114</v>
      </c>
      <c r="D36" s="1" t="s">
        <v>11</v>
      </c>
      <c r="E36" s="1">
        <v>554</v>
      </c>
      <c r="F36" s="4">
        <v>50000000</v>
      </c>
      <c r="G36" s="4">
        <v>90252</v>
      </c>
      <c r="H36" s="1">
        <v>1</v>
      </c>
      <c r="I36" s="1">
        <v>2</v>
      </c>
      <c r="J36" s="1">
        <v>1</v>
      </c>
      <c r="K36" s="1" t="s">
        <v>4</v>
      </c>
      <c r="L36" s="1" t="s">
        <v>115</v>
      </c>
      <c r="M36" s="1">
        <v>4</v>
      </c>
      <c r="N36" s="1">
        <v>10</v>
      </c>
      <c r="O36" s="1">
        <v>190652</v>
      </c>
      <c r="P36" s="1">
        <v>4.58</v>
      </c>
      <c r="Q36" s="1" t="s">
        <v>14</v>
      </c>
      <c r="R36" s="3">
        <v>0.4788</v>
      </c>
      <c r="S36" s="2">
        <v>45516</v>
      </c>
      <c r="T36" s="1">
        <v>218</v>
      </c>
      <c r="U36" s="1" t="s">
        <v>7</v>
      </c>
      <c r="V36" s="1">
        <v>80</v>
      </c>
      <c r="W36" s="1" t="b">
        <v>1</v>
      </c>
      <c r="X36" s="1" t="b">
        <v>1</v>
      </c>
      <c r="Y36" s="1">
        <v>100000</v>
      </c>
      <c r="AA36" s="9" t="s">
        <v>182</v>
      </c>
      <c r="AB36" s="10">
        <v>203.10526315789474</v>
      </c>
      <c r="AC36"/>
    </row>
    <row r="37" spans="1:29" x14ac:dyDescent="0.35">
      <c r="A37" s="1" t="s">
        <v>116</v>
      </c>
      <c r="B37" s="1" t="s">
        <v>54</v>
      </c>
      <c r="C37" s="1" t="s">
        <v>55</v>
      </c>
      <c r="D37" s="1" t="s">
        <v>3</v>
      </c>
      <c r="E37" s="1">
        <v>644</v>
      </c>
      <c r="F37" s="4">
        <v>40000000</v>
      </c>
      <c r="G37" s="4">
        <v>62111</v>
      </c>
      <c r="H37" s="1">
        <v>2</v>
      </c>
      <c r="I37" s="1">
        <v>2</v>
      </c>
      <c r="J37" s="1">
        <v>19</v>
      </c>
      <c r="K37" s="1" t="s">
        <v>42</v>
      </c>
      <c r="L37" s="1" t="s">
        <v>117</v>
      </c>
      <c r="M37" s="1">
        <v>8</v>
      </c>
      <c r="N37" s="1">
        <v>8</v>
      </c>
      <c r="O37" s="1">
        <v>139869</v>
      </c>
      <c r="P37" s="1">
        <v>4.2</v>
      </c>
      <c r="Q37" s="1" t="s">
        <v>14</v>
      </c>
      <c r="R37" s="3">
        <v>0.45979999999999999</v>
      </c>
      <c r="S37" s="2">
        <v>45714</v>
      </c>
      <c r="T37" s="1">
        <v>14</v>
      </c>
      <c r="U37" s="1" t="s">
        <v>30</v>
      </c>
      <c r="V37" s="1">
        <v>94</v>
      </c>
      <c r="W37" s="1" t="b">
        <v>1</v>
      </c>
      <c r="X37" s="1" t="b">
        <v>1</v>
      </c>
      <c r="Y37" s="1">
        <v>80000</v>
      </c>
      <c r="AA37" s="9" t="s">
        <v>26</v>
      </c>
      <c r="AB37" s="10">
        <v>189.54054054054055</v>
      </c>
      <c r="AC37"/>
    </row>
    <row r="38" spans="1:29" x14ac:dyDescent="0.35">
      <c r="A38" s="1" t="s">
        <v>118</v>
      </c>
      <c r="B38" s="1" t="s">
        <v>1</v>
      </c>
      <c r="C38" s="1" t="s">
        <v>97</v>
      </c>
      <c r="D38" s="1" t="s">
        <v>38</v>
      </c>
      <c r="E38" s="1">
        <v>3329</v>
      </c>
      <c r="F38" s="4">
        <v>10000000</v>
      </c>
      <c r="G38" s="4">
        <v>3003</v>
      </c>
      <c r="H38" s="1">
        <v>4</v>
      </c>
      <c r="I38" s="1">
        <v>3</v>
      </c>
      <c r="J38" s="1">
        <v>16</v>
      </c>
      <c r="K38" s="1" t="s">
        <v>12</v>
      </c>
      <c r="L38" s="1" t="s">
        <v>119</v>
      </c>
      <c r="M38" s="1">
        <v>8</v>
      </c>
      <c r="N38" s="1">
        <v>6</v>
      </c>
      <c r="O38" s="1">
        <v>30350</v>
      </c>
      <c r="P38" s="1">
        <v>3.64</v>
      </c>
      <c r="Q38" s="1" t="s">
        <v>6</v>
      </c>
      <c r="R38" s="3">
        <v>0.43209999999999998</v>
      </c>
      <c r="S38" s="2">
        <v>46049</v>
      </c>
      <c r="T38" s="1">
        <v>356</v>
      </c>
      <c r="U38" s="1" t="s">
        <v>23</v>
      </c>
      <c r="V38" s="1">
        <v>135</v>
      </c>
      <c r="W38" s="1" t="b">
        <v>0</v>
      </c>
      <c r="X38" s="1" t="b">
        <v>0</v>
      </c>
      <c r="Y38" s="1">
        <v>0</v>
      </c>
      <c r="AA38" s="9" t="s">
        <v>94</v>
      </c>
      <c r="AB38" s="10">
        <v>166.51612903225808</v>
      </c>
      <c r="AC38"/>
    </row>
    <row r="39" spans="1:29" x14ac:dyDescent="0.35">
      <c r="A39" s="1" t="s">
        <v>120</v>
      </c>
      <c r="B39" s="1" t="s">
        <v>32</v>
      </c>
      <c r="C39" s="1" t="s">
        <v>33</v>
      </c>
      <c r="D39" s="1" t="s">
        <v>11</v>
      </c>
      <c r="E39" s="1">
        <v>295</v>
      </c>
      <c r="F39" s="4">
        <v>12000000</v>
      </c>
      <c r="G39" s="4">
        <v>40677</v>
      </c>
      <c r="H39" s="1">
        <v>1</v>
      </c>
      <c r="I39" s="1">
        <v>2</v>
      </c>
      <c r="J39" s="1">
        <v>10</v>
      </c>
      <c r="K39" s="1" t="s">
        <v>42</v>
      </c>
      <c r="L39" s="1" t="s">
        <v>121</v>
      </c>
      <c r="M39" s="1">
        <v>3</v>
      </c>
      <c r="N39" s="1">
        <v>7</v>
      </c>
      <c r="O39" s="1">
        <v>33751</v>
      </c>
      <c r="P39" s="1">
        <v>3.38</v>
      </c>
      <c r="Q39" s="1" t="s">
        <v>6</v>
      </c>
      <c r="R39" s="3">
        <v>0.41880000000000001</v>
      </c>
      <c r="S39" s="2">
        <v>45786</v>
      </c>
      <c r="T39" s="1">
        <v>27</v>
      </c>
      <c r="U39" s="1" t="s">
        <v>30</v>
      </c>
      <c r="V39" s="1">
        <v>143</v>
      </c>
      <c r="W39" s="1" t="b">
        <v>1</v>
      </c>
      <c r="X39" s="1" t="b">
        <v>0</v>
      </c>
      <c r="Y39" s="1">
        <v>24000</v>
      </c>
      <c r="AA39" s="9" t="s">
        <v>82</v>
      </c>
      <c r="AB39" s="10">
        <v>159.31428571428572</v>
      </c>
      <c r="AC39"/>
    </row>
    <row r="40" spans="1:29" x14ac:dyDescent="0.35">
      <c r="A40" s="1" t="s">
        <v>122</v>
      </c>
      <c r="B40" s="1" t="s">
        <v>54</v>
      </c>
      <c r="C40" s="1" t="s">
        <v>89</v>
      </c>
      <c r="D40" s="1" t="s">
        <v>11</v>
      </c>
      <c r="E40" s="1">
        <v>312</v>
      </c>
      <c r="F40" s="4">
        <v>26019572</v>
      </c>
      <c r="G40" s="4">
        <v>83396</v>
      </c>
      <c r="H40" s="1">
        <v>0</v>
      </c>
      <c r="I40" s="1">
        <v>1</v>
      </c>
      <c r="J40" s="1">
        <v>22</v>
      </c>
      <c r="K40" s="1" t="s">
        <v>21</v>
      </c>
      <c r="L40" s="1" t="s">
        <v>123</v>
      </c>
      <c r="M40" s="1">
        <v>4</v>
      </c>
      <c r="N40" s="1">
        <v>4</v>
      </c>
      <c r="O40" s="1">
        <v>108079</v>
      </c>
      <c r="P40" s="1">
        <v>4.9800000000000004</v>
      </c>
      <c r="Q40" s="1" t="s">
        <v>14</v>
      </c>
      <c r="R40" s="3">
        <v>0.49920000000000003</v>
      </c>
      <c r="S40" s="2">
        <v>46040</v>
      </c>
      <c r="T40" s="1">
        <v>256</v>
      </c>
      <c r="U40" s="1" t="s">
        <v>7</v>
      </c>
      <c r="V40" s="1">
        <v>69</v>
      </c>
      <c r="W40" s="1" t="b">
        <v>0</v>
      </c>
      <c r="X40" s="1" t="b">
        <v>0</v>
      </c>
      <c r="Y40" s="1">
        <v>0</v>
      </c>
      <c r="AA40" s="9" t="s">
        <v>37</v>
      </c>
      <c r="AB40" s="10">
        <v>190.90322580645162</v>
      </c>
      <c r="AC40"/>
    </row>
    <row r="41" spans="1:29" x14ac:dyDescent="0.35">
      <c r="A41" s="1" t="s">
        <v>124</v>
      </c>
      <c r="B41" s="1" t="s">
        <v>18</v>
      </c>
      <c r="C41" s="1" t="s">
        <v>19</v>
      </c>
      <c r="D41" s="1" t="s">
        <v>27</v>
      </c>
      <c r="E41" s="1">
        <v>5741</v>
      </c>
      <c r="F41" s="4">
        <v>15000000</v>
      </c>
      <c r="G41" s="4">
        <v>2612</v>
      </c>
      <c r="H41" s="1">
        <v>4</v>
      </c>
      <c r="I41" s="1">
        <v>3</v>
      </c>
      <c r="J41" s="1">
        <v>6</v>
      </c>
      <c r="K41" s="1" t="s">
        <v>28</v>
      </c>
      <c r="L41" s="1" t="s">
        <v>125</v>
      </c>
      <c r="M41" s="1">
        <v>7</v>
      </c>
      <c r="N41" s="1">
        <v>9</v>
      </c>
      <c r="O41" s="1">
        <v>44963</v>
      </c>
      <c r="P41" s="1">
        <v>3.6</v>
      </c>
      <c r="Q41" s="1" t="s">
        <v>6</v>
      </c>
      <c r="R41" s="3">
        <v>0.4299</v>
      </c>
      <c r="S41" s="2">
        <v>45555</v>
      </c>
      <c r="T41" s="1">
        <v>77</v>
      </c>
      <c r="U41" s="1" t="s">
        <v>7</v>
      </c>
      <c r="V41" s="1">
        <v>155</v>
      </c>
      <c r="W41" s="1" t="b">
        <v>0</v>
      </c>
      <c r="X41" s="1" t="b">
        <v>0</v>
      </c>
      <c r="Y41" s="1">
        <v>0</v>
      </c>
      <c r="AA41" s="9" t="s">
        <v>314</v>
      </c>
      <c r="AB41" s="10">
        <v>173.17857142857142</v>
      </c>
      <c r="AC41"/>
    </row>
    <row r="42" spans="1:29" x14ac:dyDescent="0.35">
      <c r="A42" s="1" t="s">
        <v>126</v>
      </c>
      <c r="B42" s="1" t="s">
        <v>54</v>
      </c>
      <c r="C42" s="1" t="s">
        <v>79</v>
      </c>
      <c r="D42" s="1" t="s">
        <v>38</v>
      </c>
      <c r="E42" s="1">
        <v>6090</v>
      </c>
      <c r="F42" s="4">
        <v>40000000</v>
      </c>
      <c r="G42" s="4">
        <v>6568</v>
      </c>
      <c r="H42" s="1">
        <v>5</v>
      </c>
      <c r="I42" s="1">
        <v>3</v>
      </c>
      <c r="J42" s="1">
        <v>27</v>
      </c>
      <c r="K42" s="1" t="s">
        <v>21</v>
      </c>
      <c r="L42" s="1" t="s">
        <v>127</v>
      </c>
      <c r="M42" s="1">
        <v>4</v>
      </c>
      <c r="N42" s="1">
        <v>7</v>
      </c>
      <c r="O42" s="1">
        <v>149647</v>
      </c>
      <c r="P42" s="1">
        <v>4.49</v>
      </c>
      <c r="Q42" s="1" t="s">
        <v>14</v>
      </c>
      <c r="R42" s="3">
        <v>0.47450000000000003</v>
      </c>
      <c r="S42" s="2">
        <v>45434</v>
      </c>
      <c r="T42" s="1">
        <v>340</v>
      </c>
      <c r="U42" s="1" t="s">
        <v>23</v>
      </c>
      <c r="V42" s="1">
        <v>128</v>
      </c>
      <c r="W42" s="1" t="b">
        <v>1</v>
      </c>
      <c r="X42" s="1" t="b">
        <v>0</v>
      </c>
      <c r="Y42" s="1">
        <v>80000</v>
      </c>
      <c r="AA42" s="6" t="s">
        <v>1</v>
      </c>
      <c r="AB42" s="10">
        <v>187.55865921787711</v>
      </c>
      <c r="AC42"/>
    </row>
    <row r="43" spans="1:29" x14ac:dyDescent="0.35">
      <c r="A43" s="1" t="s">
        <v>128</v>
      </c>
      <c r="B43" s="1" t="s">
        <v>25</v>
      </c>
      <c r="C43" s="1" t="s">
        <v>37</v>
      </c>
      <c r="D43" s="1" t="s">
        <v>38</v>
      </c>
      <c r="E43" s="1">
        <v>5719</v>
      </c>
      <c r="F43" s="4">
        <v>30000000</v>
      </c>
      <c r="G43" s="4">
        <v>5245</v>
      </c>
      <c r="H43" s="1">
        <v>4</v>
      </c>
      <c r="I43" s="1">
        <v>3</v>
      </c>
      <c r="J43" s="1">
        <v>3</v>
      </c>
      <c r="K43" s="1" t="s">
        <v>42</v>
      </c>
      <c r="L43" s="1" t="s">
        <v>129</v>
      </c>
      <c r="M43" s="1">
        <v>7</v>
      </c>
      <c r="N43" s="1">
        <v>9</v>
      </c>
      <c r="O43" s="1">
        <v>88251</v>
      </c>
      <c r="P43" s="1">
        <v>3.53</v>
      </c>
      <c r="Q43" s="1" t="s">
        <v>14</v>
      </c>
      <c r="R43" s="3">
        <v>0.42649999999999999</v>
      </c>
      <c r="S43" s="2">
        <v>45518</v>
      </c>
      <c r="T43" s="1">
        <v>169</v>
      </c>
      <c r="U43" s="1" t="s">
        <v>30</v>
      </c>
      <c r="V43" s="1">
        <v>50</v>
      </c>
      <c r="W43" s="1" t="b">
        <v>0</v>
      </c>
      <c r="X43" s="1" t="b">
        <v>0</v>
      </c>
      <c r="Y43" s="1">
        <v>0</v>
      </c>
      <c r="AA43" s="9" t="s">
        <v>2</v>
      </c>
      <c r="AB43" s="10">
        <v>206.15384615384616</v>
      </c>
      <c r="AC43"/>
    </row>
    <row r="44" spans="1:29" x14ac:dyDescent="0.35">
      <c r="A44" s="1" t="s">
        <v>130</v>
      </c>
      <c r="B44" s="1" t="s">
        <v>32</v>
      </c>
      <c r="C44" s="1" t="s">
        <v>33</v>
      </c>
      <c r="D44" s="1" t="s">
        <v>38</v>
      </c>
      <c r="E44" s="1">
        <v>3560</v>
      </c>
      <c r="F44" s="4">
        <v>12000000</v>
      </c>
      <c r="G44" s="4">
        <v>3370</v>
      </c>
      <c r="H44" s="1">
        <v>4</v>
      </c>
      <c r="I44" s="1">
        <v>3</v>
      </c>
      <c r="J44" s="1">
        <v>7</v>
      </c>
      <c r="K44" s="1" t="s">
        <v>34</v>
      </c>
      <c r="L44" s="1" t="s">
        <v>131</v>
      </c>
      <c r="M44" s="1">
        <v>8</v>
      </c>
      <c r="N44" s="1">
        <v>6</v>
      </c>
      <c r="O44" s="1">
        <v>30919</v>
      </c>
      <c r="P44" s="1">
        <v>3.09</v>
      </c>
      <c r="Q44" s="1" t="s">
        <v>6</v>
      </c>
      <c r="R44" s="3">
        <v>0.40460000000000002</v>
      </c>
      <c r="S44" s="2">
        <v>46099</v>
      </c>
      <c r="T44" s="1">
        <v>75</v>
      </c>
      <c r="U44" s="1" t="s">
        <v>7</v>
      </c>
      <c r="V44" s="1">
        <v>140</v>
      </c>
      <c r="W44" s="1" t="b">
        <v>1</v>
      </c>
      <c r="X44" s="1" t="b">
        <v>0</v>
      </c>
      <c r="Y44" s="1">
        <v>24000</v>
      </c>
      <c r="AA44" s="9" t="s">
        <v>97</v>
      </c>
      <c r="AB44" s="10">
        <v>198.55882352941177</v>
      </c>
      <c r="AC44"/>
    </row>
    <row r="45" spans="1:29" x14ac:dyDescent="0.35">
      <c r="A45" s="1" t="s">
        <v>132</v>
      </c>
      <c r="B45" s="1" t="s">
        <v>25</v>
      </c>
      <c r="C45" s="1" t="s">
        <v>82</v>
      </c>
      <c r="D45" s="1" t="s">
        <v>3</v>
      </c>
      <c r="E45" s="1">
        <v>2896</v>
      </c>
      <c r="F45" s="4">
        <v>30000000</v>
      </c>
      <c r="G45" s="4">
        <v>10359</v>
      </c>
      <c r="H45" s="1">
        <v>4</v>
      </c>
      <c r="I45" s="1">
        <v>2</v>
      </c>
      <c r="J45" s="1">
        <v>15</v>
      </c>
      <c r="K45" s="1" t="s">
        <v>28</v>
      </c>
      <c r="L45" s="1" t="s">
        <v>133</v>
      </c>
      <c r="M45" s="1">
        <v>7</v>
      </c>
      <c r="N45" s="1">
        <v>5</v>
      </c>
      <c r="O45" s="1">
        <v>98262</v>
      </c>
      <c r="P45" s="1">
        <v>3.93</v>
      </c>
      <c r="Q45" s="1" t="s">
        <v>14</v>
      </c>
      <c r="R45" s="3">
        <v>0.44650000000000001</v>
      </c>
      <c r="S45" s="2">
        <v>45862</v>
      </c>
      <c r="T45" s="1">
        <v>227</v>
      </c>
      <c r="U45" s="1" t="s">
        <v>30</v>
      </c>
      <c r="V45" s="1">
        <v>48</v>
      </c>
      <c r="W45" s="1" t="b">
        <v>0</v>
      </c>
      <c r="X45" s="1" t="b">
        <v>0</v>
      </c>
      <c r="Y45" s="1">
        <v>0</v>
      </c>
      <c r="AA45" s="9" t="s">
        <v>51</v>
      </c>
      <c r="AB45" s="10">
        <v>196.19444444444446</v>
      </c>
      <c r="AC45"/>
    </row>
    <row r="46" spans="1:29" x14ac:dyDescent="0.35">
      <c r="A46" s="1" t="s">
        <v>134</v>
      </c>
      <c r="B46" s="1" t="s">
        <v>1</v>
      </c>
      <c r="C46" s="1" t="s">
        <v>97</v>
      </c>
      <c r="D46" s="1" t="s">
        <v>11</v>
      </c>
      <c r="E46" s="1">
        <v>404</v>
      </c>
      <c r="F46" s="4">
        <v>10000000</v>
      </c>
      <c r="G46" s="4">
        <v>24752</v>
      </c>
      <c r="H46" s="1">
        <v>0</v>
      </c>
      <c r="I46" s="1">
        <v>2</v>
      </c>
      <c r="J46" s="1">
        <v>27</v>
      </c>
      <c r="K46" s="1" t="s">
        <v>34</v>
      </c>
      <c r="L46" s="1" t="s">
        <v>135</v>
      </c>
      <c r="M46" s="1">
        <v>6</v>
      </c>
      <c r="N46" s="1">
        <v>4</v>
      </c>
      <c r="O46" s="1">
        <v>29920</v>
      </c>
      <c r="P46" s="1">
        <v>3.59</v>
      </c>
      <c r="Q46" s="1" t="s">
        <v>6</v>
      </c>
      <c r="R46" s="3">
        <v>0.42950000000000005</v>
      </c>
      <c r="S46" s="2">
        <v>45482</v>
      </c>
      <c r="T46" s="1">
        <v>352</v>
      </c>
      <c r="U46" s="1" t="s">
        <v>7</v>
      </c>
      <c r="V46" s="1">
        <v>174</v>
      </c>
      <c r="W46" s="1" t="b">
        <v>1</v>
      </c>
      <c r="X46" s="1" t="b">
        <v>0</v>
      </c>
      <c r="Y46" s="1">
        <v>0</v>
      </c>
      <c r="AA46" s="9" t="s">
        <v>45</v>
      </c>
      <c r="AB46" s="10">
        <v>170.75</v>
      </c>
      <c r="AC46"/>
    </row>
    <row r="47" spans="1:29" x14ac:dyDescent="0.35">
      <c r="A47" s="1" t="s">
        <v>136</v>
      </c>
      <c r="B47" s="1" t="s">
        <v>25</v>
      </c>
      <c r="C47" s="1" t="s">
        <v>37</v>
      </c>
      <c r="D47" s="1" t="s">
        <v>20</v>
      </c>
      <c r="E47" s="1">
        <v>2397</v>
      </c>
      <c r="F47" s="4">
        <v>30000000</v>
      </c>
      <c r="G47" s="4">
        <v>12515</v>
      </c>
      <c r="H47" s="1">
        <v>3</v>
      </c>
      <c r="I47" s="1">
        <v>2</v>
      </c>
      <c r="J47" s="1">
        <v>21</v>
      </c>
      <c r="K47" s="1" t="s">
        <v>61</v>
      </c>
      <c r="L47" s="1" t="s">
        <v>137</v>
      </c>
      <c r="M47" s="1">
        <v>8</v>
      </c>
      <c r="N47" s="1">
        <v>5</v>
      </c>
      <c r="O47" s="1">
        <v>89755</v>
      </c>
      <c r="P47" s="1">
        <v>3.59</v>
      </c>
      <c r="Q47" s="1" t="s">
        <v>14</v>
      </c>
      <c r="R47" s="3">
        <v>0.42950000000000005</v>
      </c>
      <c r="S47" s="2">
        <v>45731</v>
      </c>
      <c r="T47" s="1">
        <v>188</v>
      </c>
      <c r="U47" s="1" t="s">
        <v>7</v>
      </c>
      <c r="V47" s="1">
        <v>168</v>
      </c>
      <c r="W47" s="1" t="b">
        <v>0</v>
      </c>
      <c r="X47" s="1" t="b">
        <v>1</v>
      </c>
      <c r="Y47" s="1">
        <v>0</v>
      </c>
      <c r="AA47" s="9" t="s">
        <v>48</v>
      </c>
      <c r="AB47" s="10">
        <v>180.22222222222223</v>
      </c>
      <c r="AC47"/>
    </row>
    <row r="48" spans="1:29" x14ac:dyDescent="0.35">
      <c r="A48" s="1" t="s">
        <v>138</v>
      </c>
      <c r="B48" s="1" t="s">
        <v>18</v>
      </c>
      <c r="C48" s="1" t="s">
        <v>139</v>
      </c>
      <c r="D48" s="1" t="s">
        <v>20</v>
      </c>
      <c r="E48" s="1">
        <v>4794</v>
      </c>
      <c r="F48" s="4">
        <v>15000000</v>
      </c>
      <c r="G48" s="4">
        <v>3128</v>
      </c>
      <c r="H48" s="1">
        <v>2</v>
      </c>
      <c r="I48" s="1">
        <v>2</v>
      </c>
      <c r="J48" s="1">
        <v>30</v>
      </c>
      <c r="K48" s="1" t="s">
        <v>12</v>
      </c>
      <c r="L48" s="1" t="s">
        <v>140</v>
      </c>
      <c r="M48" s="1">
        <v>3</v>
      </c>
      <c r="N48" s="1">
        <v>7</v>
      </c>
      <c r="O48" s="1">
        <v>47364</v>
      </c>
      <c r="P48" s="1">
        <v>3.79</v>
      </c>
      <c r="Q48" s="1" t="s">
        <v>6</v>
      </c>
      <c r="R48" s="3">
        <v>0.4395</v>
      </c>
      <c r="S48" s="2">
        <v>45886</v>
      </c>
      <c r="T48" s="1">
        <v>345</v>
      </c>
      <c r="U48" s="1" t="s">
        <v>7</v>
      </c>
      <c r="V48" s="1">
        <v>124</v>
      </c>
      <c r="W48" s="1" t="b">
        <v>0</v>
      </c>
      <c r="X48" s="1" t="b">
        <v>0</v>
      </c>
      <c r="Y48" s="1">
        <v>0</v>
      </c>
      <c r="AA48" s="9" t="s">
        <v>303</v>
      </c>
      <c r="AB48" s="10">
        <v>169.54166666666666</v>
      </c>
      <c r="AC48"/>
    </row>
    <row r="49" spans="1:29" x14ac:dyDescent="0.35">
      <c r="A49" s="1" t="s">
        <v>141</v>
      </c>
      <c r="B49" s="1" t="s">
        <v>9</v>
      </c>
      <c r="C49" s="1" t="s">
        <v>142</v>
      </c>
      <c r="D49" s="1" t="s">
        <v>27</v>
      </c>
      <c r="E49" s="1">
        <v>5862</v>
      </c>
      <c r="F49" s="4">
        <v>50000000</v>
      </c>
      <c r="G49" s="4">
        <v>8529</v>
      </c>
      <c r="H49" s="1">
        <v>3</v>
      </c>
      <c r="I49" s="1">
        <v>2</v>
      </c>
      <c r="J49" s="1">
        <v>29</v>
      </c>
      <c r="K49" s="1" t="s">
        <v>61</v>
      </c>
      <c r="L49" s="1" t="s">
        <v>143</v>
      </c>
      <c r="M49" s="1">
        <v>7</v>
      </c>
      <c r="N49" s="1">
        <v>5</v>
      </c>
      <c r="O49" s="1">
        <v>128101</v>
      </c>
      <c r="P49" s="1">
        <v>3.07</v>
      </c>
      <c r="Q49" s="1" t="s">
        <v>14</v>
      </c>
      <c r="R49" s="3">
        <v>0.40369999999999995</v>
      </c>
      <c r="S49" s="2">
        <v>45652</v>
      </c>
      <c r="T49" s="1">
        <v>70</v>
      </c>
      <c r="U49" s="1" t="s">
        <v>7</v>
      </c>
      <c r="V49" s="1">
        <v>167</v>
      </c>
      <c r="W49" s="1" t="b">
        <v>0</v>
      </c>
      <c r="X49" s="1" t="b">
        <v>0</v>
      </c>
      <c r="Y49" s="1">
        <v>0</v>
      </c>
      <c r="AA49" s="6" t="s">
        <v>54</v>
      </c>
      <c r="AB49" s="10">
        <v>176.43373493975903</v>
      </c>
      <c r="AC49"/>
    </row>
    <row r="50" spans="1:29" x14ac:dyDescent="0.35">
      <c r="A50" s="1" t="s">
        <v>144</v>
      </c>
      <c r="B50" s="1" t="s">
        <v>1</v>
      </c>
      <c r="C50" s="1" t="s">
        <v>45</v>
      </c>
      <c r="D50" s="1" t="s">
        <v>38</v>
      </c>
      <c r="E50" s="1">
        <v>6433</v>
      </c>
      <c r="F50" s="4">
        <v>10000000</v>
      </c>
      <c r="G50" s="4">
        <v>1554</v>
      </c>
      <c r="H50" s="1">
        <v>6</v>
      </c>
      <c r="I50" s="1">
        <v>3</v>
      </c>
      <c r="J50" s="1">
        <v>28</v>
      </c>
      <c r="K50" s="1" t="s">
        <v>4</v>
      </c>
      <c r="L50" s="1" t="s">
        <v>145</v>
      </c>
      <c r="M50" s="1">
        <v>6</v>
      </c>
      <c r="N50" s="1">
        <v>9</v>
      </c>
      <c r="O50" s="1">
        <v>40842</v>
      </c>
      <c r="P50" s="1">
        <v>4.9000000000000004</v>
      </c>
      <c r="Q50" s="1" t="s">
        <v>6</v>
      </c>
      <c r="R50" s="3">
        <v>0.49509999999999998</v>
      </c>
      <c r="S50" s="2">
        <v>45785</v>
      </c>
      <c r="T50" s="1">
        <v>279</v>
      </c>
      <c r="U50" s="1" t="s">
        <v>7</v>
      </c>
      <c r="V50" s="1">
        <v>124</v>
      </c>
      <c r="W50" s="1" t="b">
        <v>0</v>
      </c>
      <c r="X50" s="1" t="b">
        <v>1</v>
      </c>
      <c r="Y50" s="1">
        <v>0</v>
      </c>
      <c r="AA50" s="9" t="s">
        <v>89</v>
      </c>
      <c r="AB50" s="10">
        <v>140.26470588235293</v>
      </c>
      <c r="AC50"/>
    </row>
    <row r="51" spans="1:29" x14ac:dyDescent="0.35">
      <c r="A51" s="1" t="s">
        <v>146</v>
      </c>
      <c r="B51" s="1" t="s">
        <v>54</v>
      </c>
      <c r="C51" s="1" t="s">
        <v>55</v>
      </c>
      <c r="D51" s="1" t="s">
        <v>3</v>
      </c>
      <c r="E51" s="1">
        <v>2262</v>
      </c>
      <c r="F51" s="4">
        <v>40000000</v>
      </c>
      <c r="G51" s="4">
        <v>17683</v>
      </c>
      <c r="H51" s="1">
        <v>1</v>
      </c>
      <c r="I51" s="1">
        <v>1</v>
      </c>
      <c r="J51" s="1">
        <v>20</v>
      </c>
      <c r="K51" s="1" t="s">
        <v>4</v>
      </c>
      <c r="L51" s="1" t="s">
        <v>147</v>
      </c>
      <c r="M51" s="1">
        <v>8</v>
      </c>
      <c r="N51" s="1">
        <v>10</v>
      </c>
      <c r="O51" s="1">
        <v>151010</v>
      </c>
      <c r="P51" s="1">
        <v>4.53</v>
      </c>
      <c r="Q51" s="1" t="s">
        <v>14</v>
      </c>
      <c r="R51" s="3">
        <v>0.47649999999999998</v>
      </c>
      <c r="S51" s="2">
        <v>45944</v>
      </c>
      <c r="T51" s="1">
        <v>169</v>
      </c>
      <c r="U51" s="1" t="s">
        <v>7</v>
      </c>
      <c r="V51" s="1">
        <v>89</v>
      </c>
      <c r="W51" s="1" t="b">
        <v>1</v>
      </c>
      <c r="X51" s="1" t="b">
        <v>1</v>
      </c>
      <c r="Y51" s="1">
        <v>0</v>
      </c>
      <c r="AA51" s="9" t="s">
        <v>55</v>
      </c>
      <c r="AB51" s="10">
        <v>171.24137931034483</v>
      </c>
      <c r="AC51"/>
    </row>
    <row r="52" spans="1:29" x14ac:dyDescent="0.35">
      <c r="A52" s="1" t="s">
        <v>148</v>
      </c>
      <c r="B52" s="1" t="s">
        <v>25</v>
      </c>
      <c r="C52" s="1" t="s">
        <v>82</v>
      </c>
      <c r="D52" s="1" t="s">
        <v>38</v>
      </c>
      <c r="E52" s="1">
        <v>5053</v>
      </c>
      <c r="F52" s="4">
        <v>30000000</v>
      </c>
      <c r="G52" s="4">
        <v>5937</v>
      </c>
      <c r="H52" s="1">
        <v>4</v>
      </c>
      <c r="I52" s="1">
        <v>2</v>
      </c>
      <c r="J52" s="1">
        <v>21</v>
      </c>
      <c r="K52" s="1" t="s">
        <v>4</v>
      </c>
      <c r="L52" s="1" t="s">
        <v>149</v>
      </c>
      <c r="M52" s="1">
        <v>3</v>
      </c>
      <c r="N52" s="1">
        <v>9</v>
      </c>
      <c r="O52" s="1">
        <v>75789</v>
      </c>
      <c r="P52" s="1">
        <v>3.03</v>
      </c>
      <c r="Q52" s="1" t="s">
        <v>14</v>
      </c>
      <c r="R52" s="3">
        <v>0.40159999999999996</v>
      </c>
      <c r="S52" s="2">
        <v>45885</v>
      </c>
      <c r="T52" s="1">
        <v>270</v>
      </c>
      <c r="U52" s="1" t="s">
        <v>7</v>
      </c>
      <c r="V52" s="1">
        <v>137</v>
      </c>
      <c r="W52" s="1" t="b">
        <v>1</v>
      </c>
      <c r="X52" s="1" t="b">
        <v>1</v>
      </c>
      <c r="Y52" s="1">
        <v>0</v>
      </c>
      <c r="AA52" s="9" t="s">
        <v>72</v>
      </c>
      <c r="AB52" s="10">
        <v>200.2</v>
      </c>
    </row>
    <row r="53" spans="1:29" x14ac:dyDescent="0.35">
      <c r="A53" s="1" t="s">
        <v>150</v>
      </c>
      <c r="B53" s="1" t="s">
        <v>18</v>
      </c>
      <c r="C53" s="1" t="s">
        <v>139</v>
      </c>
      <c r="D53" s="1" t="s">
        <v>38</v>
      </c>
      <c r="E53" s="1">
        <v>7863</v>
      </c>
      <c r="F53" s="4">
        <v>15000000</v>
      </c>
      <c r="G53" s="4">
        <v>1907</v>
      </c>
      <c r="H53" s="1">
        <v>4</v>
      </c>
      <c r="I53" s="1">
        <v>3</v>
      </c>
      <c r="J53" s="1">
        <v>16</v>
      </c>
      <c r="K53" s="1" t="s">
        <v>28</v>
      </c>
      <c r="L53" s="1" t="s">
        <v>151</v>
      </c>
      <c r="M53" s="1">
        <v>4</v>
      </c>
      <c r="N53" s="1">
        <v>4</v>
      </c>
      <c r="O53" s="1">
        <v>49474</v>
      </c>
      <c r="P53" s="1">
        <v>3.96</v>
      </c>
      <c r="Q53" s="1" t="s">
        <v>6</v>
      </c>
      <c r="R53" s="3">
        <v>0.44789999999999996</v>
      </c>
      <c r="S53" s="2">
        <v>45745</v>
      </c>
      <c r="T53" s="1">
        <v>365</v>
      </c>
      <c r="U53" s="1" t="s">
        <v>7</v>
      </c>
      <c r="V53" s="1">
        <v>155</v>
      </c>
      <c r="W53" s="1" t="b">
        <v>0</v>
      </c>
      <c r="X53" s="1" t="b">
        <v>1</v>
      </c>
      <c r="Y53" s="1">
        <v>30000</v>
      </c>
      <c r="AA53" s="9" t="s">
        <v>104</v>
      </c>
      <c r="AB53" s="10">
        <v>179.92307692307693</v>
      </c>
    </row>
    <row r="54" spans="1:29" x14ac:dyDescent="0.35">
      <c r="A54" s="1" t="s">
        <v>152</v>
      </c>
      <c r="B54" s="1" t="s">
        <v>54</v>
      </c>
      <c r="C54" s="1" t="s">
        <v>79</v>
      </c>
      <c r="D54" s="1" t="s">
        <v>27</v>
      </c>
      <c r="E54" s="1">
        <v>2538</v>
      </c>
      <c r="F54" s="4">
        <v>40000000</v>
      </c>
      <c r="G54" s="4">
        <v>15760</v>
      </c>
      <c r="H54" s="1">
        <v>4</v>
      </c>
      <c r="I54" s="1">
        <v>3</v>
      </c>
      <c r="J54" s="1">
        <v>19</v>
      </c>
      <c r="K54" s="1" t="s">
        <v>21</v>
      </c>
      <c r="L54" s="1" t="s">
        <v>153</v>
      </c>
      <c r="M54" s="1">
        <v>8</v>
      </c>
      <c r="N54" s="1">
        <v>10</v>
      </c>
      <c r="O54" s="1">
        <v>146785</v>
      </c>
      <c r="P54" s="1">
        <v>4.4000000000000004</v>
      </c>
      <c r="Q54" s="1" t="s">
        <v>14</v>
      </c>
      <c r="R54" s="3">
        <v>0.47020000000000001</v>
      </c>
      <c r="S54" s="2">
        <v>45486</v>
      </c>
      <c r="T54" s="1">
        <v>111</v>
      </c>
      <c r="U54" s="1" t="s">
        <v>30</v>
      </c>
      <c r="V54" s="1">
        <v>171</v>
      </c>
      <c r="W54" s="1" t="b">
        <v>0</v>
      </c>
      <c r="X54" s="1" t="b">
        <v>0</v>
      </c>
      <c r="Y54" s="1">
        <v>80000</v>
      </c>
      <c r="AA54" s="9" t="s">
        <v>79</v>
      </c>
      <c r="AB54" s="10">
        <v>190.7</v>
      </c>
    </row>
    <row r="55" spans="1:29" x14ac:dyDescent="0.35">
      <c r="A55" s="1" t="s">
        <v>154</v>
      </c>
      <c r="B55" s="1" t="s">
        <v>18</v>
      </c>
      <c r="C55" s="1" t="s">
        <v>139</v>
      </c>
      <c r="D55" s="1" t="s">
        <v>11</v>
      </c>
      <c r="E55" s="1">
        <v>454</v>
      </c>
      <c r="F55" s="4">
        <v>15000000</v>
      </c>
      <c r="G55" s="4">
        <v>33039</v>
      </c>
      <c r="H55" s="1">
        <v>1</v>
      </c>
      <c r="I55" s="1">
        <v>1</v>
      </c>
      <c r="J55" s="1">
        <v>10</v>
      </c>
      <c r="K55" s="1" t="s">
        <v>58</v>
      </c>
      <c r="L55" s="1" t="s">
        <v>155</v>
      </c>
      <c r="M55" s="1">
        <v>6</v>
      </c>
      <c r="N55" s="1">
        <v>9</v>
      </c>
      <c r="O55" s="1">
        <v>39634</v>
      </c>
      <c r="P55" s="1">
        <v>3.17</v>
      </c>
      <c r="Q55" s="1" t="s">
        <v>6</v>
      </c>
      <c r="R55" s="3">
        <v>0.40850000000000003</v>
      </c>
      <c r="S55" s="2">
        <v>45714</v>
      </c>
      <c r="T55" s="1">
        <v>67</v>
      </c>
      <c r="U55" s="1" t="s">
        <v>7</v>
      </c>
      <c r="V55" s="1">
        <v>125</v>
      </c>
      <c r="W55" s="1" t="b">
        <v>1</v>
      </c>
      <c r="X55" s="1" t="b">
        <v>0</v>
      </c>
      <c r="Y55" s="1">
        <v>30000</v>
      </c>
      <c r="AA55" s="9" t="s">
        <v>64</v>
      </c>
      <c r="AB55" s="10">
        <v>189.25</v>
      </c>
    </row>
    <row r="56" spans="1:29" x14ac:dyDescent="0.35">
      <c r="A56" s="1" t="s">
        <v>156</v>
      </c>
      <c r="B56" s="1" t="s">
        <v>18</v>
      </c>
      <c r="C56" s="1" t="s">
        <v>139</v>
      </c>
      <c r="D56" s="1" t="s">
        <v>11</v>
      </c>
      <c r="E56" s="1">
        <v>276</v>
      </c>
      <c r="F56" s="4">
        <v>15000000</v>
      </c>
      <c r="G56" s="4">
        <v>54347</v>
      </c>
      <c r="H56" s="1">
        <v>1</v>
      </c>
      <c r="I56" s="1">
        <v>2</v>
      </c>
      <c r="J56" s="1">
        <v>11</v>
      </c>
      <c r="K56" s="1" t="s">
        <v>61</v>
      </c>
      <c r="L56" s="1" t="s">
        <v>157</v>
      </c>
      <c r="M56" s="1">
        <v>3</v>
      </c>
      <c r="N56" s="1">
        <v>8</v>
      </c>
      <c r="O56" s="1">
        <v>43106</v>
      </c>
      <c r="P56" s="1">
        <v>3.45</v>
      </c>
      <c r="Q56" s="1" t="s">
        <v>6</v>
      </c>
      <c r="R56" s="3">
        <v>0.4224</v>
      </c>
      <c r="S56" s="2">
        <v>46046</v>
      </c>
      <c r="T56" s="1">
        <v>59</v>
      </c>
      <c r="U56" s="1" t="s">
        <v>7</v>
      </c>
      <c r="V56" s="1">
        <v>124</v>
      </c>
      <c r="W56" s="1" t="b">
        <v>0</v>
      </c>
      <c r="X56" s="1" t="b">
        <v>1</v>
      </c>
      <c r="Y56" s="1">
        <v>0</v>
      </c>
      <c r="AA56" s="6" t="s">
        <v>32</v>
      </c>
      <c r="AB56" s="10">
        <v>187.8095238095238</v>
      </c>
    </row>
    <row r="57" spans="1:29" x14ac:dyDescent="0.35">
      <c r="A57" s="1" t="s">
        <v>158</v>
      </c>
      <c r="B57" s="1" t="s">
        <v>32</v>
      </c>
      <c r="C57" s="1" t="s">
        <v>67</v>
      </c>
      <c r="D57" s="1" t="s">
        <v>38</v>
      </c>
      <c r="E57" s="1">
        <v>8529</v>
      </c>
      <c r="F57" s="4">
        <v>12000000</v>
      </c>
      <c r="G57" s="4">
        <v>1406</v>
      </c>
      <c r="H57" s="1">
        <v>6</v>
      </c>
      <c r="I57" s="1">
        <v>3</v>
      </c>
      <c r="J57" s="1">
        <v>19</v>
      </c>
      <c r="K57" s="1" t="s">
        <v>28</v>
      </c>
      <c r="L57" s="1" t="s">
        <v>159</v>
      </c>
      <c r="M57" s="1">
        <v>8</v>
      </c>
      <c r="N57" s="1">
        <v>5</v>
      </c>
      <c r="O57" s="1">
        <v>32865</v>
      </c>
      <c r="P57" s="1">
        <v>3.29</v>
      </c>
      <c r="Q57" s="1" t="s">
        <v>6</v>
      </c>
      <c r="R57" s="3">
        <v>0.4143</v>
      </c>
      <c r="S57" s="2">
        <v>45483</v>
      </c>
      <c r="T57" s="1">
        <v>47</v>
      </c>
      <c r="U57" s="1" t="s">
        <v>7</v>
      </c>
      <c r="V57" s="1">
        <v>37</v>
      </c>
      <c r="W57" s="1" t="b">
        <v>1</v>
      </c>
      <c r="X57" s="1" t="b">
        <v>0</v>
      </c>
      <c r="Y57" s="1">
        <v>0</v>
      </c>
      <c r="AA57" s="9" t="s">
        <v>197</v>
      </c>
      <c r="AB57" s="10">
        <v>170.5185185185185</v>
      </c>
    </row>
    <row r="58" spans="1:29" x14ac:dyDescent="0.35">
      <c r="A58" s="1" t="s">
        <v>160</v>
      </c>
      <c r="B58" s="1" t="s">
        <v>18</v>
      </c>
      <c r="C58" s="1" t="s">
        <v>139</v>
      </c>
      <c r="D58" s="1" t="s">
        <v>27</v>
      </c>
      <c r="E58" s="1">
        <v>5031</v>
      </c>
      <c r="F58" s="4">
        <v>15000000</v>
      </c>
      <c r="G58" s="4">
        <v>2981</v>
      </c>
      <c r="H58" s="1">
        <v>5</v>
      </c>
      <c r="I58" s="1">
        <v>3</v>
      </c>
      <c r="J58" s="1">
        <v>24</v>
      </c>
      <c r="K58" s="1" t="s">
        <v>58</v>
      </c>
      <c r="L58" s="1" t="s">
        <v>161</v>
      </c>
      <c r="M58" s="1">
        <v>7</v>
      </c>
      <c r="N58" s="1">
        <v>7</v>
      </c>
      <c r="O58" s="1">
        <v>54048</v>
      </c>
      <c r="P58" s="1">
        <v>4.32</v>
      </c>
      <c r="Q58" s="1" t="s">
        <v>6</v>
      </c>
      <c r="R58" s="3">
        <v>0.46619999999999995</v>
      </c>
      <c r="S58" s="2">
        <v>45659</v>
      </c>
      <c r="T58" s="1">
        <v>111</v>
      </c>
      <c r="U58" s="1" t="s">
        <v>30</v>
      </c>
      <c r="V58" s="1">
        <v>99</v>
      </c>
      <c r="W58" s="1" t="b">
        <v>1</v>
      </c>
      <c r="X58" s="1" t="b">
        <v>0</v>
      </c>
      <c r="Y58" s="1">
        <v>0</v>
      </c>
      <c r="AA58" s="9" t="s">
        <v>194</v>
      </c>
      <c r="AB58" s="10">
        <v>213.57692307692307</v>
      </c>
    </row>
    <row r="59" spans="1:29" x14ac:dyDescent="0.35">
      <c r="A59" s="1" t="s">
        <v>162</v>
      </c>
      <c r="B59" s="1" t="s">
        <v>9</v>
      </c>
      <c r="C59" s="1" t="s">
        <v>163</v>
      </c>
      <c r="D59" s="1" t="s">
        <v>38</v>
      </c>
      <c r="E59" s="1">
        <v>6986</v>
      </c>
      <c r="F59" s="4">
        <v>50000000</v>
      </c>
      <c r="G59" s="4">
        <v>7157</v>
      </c>
      <c r="H59" s="1">
        <v>6</v>
      </c>
      <c r="I59" s="1">
        <v>4</v>
      </c>
      <c r="J59" s="1">
        <v>1</v>
      </c>
      <c r="K59" s="1" t="s">
        <v>34</v>
      </c>
      <c r="L59" s="1" t="s">
        <v>164</v>
      </c>
      <c r="M59" s="1">
        <v>4</v>
      </c>
      <c r="N59" s="1">
        <v>4</v>
      </c>
      <c r="O59" s="1">
        <v>188945</v>
      </c>
      <c r="P59" s="1">
        <v>4.53</v>
      </c>
      <c r="Q59" s="1" t="s">
        <v>14</v>
      </c>
      <c r="R59" s="3">
        <v>0.47670000000000001</v>
      </c>
      <c r="S59" s="2">
        <v>45895</v>
      </c>
      <c r="T59" s="1">
        <v>255</v>
      </c>
      <c r="U59" s="1" t="s">
        <v>7</v>
      </c>
      <c r="V59" s="1">
        <v>31</v>
      </c>
      <c r="W59" s="1" t="b">
        <v>0</v>
      </c>
      <c r="X59" s="1" t="b">
        <v>1</v>
      </c>
      <c r="Y59" s="1">
        <v>100000</v>
      </c>
      <c r="AA59" s="9" t="s">
        <v>200</v>
      </c>
      <c r="AB59" s="10">
        <v>230.8</v>
      </c>
    </row>
    <row r="60" spans="1:29" x14ac:dyDescent="0.35">
      <c r="A60" s="1" t="s">
        <v>165</v>
      </c>
      <c r="B60" s="1" t="s">
        <v>18</v>
      </c>
      <c r="C60" s="1" t="s">
        <v>166</v>
      </c>
      <c r="D60" s="1" t="s">
        <v>27</v>
      </c>
      <c r="E60" s="1">
        <v>6098</v>
      </c>
      <c r="F60" s="4">
        <v>15000000</v>
      </c>
      <c r="G60" s="4">
        <v>2459</v>
      </c>
      <c r="H60" s="1">
        <v>5</v>
      </c>
      <c r="I60" s="1">
        <v>2</v>
      </c>
      <c r="J60" s="1">
        <v>12</v>
      </c>
      <c r="K60" s="1" t="s">
        <v>21</v>
      </c>
      <c r="L60" s="1" t="s">
        <v>167</v>
      </c>
      <c r="M60" s="1">
        <v>8</v>
      </c>
      <c r="N60" s="1">
        <v>6</v>
      </c>
      <c r="O60" s="1">
        <v>47942</v>
      </c>
      <c r="P60" s="1">
        <v>3.84</v>
      </c>
      <c r="Q60" s="1" t="s">
        <v>6</v>
      </c>
      <c r="R60" s="3">
        <v>0.44179999999999997</v>
      </c>
      <c r="S60" s="2">
        <v>46039</v>
      </c>
      <c r="T60" s="1">
        <v>317</v>
      </c>
      <c r="U60" s="1" t="s">
        <v>7</v>
      </c>
      <c r="V60" s="1">
        <v>73</v>
      </c>
      <c r="W60" s="1" t="b">
        <v>0</v>
      </c>
      <c r="X60" s="1" t="b">
        <v>0</v>
      </c>
      <c r="Y60" s="1">
        <v>30000</v>
      </c>
      <c r="AA60" s="9" t="s">
        <v>33</v>
      </c>
      <c r="AB60" s="10">
        <v>173.93939393939394</v>
      </c>
    </row>
    <row r="61" spans="1:29" x14ac:dyDescent="0.35">
      <c r="A61" s="1" t="s">
        <v>168</v>
      </c>
      <c r="B61" s="1" t="s">
        <v>18</v>
      </c>
      <c r="C61" s="1" t="s">
        <v>169</v>
      </c>
      <c r="D61" s="1" t="s">
        <v>27</v>
      </c>
      <c r="E61" s="1">
        <v>5569</v>
      </c>
      <c r="F61" s="4">
        <v>15000000</v>
      </c>
      <c r="G61" s="4">
        <v>2693</v>
      </c>
      <c r="H61" s="1">
        <v>6</v>
      </c>
      <c r="I61" s="1">
        <v>3</v>
      </c>
      <c r="J61" s="1">
        <v>12</v>
      </c>
      <c r="K61" s="1" t="s">
        <v>58</v>
      </c>
      <c r="L61" s="1" t="s">
        <v>170</v>
      </c>
      <c r="M61" s="1">
        <v>5</v>
      </c>
      <c r="N61" s="1">
        <v>10</v>
      </c>
      <c r="O61" s="1">
        <v>40350</v>
      </c>
      <c r="P61" s="1">
        <v>3.23</v>
      </c>
      <c r="Q61" s="1" t="s">
        <v>6</v>
      </c>
      <c r="R61" s="3">
        <v>0.41139999999999999</v>
      </c>
      <c r="S61" s="2">
        <v>45634</v>
      </c>
      <c r="T61" s="1">
        <v>180</v>
      </c>
      <c r="U61" s="1" t="s">
        <v>7</v>
      </c>
      <c r="V61" s="1">
        <v>119</v>
      </c>
      <c r="W61" s="1" t="b">
        <v>1</v>
      </c>
      <c r="X61" s="1" t="b">
        <v>1</v>
      </c>
      <c r="Y61" s="1">
        <v>30000</v>
      </c>
      <c r="AA61" s="9" t="s">
        <v>67</v>
      </c>
      <c r="AB61" s="10">
        <v>179</v>
      </c>
    </row>
    <row r="62" spans="1:29" x14ac:dyDescent="0.35">
      <c r="A62" s="1" t="s">
        <v>171</v>
      </c>
      <c r="B62" s="1" t="s">
        <v>25</v>
      </c>
      <c r="C62" s="1" t="s">
        <v>26</v>
      </c>
      <c r="D62" s="1" t="s">
        <v>27</v>
      </c>
      <c r="E62" s="1">
        <v>3421</v>
      </c>
      <c r="F62" s="4">
        <v>30000000</v>
      </c>
      <c r="G62" s="4">
        <v>8769</v>
      </c>
      <c r="H62" s="1">
        <v>4</v>
      </c>
      <c r="I62" s="1">
        <v>2</v>
      </c>
      <c r="J62" s="1">
        <v>5</v>
      </c>
      <c r="K62" s="1" t="s">
        <v>12</v>
      </c>
      <c r="L62" s="1" t="s">
        <v>172</v>
      </c>
      <c r="M62" s="1">
        <v>8</v>
      </c>
      <c r="N62" s="1">
        <v>10</v>
      </c>
      <c r="O62" s="1">
        <v>78414</v>
      </c>
      <c r="P62" s="1">
        <v>3.14</v>
      </c>
      <c r="Q62" s="1" t="s">
        <v>14</v>
      </c>
      <c r="R62" s="3">
        <v>0.40679999999999999</v>
      </c>
      <c r="S62" s="2">
        <v>45704</v>
      </c>
      <c r="T62" s="1">
        <v>303</v>
      </c>
      <c r="U62" s="1" t="s">
        <v>30</v>
      </c>
      <c r="V62" s="1">
        <v>100</v>
      </c>
      <c r="W62" s="1" t="b">
        <v>1</v>
      </c>
      <c r="X62" s="1" t="b">
        <v>0</v>
      </c>
      <c r="Y62" s="1">
        <v>60000</v>
      </c>
      <c r="AA62" s="9" t="s">
        <v>41</v>
      </c>
      <c r="AB62" s="10">
        <v>179.625</v>
      </c>
    </row>
    <row r="63" spans="1:29" x14ac:dyDescent="0.35">
      <c r="A63" s="1" t="s">
        <v>173</v>
      </c>
      <c r="B63" s="1" t="s">
        <v>54</v>
      </c>
      <c r="C63" s="1" t="s">
        <v>89</v>
      </c>
      <c r="D63" s="1" t="s">
        <v>11</v>
      </c>
      <c r="E63" s="1">
        <v>269</v>
      </c>
      <c r="F63" s="4">
        <v>26688946</v>
      </c>
      <c r="G63" s="4">
        <v>99215</v>
      </c>
      <c r="H63" s="1">
        <v>0</v>
      </c>
      <c r="I63" s="1">
        <v>2</v>
      </c>
      <c r="J63" s="1">
        <v>26</v>
      </c>
      <c r="K63" s="1" t="s">
        <v>28</v>
      </c>
      <c r="L63" s="1" t="s">
        <v>174</v>
      </c>
      <c r="M63" s="1">
        <v>5</v>
      </c>
      <c r="N63" s="1">
        <v>8</v>
      </c>
      <c r="O63" s="1">
        <v>102744</v>
      </c>
      <c r="P63" s="1">
        <v>4.62</v>
      </c>
      <c r="Q63" s="1" t="s">
        <v>14</v>
      </c>
      <c r="R63" s="3">
        <v>0.48100000000000004</v>
      </c>
      <c r="S63" s="2">
        <v>45489</v>
      </c>
      <c r="T63" s="1">
        <v>257</v>
      </c>
      <c r="U63" s="1" t="s">
        <v>7</v>
      </c>
      <c r="V63" s="1">
        <v>151</v>
      </c>
      <c r="W63" s="1" t="b">
        <v>1</v>
      </c>
      <c r="X63" s="1" t="b">
        <v>1</v>
      </c>
      <c r="Y63" s="1">
        <v>0</v>
      </c>
      <c r="AA63" s="6" t="s">
        <v>9</v>
      </c>
      <c r="AB63" s="10">
        <v>171.09259259259258</v>
      </c>
    </row>
    <row r="64" spans="1:29" x14ac:dyDescent="0.35">
      <c r="A64" s="1" t="s">
        <v>175</v>
      </c>
      <c r="B64" s="1" t="s">
        <v>9</v>
      </c>
      <c r="C64" s="1" t="s">
        <v>163</v>
      </c>
      <c r="D64" s="1" t="s">
        <v>3</v>
      </c>
      <c r="E64" s="1">
        <v>2466</v>
      </c>
      <c r="F64" s="4">
        <v>50000000</v>
      </c>
      <c r="G64" s="4">
        <v>20275</v>
      </c>
      <c r="H64" s="1">
        <v>2</v>
      </c>
      <c r="I64" s="1">
        <v>1</v>
      </c>
      <c r="J64" s="1">
        <v>7</v>
      </c>
      <c r="K64" s="1" t="s">
        <v>12</v>
      </c>
      <c r="L64" s="1" t="s">
        <v>176</v>
      </c>
      <c r="M64" s="1">
        <v>8</v>
      </c>
      <c r="N64" s="1">
        <v>4</v>
      </c>
      <c r="O64" s="1">
        <v>129363</v>
      </c>
      <c r="P64" s="1">
        <v>3.1</v>
      </c>
      <c r="Q64" s="1" t="s">
        <v>14</v>
      </c>
      <c r="R64" s="3">
        <v>0.4052</v>
      </c>
      <c r="S64" s="2">
        <v>45510</v>
      </c>
      <c r="T64" s="1">
        <v>49</v>
      </c>
      <c r="U64" s="1" t="s">
        <v>30</v>
      </c>
      <c r="V64" s="1">
        <v>114</v>
      </c>
      <c r="W64" s="1" t="b">
        <v>0</v>
      </c>
      <c r="X64" s="1" t="b">
        <v>0</v>
      </c>
      <c r="Y64" s="1">
        <v>0</v>
      </c>
      <c r="AA64" s="9" t="s">
        <v>163</v>
      </c>
      <c r="AB64" s="10">
        <v>156.56521739130434</v>
      </c>
    </row>
    <row r="65" spans="1:28" x14ac:dyDescent="0.35">
      <c r="A65" s="1" t="s">
        <v>177</v>
      </c>
      <c r="B65" s="1" t="s">
        <v>1</v>
      </c>
      <c r="C65" s="1" t="s">
        <v>45</v>
      </c>
      <c r="D65" s="1" t="s">
        <v>38</v>
      </c>
      <c r="E65" s="1">
        <v>4231</v>
      </c>
      <c r="F65" s="4">
        <v>10000000</v>
      </c>
      <c r="G65" s="4">
        <v>2363</v>
      </c>
      <c r="H65" s="1">
        <v>5</v>
      </c>
      <c r="I65" s="1">
        <v>2</v>
      </c>
      <c r="J65" s="1">
        <v>18</v>
      </c>
      <c r="K65" s="1" t="s">
        <v>58</v>
      </c>
      <c r="L65" s="1" t="s">
        <v>178</v>
      </c>
      <c r="M65" s="1">
        <v>8</v>
      </c>
      <c r="N65" s="1">
        <v>9</v>
      </c>
      <c r="O65" s="1">
        <v>31277</v>
      </c>
      <c r="P65" s="1">
        <v>3.75</v>
      </c>
      <c r="Q65" s="1" t="s">
        <v>6</v>
      </c>
      <c r="R65" s="3">
        <v>0.43770000000000003</v>
      </c>
      <c r="S65" s="2">
        <v>45820</v>
      </c>
      <c r="T65" s="1">
        <v>48</v>
      </c>
      <c r="U65" s="1" t="s">
        <v>30</v>
      </c>
      <c r="V65" s="1">
        <v>164</v>
      </c>
      <c r="W65" s="1" t="b">
        <v>0</v>
      </c>
      <c r="X65" s="1" t="b">
        <v>0</v>
      </c>
      <c r="Y65" s="1">
        <v>20000</v>
      </c>
      <c r="AA65" s="9" t="s">
        <v>10</v>
      </c>
      <c r="AB65" s="10">
        <v>148.32142857142858</v>
      </c>
    </row>
    <row r="66" spans="1:28" x14ac:dyDescent="0.35">
      <c r="A66" s="1" t="s">
        <v>179</v>
      </c>
      <c r="B66" s="1" t="s">
        <v>54</v>
      </c>
      <c r="C66" s="1" t="s">
        <v>72</v>
      </c>
      <c r="D66" s="1" t="s">
        <v>27</v>
      </c>
      <c r="E66" s="1">
        <v>3754</v>
      </c>
      <c r="F66" s="4">
        <v>40000000</v>
      </c>
      <c r="G66" s="4">
        <v>10655</v>
      </c>
      <c r="H66" s="1">
        <v>5</v>
      </c>
      <c r="I66" s="1">
        <v>3</v>
      </c>
      <c r="J66" s="1">
        <v>6</v>
      </c>
      <c r="K66" s="1" t="s">
        <v>58</v>
      </c>
      <c r="L66" s="1" t="s">
        <v>180</v>
      </c>
      <c r="M66" s="1">
        <v>4</v>
      </c>
      <c r="N66" s="1">
        <v>6</v>
      </c>
      <c r="O66" s="1">
        <v>135984</v>
      </c>
      <c r="P66" s="1">
        <v>4.08</v>
      </c>
      <c r="Q66" s="1" t="s">
        <v>14</v>
      </c>
      <c r="R66" s="3">
        <v>0.45399999999999996</v>
      </c>
      <c r="S66" s="2">
        <v>45617</v>
      </c>
      <c r="T66" s="1">
        <v>306</v>
      </c>
      <c r="U66" s="1" t="s">
        <v>7</v>
      </c>
      <c r="V66" s="1">
        <v>63</v>
      </c>
      <c r="W66" s="1" t="b">
        <v>0</v>
      </c>
      <c r="X66" s="1" t="b">
        <v>1</v>
      </c>
      <c r="Y66" s="1">
        <v>80000</v>
      </c>
      <c r="AA66" s="9" t="s">
        <v>109</v>
      </c>
      <c r="AB66" s="10">
        <v>193.2</v>
      </c>
    </row>
    <row r="67" spans="1:28" x14ac:dyDescent="0.35">
      <c r="A67" s="1" t="s">
        <v>181</v>
      </c>
      <c r="B67" s="1" t="s">
        <v>25</v>
      </c>
      <c r="C67" s="1" t="s">
        <v>182</v>
      </c>
      <c r="D67" s="1" t="s">
        <v>38</v>
      </c>
      <c r="E67" s="1">
        <v>9627</v>
      </c>
      <c r="F67" s="4">
        <v>30000000</v>
      </c>
      <c r="G67" s="4">
        <v>3116</v>
      </c>
      <c r="H67" s="1">
        <v>4</v>
      </c>
      <c r="I67" s="1">
        <v>3</v>
      </c>
      <c r="J67" s="1">
        <v>1</v>
      </c>
      <c r="K67" s="1" t="s">
        <v>4</v>
      </c>
      <c r="L67" s="1" t="s">
        <v>183</v>
      </c>
      <c r="M67" s="1">
        <v>6</v>
      </c>
      <c r="N67" s="1">
        <v>5</v>
      </c>
      <c r="O67" s="1">
        <v>90473</v>
      </c>
      <c r="P67" s="1">
        <v>3.62</v>
      </c>
      <c r="Q67" s="1" t="s">
        <v>14</v>
      </c>
      <c r="R67" s="3">
        <v>0.43090000000000006</v>
      </c>
      <c r="S67" s="2">
        <v>45676</v>
      </c>
      <c r="T67" s="1">
        <v>348</v>
      </c>
      <c r="U67" s="1" t="s">
        <v>23</v>
      </c>
      <c r="V67" s="1">
        <v>124</v>
      </c>
      <c r="W67" s="1" t="b">
        <v>0</v>
      </c>
      <c r="X67" s="1" t="b">
        <v>0</v>
      </c>
      <c r="Y67" s="1">
        <v>0</v>
      </c>
      <c r="AA67" s="9" t="s">
        <v>114</v>
      </c>
      <c r="AB67" s="10">
        <v>214.375</v>
      </c>
    </row>
    <row r="68" spans="1:28" x14ac:dyDescent="0.35">
      <c r="A68" s="1" t="s">
        <v>184</v>
      </c>
      <c r="B68" s="1" t="s">
        <v>18</v>
      </c>
      <c r="C68" s="1" t="s">
        <v>166</v>
      </c>
      <c r="D68" s="1" t="s">
        <v>38</v>
      </c>
      <c r="E68" s="1">
        <v>6429</v>
      </c>
      <c r="F68" s="4">
        <v>15000000</v>
      </c>
      <c r="G68" s="4">
        <v>2333</v>
      </c>
      <c r="H68" s="1">
        <v>4</v>
      </c>
      <c r="I68" s="1">
        <v>2</v>
      </c>
      <c r="J68" s="1">
        <v>25</v>
      </c>
      <c r="K68" s="1" t="s">
        <v>58</v>
      </c>
      <c r="L68" s="1" t="s">
        <v>185</v>
      </c>
      <c r="M68" s="1">
        <v>7</v>
      </c>
      <c r="N68" s="1">
        <v>8</v>
      </c>
      <c r="O68" s="1">
        <v>56577</v>
      </c>
      <c r="P68" s="1">
        <v>4.53</v>
      </c>
      <c r="Q68" s="1" t="s">
        <v>6</v>
      </c>
      <c r="R68" s="3">
        <v>0.4763</v>
      </c>
      <c r="S68" s="2">
        <v>45877</v>
      </c>
      <c r="T68" s="1">
        <v>224</v>
      </c>
      <c r="U68" s="1" t="s">
        <v>7</v>
      </c>
      <c r="V68" s="1">
        <v>67</v>
      </c>
      <c r="W68" s="1" t="b">
        <v>1</v>
      </c>
      <c r="X68" s="1" t="b">
        <v>1</v>
      </c>
      <c r="Y68" s="1">
        <v>0</v>
      </c>
      <c r="AA68" s="9" t="s">
        <v>142</v>
      </c>
      <c r="AB68" s="10">
        <v>179.85714285714286</v>
      </c>
    </row>
    <row r="69" spans="1:28" x14ac:dyDescent="0.35">
      <c r="A69" s="1" t="s">
        <v>186</v>
      </c>
      <c r="B69" s="1" t="s">
        <v>54</v>
      </c>
      <c r="C69" s="1" t="s">
        <v>64</v>
      </c>
      <c r="D69" s="1" t="s">
        <v>11</v>
      </c>
      <c r="E69" s="1">
        <v>277</v>
      </c>
      <c r="F69" s="4">
        <v>33263634</v>
      </c>
      <c r="G69" s="4">
        <v>120085</v>
      </c>
      <c r="H69" s="1">
        <v>1</v>
      </c>
      <c r="I69" s="1">
        <v>2</v>
      </c>
      <c r="J69" s="1">
        <v>7</v>
      </c>
      <c r="K69" s="1" t="s">
        <v>12</v>
      </c>
      <c r="L69" s="1" t="s">
        <v>187</v>
      </c>
      <c r="M69" s="1">
        <v>6</v>
      </c>
      <c r="N69" s="1">
        <v>7</v>
      </c>
      <c r="O69" s="1">
        <v>90787</v>
      </c>
      <c r="P69" s="1">
        <v>3.28</v>
      </c>
      <c r="Q69" s="1" t="s">
        <v>14</v>
      </c>
      <c r="R69" s="3">
        <v>0.4138</v>
      </c>
      <c r="S69" s="2">
        <v>45863</v>
      </c>
      <c r="T69" s="1">
        <v>362</v>
      </c>
      <c r="U69" s="1" t="s">
        <v>23</v>
      </c>
      <c r="V69" s="1">
        <v>65</v>
      </c>
      <c r="W69" s="1" t="b">
        <v>0</v>
      </c>
      <c r="X69" s="1" t="b">
        <v>0</v>
      </c>
      <c r="Y69" s="1">
        <v>66527</v>
      </c>
      <c r="AA69" s="9" t="s">
        <v>189</v>
      </c>
      <c r="AB69" s="10">
        <v>151.74358974358975</v>
      </c>
    </row>
    <row r="70" spans="1:28" x14ac:dyDescent="0.35">
      <c r="A70" s="1" t="s">
        <v>188</v>
      </c>
      <c r="B70" s="1" t="s">
        <v>9</v>
      </c>
      <c r="C70" s="1" t="s">
        <v>189</v>
      </c>
      <c r="D70" s="1" t="s">
        <v>20</v>
      </c>
      <c r="E70" s="1">
        <v>2383</v>
      </c>
      <c r="F70" s="4">
        <v>50000000</v>
      </c>
      <c r="G70" s="4">
        <v>20981</v>
      </c>
      <c r="H70" s="1">
        <v>3</v>
      </c>
      <c r="I70" s="1">
        <v>2</v>
      </c>
      <c r="J70" s="1">
        <v>3</v>
      </c>
      <c r="K70" s="1" t="s">
        <v>21</v>
      </c>
      <c r="L70" s="1" t="s">
        <v>190</v>
      </c>
      <c r="M70" s="1">
        <v>5</v>
      </c>
      <c r="N70" s="1">
        <v>7</v>
      </c>
      <c r="O70" s="1">
        <v>176900</v>
      </c>
      <c r="P70" s="1">
        <v>4.25</v>
      </c>
      <c r="Q70" s="1" t="s">
        <v>14</v>
      </c>
      <c r="R70" s="3">
        <v>0.46229999999999999</v>
      </c>
      <c r="S70" s="2">
        <v>46092</v>
      </c>
      <c r="T70" s="1">
        <v>9</v>
      </c>
      <c r="U70" s="1" t="s">
        <v>7</v>
      </c>
      <c r="V70" s="1">
        <v>167</v>
      </c>
      <c r="W70" s="1" t="b">
        <v>1</v>
      </c>
      <c r="X70" s="1" t="b">
        <v>1</v>
      </c>
      <c r="Y70" s="1">
        <v>0</v>
      </c>
      <c r="AA70" s="6" t="s">
        <v>18</v>
      </c>
      <c r="AB70" s="10">
        <v>179.75757575757575</v>
      </c>
    </row>
    <row r="71" spans="1:28" x14ac:dyDescent="0.35">
      <c r="A71" s="1" t="s">
        <v>191</v>
      </c>
      <c r="B71" s="1" t="s">
        <v>18</v>
      </c>
      <c r="C71" s="1" t="s">
        <v>169</v>
      </c>
      <c r="D71" s="1" t="s">
        <v>38</v>
      </c>
      <c r="E71" s="1">
        <v>5890</v>
      </c>
      <c r="F71" s="4">
        <v>15000000</v>
      </c>
      <c r="G71" s="4">
        <v>2546</v>
      </c>
      <c r="H71" s="1">
        <v>4</v>
      </c>
      <c r="I71" s="1">
        <v>3</v>
      </c>
      <c r="J71" s="1">
        <v>5</v>
      </c>
      <c r="K71" s="1" t="s">
        <v>42</v>
      </c>
      <c r="L71" s="1" t="s">
        <v>192</v>
      </c>
      <c r="M71" s="1">
        <v>8</v>
      </c>
      <c r="N71" s="1">
        <v>4</v>
      </c>
      <c r="O71" s="1">
        <v>47172</v>
      </c>
      <c r="P71" s="1">
        <v>3.77</v>
      </c>
      <c r="Q71" s="1" t="s">
        <v>6</v>
      </c>
      <c r="R71" s="3">
        <v>0.43869999999999998</v>
      </c>
      <c r="S71" s="2">
        <v>45774</v>
      </c>
      <c r="T71" s="1">
        <v>35</v>
      </c>
      <c r="U71" s="1" t="s">
        <v>7</v>
      </c>
      <c r="V71" s="1">
        <v>121</v>
      </c>
      <c r="W71" s="1" t="b">
        <v>0</v>
      </c>
      <c r="X71" s="1" t="b">
        <v>1</v>
      </c>
      <c r="Y71" s="1">
        <v>30000</v>
      </c>
      <c r="AA71" s="9" t="s">
        <v>169</v>
      </c>
      <c r="AB71" s="10">
        <v>172.28125</v>
      </c>
    </row>
    <row r="72" spans="1:28" x14ac:dyDescent="0.35">
      <c r="A72" s="1" t="s">
        <v>193</v>
      </c>
      <c r="B72" s="1" t="s">
        <v>32</v>
      </c>
      <c r="C72" s="1" t="s">
        <v>194</v>
      </c>
      <c r="D72" s="1" t="s">
        <v>20</v>
      </c>
      <c r="E72" s="1">
        <v>2046</v>
      </c>
      <c r="F72" s="4">
        <v>12000000</v>
      </c>
      <c r="G72" s="4">
        <v>5865</v>
      </c>
      <c r="H72" s="1">
        <v>2</v>
      </c>
      <c r="I72" s="1">
        <v>2</v>
      </c>
      <c r="J72" s="1">
        <v>17</v>
      </c>
      <c r="K72" s="1" t="s">
        <v>61</v>
      </c>
      <c r="L72" s="1" t="s">
        <v>195</v>
      </c>
      <c r="M72" s="1">
        <v>5</v>
      </c>
      <c r="N72" s="1">
        <v>5</v>
      </c>
      <c r="O72" s="1">
        <v>45523</v>
      </c>
      <c r="P72" s="1">
        <v>4.55</v>
      </c>
      <c r="Q72" s="1" t="s">
        <v>6</v>
      </c>
      <c r="R72" s="3">
        <v>0.47759999999999997</v>
      </c>
      <c r="S72" s="2">
        <v>45688</v>
      </c>
      <c r="T72" s="1">
        <v>103</v>
      </c>
      <c r="U72" s="1" t="s">
        <v>7</v>
      </c>
      <c r="V72" s="1">
        <v>41</v>
      </c>
      <c r="W72" s="1" t="b">
        <v>1</v>
      </c>
      <c r="X72" s="1" t="b">
        <v>0</v>
      </c>
      <c r="Y72" s="1">
        <v>0</v>
      </c>
      <c r="AA72" s="9" t="s">
        <v>166</v>
      </c>
      <c r="AB72" s="10">
        <v>210.75</v>
      </c>
    </row>
    <row r="73" spans="1:28" x14ac:dyDescent="0.35">
      <c r="A73" s="1" t="s">
        <v>196</v>
      </c>
      <c r="B73" s="1" t="s">
        <v>32</v>
      </c>
      <c r="C73" s="1" t="s">
        <v>197</v>
      </c>
      <c r="D73" s="1" t="s">
        <v>38</v>
      </c>
      <c r="E73" s="1">
        <v>6878</v>
      </c>
      <c r="F73" s="4">
        <v>12000000</v>
      </c>
      <c r="G73" s="4">
        <v>1744</v>
      </c>
      <c r="H73" s="1">
        <v>5</v>
      </c>
      <c r="I73" s="1">
        <v>2</v>
      </c>
      <c r="J73" s="1">
        <v>24</v>
      </c>
      <c r="K73" s="1" t="s">
        <v>12</v>
      </c>
      <c r="L73" s="1" t="s">
        <v>198</v>
      </c>
      <c r="M73" s="1">
        <v>8</v>
      </c>
      <c r="N73" s="1">
        <v>7</v>
      </c>
      <c r="O73" s="1">
        <v>38000</v>
      </c>
      <c r="P73" s="1">
        <v>3.8</v>
      </c>
      <c r="Q73" s="1" t="s">
        <v>6</v>
      </c>
      <c r="R73" s="3">
        <v>0.44</v>
      </c>
      <c r="S73" s="2">
        <v>45706</v>
      </c>
      <c r="T73" s="1">
        <v>96</v>
      </c>
      <c r="U73" s="1" t="s">
        <v>23</v>
      </c>
      <c r="V73" s="1">
        <v>116</v>
      </c>
      <c r="W73" s="1" t="b">
        <v>0</v>
      </c>
      <c r="X73" s="1" t="b">
        <v>0</v>
      </c>
      <c r="Y73" s="1">
        <v>0</v>
      </c>
      <c r="AA73" s="9" t="s">
        <v>217</v>
      </c>
      <c r="AB73" s="10">
        <v>169.52</v>
      </c>
    </row>
    <row r="74" spans="1:28" x14ac:dyDescent="0.35">
      <c r="A74" s="1" t="s">
        <v>199</v>
      </c>
      <c r="B74" s="1" t="s">
        <v>32</v>
      </c>
      <c r="C74" s="1" t="s">
        <v>200</v>
      </c>
      <c r="D74" s="1" t="s">
        <v>3</v>
      </c>
      <c r="E74" s="1">
        <v>2138</v>
      </c>
      <c r="F74" s="4">
        <v>12000000</v>
      </c>
      <c r="G74" s="4">
        <v>5612</v>
      </c>
      <c r="H74" s="1">
        <v>1</v>
      </c>
      <c r="I74" s="1">
        <v>2</v>
      </c>
      <c r="J74" s="1">
        <v>19</v>
      </c>
      <c r="K74" s="1" t="s">
        <v>58</v>
      </c>
      <c r="L74" s="1" t="s">
        <v>201</v>
      </c>
      <c r="M74" s="1">
        <v>4</v>
      </c>
      <c r="N74" s="1">
        <v>7</v>
      </c>
      <c r="O74" s="1">
        <v>35912</v>
      </c>
      <c r="P74" s="1">
        <v>3.59</v>
      </c>
      <c r="Q74" s="1" t="s">
        <v>6</v>
      </c>
      <c r="R74" s="3">
        <v>0.42959999999999998</v>
      </c>
      <c r="S74" s="2">
        <v>45700</v>
      </c>
      <c r="T74" s="1">
        <v>354</v>
      </c>
      <c r="U74" s="1" t="s">
        <v>30</v>
      </c>
      <c r="V74" s="1">
        <v>72</v>
      </c>
      <c r="W74" s="1" t="b">
        <v>0</v>
      </c>
      <c r="X74" s="1" t="b">
        <v>0</v>
      </c>
      <c r="Y74" s="1">
        <v>0</v>
      </c>
      <c r="AA74" s="9" t="s">
        <v>243</v>
      </c>
      <c r="AB74" s="10">
        <v>163.77272727272728</v>
      </c>
    </row>
    <row r="75" spans="1:28" x14ac:dyDescent="0.35">
      <c r="A75" s="1" t="s">
        <v>202</v>
      </c>
      <c r="B75" s="1" t="s">
        <v>9</v>
      </c>
      <c r="C75" s="1" t="s">
        <v>142</v>
      </c>
      <c r="D75" s="1" t="s">
        <v>20</v>
      </c>
      <c r="E75" s="1">
        <v>4018</v>
      </c>
      <c r="F75" s="4">
        <v>50000000</v>
      </c>
      <c r="G75" s="4">
        <v>12444</v>
      </c>
      <c r="H75" s="1">
        <v>5</v>
      </c>
      <c r="I75" s="1">
        <v>3</v>
      </c>
      <c r="J75" s="1">
        <v>20</v>
      </c>
      <c r="K75" s="1" t="s">
        <v>61</v>
      </c>
      <c r="L75" s="1" t="s">
        <v>203</v>
      </c>
      <c r="M75" s="1">
        <v>3</v>
      </c>
      <c r="N75" s="1">
        <v>7</v>
      </c>
      <c r="O75" s="1">
        <v>136898</v>
      </c>
      <c r="P75" s="1">
        <v>3.29</v>
      </c>
      <c r="Q75" s="1" t="s">
        <v>14</v>
      </c>
      <c r="R75" s="3">
        <v>0.4143</v>
      </c>
      <c r="S75" s="2">
        <v>45534</v>
      </c>
      <c r="T75" s="1">
        <v>65</v>
      </c>
      <c r="U75" s="1" t="s">
        <v>30</v>
      </c>
      <c r="V75" s="1">
        <v>38</v>
      </c>
      <c r="W75" s="1" t="b">
        <v>1</v>
      </c>
      <c r="X75" s="1" t="b">
        <v>1</v>
      </c>
      <c r="Y75" s="1">
        <v>0</v>
      </c>
      <c r="AA75" s="9" t="s">
        <v>139</v>
      </c>
      <c r="AB75" s="10">
        <v>160.85714285714286</v>
      </c>
    </row>
    <row r="76" spans="1:28" x14ac:dyDescent="0.35">
      <c r="A76" s="1" t="s">
        <v>204</v>
      </c>
      <c r="B76" s="1" t="s">
        <v>54</v>
      </c>
      <c r="C76" s="1" t="s">
        <v>89</v>
      </c>
      <c r="D76" s="1" t="s">
        <v>38</v>
      </c>
      <c r="E76" s="1">
        <v>3265</v>
      </c>
      <c r="F76" s="4">
        <v>40000000</v>
      </c>
      <c r="G76" s="4">
        <v>12251</v>
      </c>
      <c r="H76" s="1">
        <v>6</v>
      </c>
      <c r="I76" s="1">
        <v>3</v>
      </c>
      <c r="J76" s="1">
        <v>21</v>
      </c>
      <c r="K76" s="1" t="s">
        <v>61</v>
      </c>
      <c r="L76" s="1" t="s">
        <v>205</v>
      </c>
      <c r="M76" s="1">
        <v>6</v>
      </c>
      <c r="N76" s="1">
        <v>4</v>
      </c>
      <c r="O76" s="1">
        <v>126535</v>
      </c>
      <c r="P76" s="1">
        <v>3.8</v>
      </c>
      <c r="Q76" s="1" t="s">
        <v>14</v>
      </c>
      <c r="R76" s="3">
        <v>0.43979999999999997</v>
      </c>
      <c r="S76" s="2">
        <v>45491</v>
      </c>
      <c r="T76" s="1">
        <v>96</v>
      </c>
      <c r="U76" s="1" t="s">
        <v>7</v>
      </c>
      <c r="V76" s="1">
        <v>36</v>
      </c>
      <c r="W76" s="1" t="b">
        <v>0</v>
      </c>
      <c r="X76" s="1" t="b">
        <v>0</v>
      </c>
      <c r="Y76" s="1">
        <v>80000</v>
      </c>
      <c r="AA76" s="9" t="s">
        <v>19</v>
      </c>
      <c r="AB76" s="10">
        <v>196.7</v>
      </c>
    </row>
    <row r="77" spans="1:28" x14ac:dyDescent="0.35">
      <c r="A77" s="1" t="s">
        <v>206</v>
      </c>
      <c r="B77" s="1" t="s">
        <v>54</v>
      </c>
      <c r="C77" s="1" t="s">
        <v>72</v>
      </c>
      <c r="D77" s="1" t="s">
        <v>11</v>
      </c>
      <c r="E77" s="1">
        <v>359</v>
      </c>
      <c r="F77" s="4">
        <v>40000000</v>
      </c>
      <c r="G77" s="4">
        <v>111420</v>
      </c>
      <c r="H77" s="1">
        <v>1</v>
      </c>
      <c r="I77" s="1">
        <v>2</v>
      </c>
      <c r="J77" s="1">
        <v>6</v>
      </c>
      <c r="K77" s="1" t="s">
        <v>61</v>
      </c>
      <c r="L77" s="1" t="s">
        <v>207</v>
      </c>
      <c r="M77" s="1">
        <v>3</v>
      </c>
      <c r="N77" s="1">
        <v>10</v>
      </c>
      <c r="O77" s="1">
        <v>129674</v>
      </c>
      <c r="P77" s="1">
        <v>3.89</v>
      </c>
      <c r="Q77" s="1" t="s">
        <v>14</v>
      </c>
      <c r="R77" s="3">
        <v>0.44450000000000001</v>
      </c>
      <c r="S77" s="2">
        <v>46067</v>
      </c>
      <c r="T77" s="1">
        <v>342</v>
      </c>
      <c r="U77" s="1" t="s">
        <v>30</v>
      </c>
      <c r="V77" s="1">
        <v>111</v>
      </c>
      <c r="W77" s="1" t="b">
        <v>0</v>
      </c>
      <c r="X77" s="1" t="b">
        <v>1</v>
      </c>
      <c r="Y77" s="1">
        <v>0</v>
      </c>
      <c r="AA77" s="6" t="s">
        <v>2077</v>
      </c>
      <c r="AB77" s="10">
        <v>180.22300000000001</v>
      </c>
    </row>
    <row r="78" spans="1:28" x14ac:dyDescent="0.35">
      <c r="A78" s="1" t="s">
        <v>208</v>
      </c>
      <c r="B78" s="1" t="s">
        <v>54</v>
      </c>
      <c r="C78" s="1" t="s">
        <v>55</v>
      </c>
      <c r="D78" s="1" t="s">
        <v>27</v>
      </c>
      <c r="E78" s="1">
        <v>4961</v>
      </c>
      <c r="F78" s="4">
        <v>40000000</v>
      </c>
      <c r="G78" s="4">
        <v>8062</v>
      </c>
      <c r="H78" s="1">
        <v>4</v>
      </c>
      <c r="I78" s="1">
        <v>2</v>
      </c>
      <c r="J78" s="1">
        <v>6</v>
      </c>
      <c r="K78" s="1" t="s">
        <v>12</v>
      </c>
      <c r="L78" s="1" t="s">
        <v>209</v>
      </c>
      <c r="M78" s="1">
        <v>4</v>
      </c>
      <c r="N78" s="1">
        <v>4</v>
      </c>
      <c r="O78" s="1">
        <v>165534</v>
      </c>
      <c r="P78" s="1">
        <v>4.97</v>
      </c>
      <c r="Q78" s="1" t="s">
        <v>14</v>
      </c>
      <c r="R78" s="3">
        <v>0.49829999999999997</v>
      </c>
      <c r="S78" s="2">
        <v>46024</v>
      </c>
      <c r="T78" s="1">
        <v>159</v>
      </c>
      <c r="U78" s="1" t="s">
        <v>30</v>
      </c>
      <c r="V78" s="1">
        <v>46</v>
      </c>
      <c r="W78" s="1" t="b">
        <v>0</v>
      </c>
      <c r="X78" s="1" t="b">
        <v>0</v>
      </c>
      <c r="Y78" s="1">
        <v>0</v>
      </c>
    </row>
    <row r="79" spans="1:28" x14ac:dyDescent="0.35">
      <c r="A79" s="1" t="s">
        <v>210</v>
      </c>
      <c r="B79" s="1" t="s">
        <v>18</v>
      </c>
      <c r="C79" s="1" t="s">
        <v>166</v>
      </c>
      <c r="D79" s="1" t="s">
        <v>3</v>
      </c>
      <c r="E79" s="1">
        <v>913</v>
      </c>
      <c r="F79" s="4">
        <v>15000000</v>
      </c>
      <c r="G79" s="4">
        <v>16429</v>
      </c>
      <c r="H79" s="1">
        <v>3</v>
      </c>
      <c r="I79" s="1">
        <v>1</v>
      </c>
      <c r="J79" s="1">
        <v>14</v>
      </c>
      <c r="K79" s="1" t="s">
        <v>61</v>
      </c>
      <c r="L79" s="1" t="s">
        <v>211</v>
      </c>
      <c r="M79" s="1">
        <v>6</v>
      </c>
      <c r="N79" s="1">
        <v>4</v>
      </c>
      <c r="O79" s="1">
        <v>40725</v>
      </c>
      <c r="P79" s="1">
        <v>3.26</v>
      </c>
      <c r="Q79" s="1" t="s">
        <v>6</v>
      </c>
      <c r="R79" s="3">
        <v>0.41289999999999999</v>
      </c>
      <c r="S79" s="2">
        <v>45642</v>
      </c>
      <c r="T79" s="1">
        <v>266</v>
      </c>
      <c r="U79" s="1" t="s">
        <v>23</v>
      </c>
      <c r="V79" s="1">
        <v>61</v>
      </c>
      <c r="W79" s="1" t="b">
        <v>1</v>
      </c>
      <c r="X79" s="1" t="b">
        <v>0</v>
      </c>
      <c r="Y79" s="1">
        <v>30000</v>
      </c>
    </row>
    <row r="80" spans="1:28" x14ac:dyDescent="0.35">
      <c r="A80" s="1" t="s">
        <v>212</v>
      </c>
      <c r="B80" s="1" t="s">
        <v>25</v>
      </c>
      <c r="C80" s="1" t="s">
        <v>26</v>
      </c>
      <c r="D80" s="1" t="s">
        <v>27</v>
      </c>
      <c r="E80" s="1">
        <v>4834</v>
      </c>
      <c r="F80" s="4">
        <v>30000000</v>
      </c>
      <c r="G80" s="4">
        <v>6206</v>
      </c>
      <c r="H80" s="1">
        <v>5</v>
      </c>
      <c r="I80" s="1">
        <v>2</v>
      </c>
      <c r="J80" s="1">
        <v>8</v>
      </c>
      <c r="K80" s="1" t="s">
        <v>34</v>
      </c>
      <c r="L80" s="1" t="s">
        <v>213</v>
      </c>
      <c r="M80" s="1">
        <v>4</v>
      </c>
      <c r="N80" s="1">
        <v>8</v>
      </c>
      <c r="O80" s="1">
        <v>79671</v>
      </c>
      <c r="P80" s="1">
        <v>3.19</v>
      </c>
      <c r="Q80" s="1" t="s">
        <v>14</v>
      </c>
      <c r="R80" s="3">
        <v>0.4093</v>
      </c>
      <c r="S80" s="2">
        <v>45500</v>
      </c>
      <c r="T80" s="1">
        <v>88</v>
      </c>
      <c r="U80" s="1" t="s">
        <v>7</v>
      </c>
      <c r="V80" s="1">
        <v>69</v>
      </c>
      <c r="W80" s="1" t="b">
        <v>0</v>
      </c>
      <c r="X80" s="1" t="b">
        <v>1</v>
      </c>
      <c r="Y80" s="1">
        <v>60000</v>
      </c>
    </row>
    <row r="81" spans="1:25" x14ac:dyDescent="0.35">
      <c r="A81" s="1" t="s">
        <v>214</v>
      </c>
      <c r="B81" s="1" t="s">
        <v>9</v>
      </c>
      <c r="C81" s="1" t="s">
        <v>189</v>
      </c>
      <c r="D81" s="1" t="s">
        <v>38</v>
      </c>
      <c r="E81" s="1">
        <v>5168</v>
      </c>
      <c r="F81" s="4">
        <v>50000000</v>
      </c>
      <c r="G81" s="4">
        <v>9674</v>
      </c>
      <c r="H81" s="1">
        <v>6</v>
      </c>
      <c r="I81" s="1">
        <v>3</v>
      </c>
      <c r="J81" s="1">
        <v>24</v>
      </c>
      <c r="K81" s="1" t="s">
        <v>42</v>
      </c>
      <c r="L81" s="1" t="s">
        <v>215</v>
      </c>
      <c r="M81" s="1">
        <v>7</v>
      </c>
      <c r="N81" s="1">
        <v>4</v>
      </c>
      <c r="O81" s="1">
        <v>192279</v>
      </c>
      <c r="P81" s="1">
        <v>4.6100000000000003</v>
      </c>
      <c r="Q81" s="1" t="s">
        <v>14</v>
      </c>
      <c r="R81" s="3">
        <v>0.48070000000000002</v>
      </c>
      <c r="S81" s="2">
        <v>45741</v>
      </c>
      <c r="T81" s="1">
        <v>81</v>
      </c>
      <c r="U81" s="1" t="s">
        <v>7</v>
      </c>
      <c r="V81" s="1">
        <v>45</v>
      </c>
      <c r="W81" s="1" t="b">
        <v>0</v>
      </c>
      <c r="X81" s="1" t="b">
        <v>0</v>
      </c>
      <c r="Y81" s="1">
        <v>0</v>
      </c>
    </row>
    <row r="82" spans="1:25" x14ac:dyDescent="0.35">
      <c r="A82" s="1" t="s">
        <v>216</v>
      </c>
      <c r="B82" s="1" t="s">
        <v>18</v>
      </c>
      <c r="C82" s="1" t="s">
        <v>217</v>
      </c>
      <c r="D82" s="1" t="s">
        <v>20</v>
      </c>
      <c r="E82" s="1">
        <v>3984</v>
      </c>
      <c r="F82" s="4">
        <v>15000000</v>
      </c>
      <c r="G82" s="4">
        <v>3765</v>
      </c>
      <c r="H82" s="1">
        <v>3</v>
      </c>
      <c r="I82" s="1">
        <v>2</v>
      </c>
      <c r="J82" s="1">
        <v>27</v>
      </c>
      <c r="K82" s="1" t="s">
        <v>4</v>
      </c>
      <c r="L82" s="1" t="s">
        <v>218</v>
      </c>
      <c r="M82" s="1">
        <v>8</v>
      </c>
      <c r="N82" s="1">
        <v>4</v>
      </c>
      <c r="O82" s="1">
        <v>44186</v>
      </c>
      <c r="P82" s="1">
        <v>3.53</v>
      </c>
      <c r="Q82" s="1" t="s">
        <v>6</v>
      </c>
      <c r="R82" s="3">
        <v>0.42670000000000002</v>
      </c>
      <c r="S82" s="2">
        <v>45903</v>
      </c>
      <c r="T82" s="1">
        <v>197</v>
      </c>
      <c r="U82" s="1" t="s">
        <v>7</v>
      </c>
      <c r="V82" s="1">
        <v>104</v>
      </c>
      <c r="W82" s="1" t="b">
        <v>0</v>
      </c>
      <c r="X82" s="1" t="b">
        <v>1</v>
      </c>
      <c r="Y82" s="1">
        <v>30000</v>
      </c>
    </row>
    <row r="83" spans="1:25" x14ac:dyDescent="0.35">
      <c r="A83" s="1" t="s">
        <v>219</v>
      </c>
      <c r="B83" s="1" t="s">
        <v>54</v>
      </c>
      <c r="C83" s="1" t="s">
        <v>79</v>
      </c>
      <c r="D83" s="1" t="s">
        <v>20</v>
      </c>
      <c r="E83" s="1">
        <v>2277</v>
      </c>
      <c r="F83" s="4">
        <v>40000000</v>
      </c>
      <c r="G83" s="4">
        <v>17566</v>
      </c>
      <c r="H83" s="1">
        <v>3</v>
      </c>
      <c r="I83" s="1">
        <v>2</v>
      </c>
      <c r="J83" s="1">
        <v>16</v>
      </c>
      <c r="K83" s="1" t="s">
        <v>42</v>
      </c>
      <c r="L83" s="1" t="s">
        <v>220</v>
      </c>
      <c r="M83" s="1">
        <v>6</v>
      </c>
      <c r="N83" s="1">
        <v>6</v>
      </c>
      <c r="O83" s="1">
        <v>114342</v>
      </c>
      <c r="P83" s="1">
        <v>3.43</v>
      </c>
      <c r="Q83" s="1" t="s">
        <v>14</v>
      </c>
      <c r="R83" s="3">
        <v>0.42149999999999999</v>
      </c>
      <c r="S83" s="2">
        <v>45795</v>
      </c>
      <c r="T83" s="1">
        <v>306</v>
      </c>
      <c r="U83" s="1" t="s">
        <v>7</v>
      </c>
      <c r="V83" s="1">
        <v>156</v>
      </c>
      <c r="W83" s="1" t="b">
        <v>0</v>
      </c>
      <c r="X83" s="1" t="b">
        <v>0</v>
      </c>
      <c r="Y83" s="1">
        <v>80000</v>
      </c>
    </row>
    <row r="84" spans="1:25" x14ac:dyDescent="0.35">
      <c r="A84" s="1" t="s">
        <v>221</v>
      </c>
      <c r="B84" s="1" t="s">
        <v>9</v>
      </c>
      <c r="C84" s="1" t="s">
        <v>114</v>
      </c>
      <c r="D84" s="1" t="s">
        <v>27</v>
      </c>
      <c r="E84" s="1">
        <v>4166</v>
      </c>
      <c r="F84" s="4">
        <v>50000000</v>
      </c>
      <c r="G84" s="4">
        <v>12001</v>
      </c>
      <c r="H84" s="1">
        <v>5</v>
      </c>
      <c r="I84" s="1">
        <v>3</v>
      </c>
      <c r="J84" s="1">
        <v>11</v>
      </c>
      <c r="K84" s="1" t="s">
        <v>12</v>
      </c>
      <c r="L84" s="1" t="s">
        <v>222</v>
      </c>
      <c r="M84" s="1">
        <v>3</v>
      </c>
      <c r="N84" s="1">
        <v>8</v>
      </c>
      <c r="O84" s="1">
        <v>131127</v>
      </c>
      <c r="P84" s="1">
        <v>3.15</v>
      </c>
      <c r="Q84" s="1" t="s">
        <v>14</v>
      </c>
      <c r="R84" s="3">
        <v>0.40740000000000004</v>
      </c>
      <c r="S84" s="2">
        <v>45640</v>
      </c>
      <c r="T84" s="1">
        <v>320</v>
      </c>
      <c r="U84" s="1" t="s">
        <v>7</v>
      </c>
      <c r="V84" s="1">
        <v>101</v>
      </c>
      <c r="W84" s="1" t="b">
        <v>1</v>
      </c>
      <c r="X84" s="1" t="b">
        <v>1</v>
      </c>
      <c r="Y84" s="1">
        <v>100000</v>
      </c>
    </row>
    <row r="85" spans="1:25" x14ac:dyDescent="0.35">
      <c r="A85" s="1" t="s">
        <v>223</v>
      </c>
      <c r="B85" s="1" t="s">
        <v>18</v>
      </c>
      <c r="C85" s="1" t="s">
        <v>139</v>
      </c>
      <c r="D85" s="1" t="s">
        <v>20</v>
      </c>
      <c r="E85" s="1">
        <v>3784</v>
      </c>
      <c r="F85" s="4">
        <v>15000000</v>
      </c>
      <c r="G85" s="4">
        <v>3964</v>
      </c>
      <c r="H85" s="1">
        <v>4</v>
      </c>
      <c r="I85" s="1">
        <v>2</v>
      </c>
      <c r="J85" s="1">
        <v>6</v>
      </c>
      <c r="K85" s="1" t="s">
        <v>42</v>
      </c>
      <c r="L85" s="1" t="s">
        <v>224</v>
      </c>
      <c r="M85" s="1">
        <v>7</v>
      </c>
      <c r="N85" s="1">
        <v>8</v>
      </c>
      <c r="O85" s="1">
        <v>41223</v>
      </c>
      <c r="P85" s="1">
        <v>3.3</v>
      </c>
      <c r="Q85" s="1" t="s">
        <v>6</v>
      </c>
      <c r="R85" s="3">
        <v>0.41490000000000005</v>
      </c>
      <c r="S85" s="2">
        <v>45629</v>
      </c>
      <c r="T85" s="1">
        <v>84</v>
      </c>
      <c r="U85" s="1" t="s">
        <v>7</v>
      </c>
      <c r="V85" s="1">
        <v>111</v>
      </c>
      <c r="W85" s="1" t="b">
        <v>0</v>
      </c>
      <c r="X85" s="1" t="b">
        <v>0</v>
      </c>
      <c r="Y85" s="1">
        <v>0</v>
      </c>
    </row>
    <row r="86" spans="1:25" x14ac:dyDescent="0.35">
      <c r="A86" s="1" t="s">
        <v>225</v>
      </c>
      <c r="B86" s="1" t="s">
        <v>32</v>
      </c>
      <c r="C86" s="1" t="s">
        <v>67</v>
      </c>
      <c r="D86" s="1" t="s">
        <v>38</v>
      </c>
      <c r="E86" s="1">
        <v>7012</v>
      </c>
      <c r="F86" s="4">
        <v>12000000</v>
      </c>
      <c r="G86" s="4">
        <v>1711</v>
      </c>
      <c r="H86" s="1">
        <v>6</v>
      </c>
      <c r="I86" s="1">
        <v>4</v>
      </c>
      <c r="J86" s="1">
        <v>15</v>
      </c>
      <c r="K86" s="1" t="s">
        <v>21</v>
      </c>
      <c r="L86" s="1" t="s">
        <v>75</v>
      </c>
      <c r="M86" s="1">
        <v>3</v>
      </c>
      <c r="N86" s="1">
        <v>8</v>
      </c>
      <c r="O86" s="1">
        <v>45935</v>
      </c>
      <c r="P86" s="1">
        <v>4.59</v>
      </c>
      <c r="Q86" s="1" t="s">
        <v>6</v>
      </c>
      <c r="R86" s="3">
        <v>0.47970000000000002</v>
      </c>
      <c r="S86" s="2">
        <v>45452</v>
      </c>
      <c r="T86" s="1">
        <v>136</v>
      </c>
      <c r="U86" s="1" t="s">
        <v>30</v>
      </c>
      <c r="V86" s="1">
        <v>151</v>
      </c>
      <c r="W86" s="1" t="b">
        <v>1</v>
      </c>
      <c r="X86" s="1" t="b">
        <v>1</v>
      </c>
      <c r="Y86" s="1">
        <v>0</v>
      </c>
    </row>
    <row r="87" spans="1:25" x14ac:dyDescent="0.35">
      <c r="A87" s="1" t="s">
        <v>226</v>
      </c>
      <c r="B87" s="1" t="s">
        <v>25</v>
      </c>
      <c r="C87" s="1" t="s">
        <v>37</v>
      </c>
      <c r="D87" s="1" t="s">
        <v>38</v>
      </c>
      <c r="E87" s="1">
        <v>9345</v>
      </c>
      <c r="F87" s="4">
        <v>30000000</v>
      </c>
      <c r="G87" s="4">
        <v>3210</v>
      </c>
      <c r="H87" s="1">
        <v>5</v>
      </c>
      <c r="I87" s="1">
        <v>2</v>
      </c>
      <c r="J87" s="1">
        <v>26</v>
      </c>
      <c r="K87" s="1" t="s">
        <v>61</v>
      </c>
      <c r="L87" s="1" t="s">
        <v>227</v>
      </c>
      <c r="M87" s="1">
        <v>8</v>
      </c>
      <c r="N87" s="1">
        <v>7</v>
      </c>
      <c r="O87" s="1">
        <v>85194</v>
      </c>
      <c r="P87" s="1">
        <v>3.41</v>
      </c>
      <c r="Q87" s="1" t="s">
        <v>14</v>
      </c>
      <c r="R87" s="3">
        <v>0.4204</v>
      </c>
      <c r="S87" s="2">
        <v>45643</v>
      </c>
      <c r="T87" s="1">
        <v>362</v>
      </c>
      <c r="U87" s="1" t="s">
        <v>30</v>
      </c>
      <c r="V87" s="1">
        <v>45</v>
      </c>
      <c r="W87" s="1" t="b">
        <v>1</v>
      </c>
      <c r="X87" s="1" t="b">
        <v>1</v>
      </c>
      <c r="Y87" s="1">
        <v>0</v>
      </c>
    </row>
    <row r="88" spans="1:25" x14ac:dyDescent="0.35">
      <c r="A88" s="1" t="s">
        <v>228</v>
      </c>
      <c r="B88" s="1" t="s">
        <v>1</v>
      </c>
      <c r="C88" s="1" t="s">
        <v>48</v>
      </c>
      <c r="D88" s="1" t="s">
        <v>38</v>
      </c>
      <c r="E88" s="1">
        <v>6086</v>
      </c>
      <c r="F88" s="4">
        <v>10000000</v>
      </c>
      <c r="G88" s="4">
        <v>1643</v>
      </c>
      <c r="H88" s="1">
        <v>5</v>
      </c>
      <c r="I88" s="1">
        <v>2</v>
      </c>
      <c r="J88" s="1">
        <v>14</v>
      </c>
      <c r="K88" s="1" t="s">
        <v>4</v>
      </c>
      <c r="L88" s="1" t="s">
        <v>229</v>
      </c>
      <c r="M88" s="1">
        <v>7</v>
      </c>
      <c r="N88" s="1">
        <v>6</v>
      </c>
      <c r="O88" s="1">
        <v>29650</v>
      </c>
      <c r="P88" s="1">
        <v>3.56</v>
      </c>
      <c r="Q88" s="1" t="s">
        <v>6</v>
      </c>
      <c r="R88" s="3">
        <v>0.4279</v>
      </c>
      <c r="S88" s="2">
        <v>45851</v>
      </c>
      <c r="T88" s="1">
        <v>361</v>
      </c>
      <c r="U88" s="1" t="s">
        <v>7</v>
      </c>
      <c r="V88" s="1">
        <v>103</v>
      </c>
      <c r="W88" s="1" t="b">
        <v>1</v>
      </c>
      <c r="X88" s="1" t="b">
        <v>0</v>
      </c>
      <c r="Y88" s="1">
        <v>0</v>
      </c>
    </row>
    <row r="89" spans="1:25" x14ac:dyDescent="0.35">
      <c r="A89" s="1" t="s">
        <v>230</v>
      </c>
      <c r="B89" s="1" t="s">
        <v>18</v>
      </c>
      <c r="C89" s="1" t="s">
        <v>139</v>
      </c>
      <c r="D89" s="1" t="s">
        <v>38</v>
      </c>
      <c r="E89" s="1">
        <v>9515</v>
      </c>
      <c r="F89" s="4">
        <v>15000000</v>
      </c>
      <c r="G89" s="4">
        <v>1576</v>
      </c>
      <c r="H89" s="1">
        <v>6</v>
      </c>
      <c r="I89" s="1">
        <v>4</v>
      </c>
      <c r="J89" s="1">
        <v>9</v>
      </c>
      <c r="K89" s="1" t="s">
        <v>21</v>
      </c>
      <c r="L89" s="1" t="s">
        <v>231</v>
      </c>
      <c r="M89" s="1">
        <v>3</v>
      </c>
      <c r="N89" s="1">
        <v>6</v>
      </c>
      <c r="O89" s="1">
        <v>61365</v>
      </c>
      <c r="P89" s="1">
        <v>4.91</v>
      </c>
      <c r="Q89" s="1" t="s">
        <v>6</v>
      </c>
      <c r="R89" s="3">
        <v>0.4955</v>
      </c>
      <c r="S89" s="2">
        <v>46007</v>
      </c>
      <c r="T89" s="1">
        <v>178</v>
      </c>
      <c r="U89" s="1" t="s">
        <v>7</v>
      </c>
      <c r="V89" s="1">
        <v>50</v>
      </c>
      <c r="W89" s="1" t="b">
        <v>0</v>
      </c>
      <c r="X89" s="1" t="b">
        <v>0</v>
      </c>
      <c r="Y89" s="1">
        <v>0</v>
      </c>
    </row>
    <row r="90" spans="1:25" x14ac:dyDescent="0.35">
      <c r="A90" s="1" t="s">
        <v>232</v>
      </c>
      <c r="B90" s="1" t="s">
        <v>25</v>
      </c>
      <c r="C90" s="1" t="s">
        <v>82</v>
      </c>
      <c r="D90" s="1" t="s">
        <v>38</v>
      </c>
      <c r="E90" s="1">
        <v>5221</v>
      </c>
      <c r="F90" s="4">
        <v>30000000</v>
      </c>
      <c r="G90" s="4">
        <v>5746</v>
      </c>
      <c r="H90" s="1">
        <v>6</v>
      </c>
      <c r="I90" s="1">
        <v>4</v>
      </c>
      <c r="J90" s="1">
        <v>4</v>
      </c>
      <c r="K90" s="1" t="s">
        <v>28</v>
      </c>
      <c r="L90" s="1" t="s">
        <v>233</v>
      </c>
      <c r="M90" s="1">
        <v>3</v>
      </c>
      <c r="N90" s="1">
        <v>4</v>
      </c>
      <c r="O90" s="1">
        <v>101552</v>
      </c>
      <c r="P90" s="1">
        <v>4.0599999999999996</v>
      </c>
      <c r="Q90" s="1" t="s">
        <v>14</v>
      </c>
      <c r="R90" s="3">
        <v>0.4531</v>
      </c>
      <c r="S90" s="2">
        <v>45503</v>
      </c>
      <c r="T90" s="1">
        <v>170</v>
      </c>
      <c r="U90" s="1" t="s">
        <v>7</v>
      </c>
      <c r="V90" s="1">
        <v>135</v>
      </c>
      <c r="W90" s="1" t="b">
        <v>0</v>
      </c>
      <c r="X90" s="1" t="b">
        <v>1</v>
      </c>
      <c r="Y90" s="1">
        <v>60000</v>
      </c>
    </row>
    <row r="91" spans="1:25" x14ac:dyDescent="0.35">
      <c r="A91" s="1" t="s">
        <v>234</v>
      </c>
      <c r="B91" s="1" t="s">
        <v>9</v>
      </c>
      <c r="C91" s="1" t="s">
        <v>109</v>
      </c>
      <c r="D91" s="1" t="s">
        <v>27</v>
      </c>
      <c r="E91" s="1">
        <v>5333</v>
      </c>
      <c r="F91" s="4">
        <v>50000000</v>
      </c>
      <c r="G91" s="4">
        <v>9375</v>
      </c>
      <c r="H91" s="1">
        <v>6</v>
      </c>
      <c r="I91" s="1">
        <v>4</v>
      </c>
      <c r="J91" s="1">
        <v>20</v>
      </c>
      <c r="K91" s="1" t="s">
        <v>28</v>
      </c>
      <c r="L91" s="1" t="s">
        <v>235</v>
      </c>
      <c r="M91" s="1">
        <v>4</v>
      </c>
      <c r="N91" s="1">
        <v>9</v>
      </c>
      <c r="O91" s="1">
        <v>132455</v>
      </c>
      <c r="P91" s="1">
        <v>3.18</v>
      </c>
      <c r="Q91" s="1" t="s">
        <v>14</v>
      </c>
      <c r="R91" s="3">
        <v>0.40889999999999999</v>
      </c>
      <c r="S91" s="2">
        <v>45569</v>
      </c>
      <c r="T91" s="1">
        <v>90</v>
      </c>
      <c r="U91" s="1" t="s">
        <v>7</v>
      </c>
      <c r="V91" s="1">
        <v>39</v>
      </c>
      <c r="W91" s="1" t="b">
        <v>0</v>
      </c>
      <c r="X91" s="1" t="b">
        <v>1</v>
      </c>
      <c r="Y91" s="1">
        <v>100000</v>
      </c>
    </row>
    <row r="92" spans="1:25" x14ac:dyDescent="0.35">
      <c r="A92" s="1" t="s">
        <v>236</v>
      </c>
      <c r="B92" s="1" t="s">
        <v>18</v>
      </c>
      <c r="C92" s="1" t="s">
        <v>19</v>
      </c>
      <c r="D92" s="1" t="s">
        <v>27</v>
      </c>
      <c r="E92" s="1">
        <v>4371</v>
      </c>
      <c r="F92" s="4">
        <v>15000000</v>
      </c>
      <c r="G92" s="4">
        <v>3431</v>
      </c>
      <c r="H92" s="1">
        <v>3</v>
      </c>
      <c r="I92" s="1">
        <v>1</v>
      </c>
      <c r="J92" s="1">
        <v>9</v>
      </c>
      <c r="K92" s="1" t="s">
        <v>61</v>
      </c>
      <c r="L92" s="1" t="s">
        <v>237</v>
      </c>
      <c r="M92" s="1">
        <v>7</v>
      </c>
      <c r="N92" s="1">
        <v>6</v>
      </c>
      <c r="O92" s="1">
        <v>49200</v>
      </c>
      <c r="P92" s="1">
        <v>3.94</v>
      </c>
      <c r="Q92" s="1" t="s">
        <v>6</v>
      </c>
      <c r="R92" s="3">
        <v>0.44679999999999997</v>
      </c>
      <c r="S92" s="2">
        <v>45959</v>
      </c>
      <c r="T92" s="1">
        <v>235</v>
      </c>
      <c r="U92" s="1" t="s">
        <v>30</v>
      </c>
      <c r="V92" s="1">
        <v>71</v>
      </c>
      <c r="W92" s="1" t="b">
        <v>0</v>
      </c>
      <c r="X92" s="1" t="b">
        <v>1</v>
      </c>
      <c r="Y92" s="1">
        <v>30000</v>
      </c>
    </row>
    <row r="93" spans="1:25" x14ac:dyDescent="0.35">
      <c r="A93" s="1" t="s">
        <v>238</v>
      </c>
      <c r="B93" s="1" t="s">
        <v>1</v>
      </c>
      <c r="C93" s="1" t="s">
        <v>97</v>
      </c>
      <c r="D93" s="1" t="s">
        <v>20</v>
      </c>
      <c r="E93" s="1">
        <v>3825</v>
      </c>
      <c r="F93" s="4">
        <v>10000000</v>
      </c>
      <c r="G93" s="4">
        <v>2614</v>
      </c>
      <c r="H93" s="1">
        <v>3</v>
      </c>
      <c r="I93" s="1">
        <v>1</v>
      </c>
      <c r="J93" s="1">
        <v>19</v>
      </c>
      <c r="K93" s="1" t="s">
        <v>42</v>
      </c>
      <c r="L93" s="1" t="s">
        <v>239</v>
      </c>
      <c r="M93" s="1">
        <v>8</v>
      </c>
      <c r="N93" s="1">
        <v>7</v>
      </c>
      <c r="O93" s="1">
        <v>29134</v>
      </c>
      <c r="P93" s="1">
        <v>3.5</v>
      </c>
      <c r="Q93" s="1" t="s">
        <v>6</v>
      </c>
      <c r="R93" s="3">
        <v>0.42479999999999996</v>
      </c>
      <c r="S93" s="2">
        <v>45889</v>
      </c>
      <c r="T93" s="1">
        <v>169</v>
      </c>
      <c r="U93" s="1" t="s">
        <v>7</v>
      </c>
      <c r="V93" s="1">
        <v>98</v>
      </c>
      <c r="W93" s="1" t="b">
        <v>0</v>
      </c>
      <c r="X93" s="1" t="b">
        <v>1</v>
      </c>
      <c r="Y93" s="1">
        <v>0</v>
      </c>
    </row>
    <row r="94" spans="1:25" x14ac:dyDescent="0.35">
      <c r="A94" s="1" t="s">
        <v>240</v>
      </c>
      <c r="B94" s="1" t="s">
        <v>1</v>
      </c>
      <c r="C94" s="1" t="s">
        <v>97</v>
      </c>
      <c r="D94" s="1" t="s">
        <v>27</v>
      </c>
      <c r="E94" s="1">
        <v>2508</v>
      </c>
      <c r="F94" s="4">
        <v>10000000</v>
      </c>
      <c r="G94" s="4">
        <v>3987</v>
      </c>
      <c r="H94" s="1">
        <v>3</v>
      </c>
      <c r="I94" s="1">
        <v>2</v>
      </c>
      <c r="J94" s="1">
        <v>9</v>
      </c>
      <c r="K94" s="1" t="s">
        <v>58</v>
      </c>
      <c r="L94" s="1" t="s">
        <v>241</v>
      </c>
      <c r="M94" s="1">
        <v>4</v>
      </c>
      <c r="N94" s="1">
        <v>5</v>
      </c>
      <c r="O94" s="1">
        <v>40677</v>
      </c>
      <c r="P94" s="1">
        <v>4.88</v>
      </c>
      <c r="Q94" s="1" t="s">
        <v>6</v>
      </c>
      <c r="R94" s="3">
        <v>0.49409999999999998</v>
      </c>
      <c r="S94" s="2">
        <v>45780</v>
      </c>
      <c r="T94" s="1">
        <v>245</v>
      </c>
      <c r="U94" s="1" t="s">
        <v>30</v>
      </c>
      <c r="V94" s="1">
        <v>64</v>
      </c>
      <c r="W94" s="1" t="b">
        <v>1</v>
      </c>
      <c r="X94" s="1" t="b">
        <v>0</v>
      </c>
      <c r="Y94" s="1">
        <v>0</v>
      </c>
    </row>
    <row r="95" spans="1:25" x14ac:dyDescent="0.35">
      <c r="A95" s="1" t="s">
        <v>242</v>
      </c>
      <c r="B95" s="1" t="s">
        <v>18</v>
      </c>
      <c r="C95" s="1" t="s">
        <v>243</v>
      </c>
      <c r="D95" s="1" t="s">
        <v>38</v>
      </c>
      <c r="E95" s="1">
        <v>6857</v>
      </c>
      <c r="F95" s="4">
        <v>15000000</v>
      </c>
      <c r="G95" s="4">
        <v>2187</v>
      </c>
      <c r="H95" s="1">
        <v>6</v>
      </c>
      <c r="I95" s="1">
        <v>3</v>
      </c>
      <c r="J95" s="1">
        <v>24</v>
      </c>
      <c r="K95" s="1" t="s">
        <v>12</v>
      </c>
      <c r="L95" s="1" t="s">
        <v>244</v>
      </c>
      <c r="M95" s="1">
        <v>4</v>
      </c>
      <c r="N95" s="1">
        <v>8</v>
      </c>
      <c r="O95" s="1">
        <v>51604</v>
      </c>
      <c r="P95" s="1">
        <v>4.13</v>
      </c>
      <c r="Q95" s="1" t="s">
        <v>6</v>
      </c>
      <c r="R95" s="3">
        <v>0.45640000000000003</v>
      </c>
      <c r="S95" s="2">
        <v>46093</v>
      </c>
      <c r="T95" s="1">
        <v>294</v>
      </c>
      <c r="U95" s="1" t="s">
        <v>30</v>
      </c>
      <c r="V95" s="1">
        <v>81</v>
      </c>
      <c r="W95" s="1" t="b">
        <v>1</v>
      </c>
      <c r="X95" s="1" t="b">
        <v>1</v>
      </c>
      <c r="Y95" s="1">
        <v>0</v>
      </c>
    </row>
    <row r="96" spans="1:25" x14ac:dyDescent="0.35">
      <c r="A96" s="1" t="s">
        <v>245</v>
      </c>
      <c r="B96" s="1" t="s">
        <v>32</v>
      </c>
      <c r="C96" s="1" t="s">
        <v>197</v>
      </c>
      <c r="D96" s="1" t="s">
        <v>3</v>
      </c>
      <c r="E96" s="1">
        <v>1241</v>
      </c>
      <c r="F96" s="4">
        <v>12000000</v>
      </c>
      <c r="G96" s="4">
        <v>9669</v>
      </c>
      <c r="H96" s="1">
        <v>4</v>
      </c>
      <c r="I96" s="1">
        <v>2</v>
      </c>
      <c r="J96" s="1">
        <v>28</v>
      </c>
      <c r="K96" s="1" t="s">
        <v>28</v>
      </c>
      <c r="L96" s="1" t="s">
        <v>246</v>
      </c>
      <c r="M96" s="1">
        <v>7</v>
      </c>
      <c r="N96" s="1">
        <v>7</v>
      </c>
      <c r="O96" s="1">
        <v>43455</v>
      </c>
      <c r="P96" s="1">
        <v>4.3499999999999996</v>
      </c>
      <c r="Q96" s="1" t="s">
        <v>6</v>
      </c>
      <c r="R96" s="3">
        <v>0.46729999999999999</v>
      </c>
      <c r="S96" s="2">
        <v>45841</v>
      </c>
      <c r="T96" s="1">
        <v>2</v>
      </c>
      <c r="U96" s="1" t="s">
        <v>30</v>
      </c>
      <c r="V96" s="1">
        <v>95</v>
      </c>
      <c r="W96" s="1" t="b">
        <v>1</v>
      </c>
      <c r="X96" s="1" t="b">
        <v>1</v>
      </c>
      <c r="Y96" s="1">
        <v>24000</v>
      </c>
    </row>
    <row r="97" spans="1:25" x14ac:dyDescent="0.35">
      <c r="A97" s="1" t="s">
        <v>247</v>
      </c>
      <c r="B97" s="1" t="s">
        <v>18</v>
      </c>
      <c r="C97" s="1" t="s">
        <v>139</v>
      </c>
      <c r="D97" s="1" t="s">
        <v>3</v>
      </c>
      <c r="E97" s="1">
        <v>2616</v>
      </c>
      <c r="F97" s="4">
        <v>15000000</v>
      </c>
      <c r="G97" s="4">
        <v>5733</v>
      </c>
      <c r="H97" s="1">
        <v>1</v>
      </c>
      <c r="I97" s="1">
        <v>1</v>
      </c>
      <c r="J97" s="1">
        <v>29</v>
      </c>
      <c r="K97" s="1" t="s">
        <v>12</v>
      </c>
      <c r="L97" s="1" t="s">
        <v>248</v>
      </c>
      <c r="M97" s="1">
        <v>6</v>
      </c>
      <c r="N97" s="1">
        <v>9</v>
      </c>
      <c r="O97" s="1">
        <v>47061</v>
      </c>
      <c r="P97" s="1">
        <v>3.76</v>
      </c>
      <c r="Q97" s="1" t="s">
        <v>6</v>
      </c>
      <c r="R97" s="3">
        <v>0.43819999999999998</v>
      </c>
      <c r="S97" s="2">
        <v>45770</v>
      </c>
      <c r="T97" s="1">
        <v>69</v>
      </c>
      <c r="U97" s="1" t="s">
        <v>7</v>
      </c>
      <c r="V97" s="1">
        <v>168</v>
      </c>
      <c r="W97" s="1" t="b">
        <v>0</v>
      </c>
      <c r="X97" s="1" t="b">
        <v>1</v>
      </c>
      <c r="Y97" s="1">
        <v>30000</v>
      </c>
    </row>
    <row r="98" spans="1:25" x14ac:dyDescent="0.35">
      <c r="A98" s="1" t="s">
        <v>249</v>
      </c>
      <c r="B98" s="1" t="s">
        <v>32</v>
      </c>
      <c r="C98" s="1" t="s">
        <v>197</v>
      </c>
      <c r="D98" s="1" t="s">
        <v>38</v>
      </c>
      <c r="E98" s="1">
        <v>4043</v>
      </c>
      <c r="F98" s="4">
        <v>12000000</v>
      </c>
      <c r="G98" s="4">
        <v>2968</v>
      </c>
      <c r="H98" s="1">
        <v>6</v>
      </c>
      <c r="I98" s="1">
        <v>3</v>
      </c>
      <c r="J98" s="1">
        <v>26</v>
      </c>
      <c r="K98" s="1" t="s">
        <v>21</v>
      </c>
      <c r="L98" s="1" t="s">
        <v>250</v>
      </c>
      <c r="M98" s="1">
        <v>3</v>
      </c>
      <c r="N98" s="1">
        <v>5</v>
      </c>
      <c r="O98" s="1">
        <v>46467</v>
      </c>
      <c r="P98" s="1">
        <v>4.6500000000000004</v>
      </c>
      <c r="Q98" s="1" t="s">
        <v>6</v>
      </c>
      <c r="R98" s="3">
        <v>0.48229999999999995</v>
      </c>
      <c r="S98" s="2">
        <v>45903</v>
      </c>
      <c r="T98" s="1">
        <v>97</v>
      </c>
      <c r="U98" s="1" t="s">
        <v>7</v>
      </c>
      <c r="V98" s="1">
        <v>100</v>
      </c>
      <c r="W98" s="1" t="b">
        <v>1</v>
      </c>
      <c r="X98" s="1" t="b">
        <v>1</v>
      </c>
      <c r="Y98" s="1">
        <v>0</v>
      </c>
    </row>
    <row r="99" spans="1:25" x14ac:dyDescent="0.35">
      <c r="A99" s="1" t="s">
        <v>251</v>
      </c>
      <c r="B99" s="1" t="s">
        <v>32</v>
      </c>
      <c r="C99" s="1" t="s">
        <v>33</v>
      </c>
      <c r="D99" s="1" t="s">
        <v>27</v>
      </c>
      <c r="E99" s="1">
        <v>3688</v>
      </c>
      <c r="F99" s="4">
        <v>12000000</v>
      </c>
      <c r="G99" s="4">
        <v>3253</v>
      </c>
      <c r="H99" s="1">
        <v>3</v>
      </c>
      <c r="I99" s="1">
        <v>1</v>
      </c>
      <c r="J99" s="1">
        <v>19</v>
      </c>
      <c r="K99" s="1" t="s">
        <v>28</v>
      </c>
      <c r="L99" s="1" t="s">
        <v>252</v>
      </c>
      <c r="M99" s="1">
        <v>3</v>
      </c>
      <c r="N99" s="1">
        <v>10</v>
      </c>
      <c r="O99" s="1">
        <v>34686</v>
      </c>
      <c r="P99" s="1">
        <v>3.47</v>
      </c>
      <c r="Q99" s="1" t="s">
        <v>6</v>
      </c>
      <c r="R99" s="3">
        <v>0.42340000000000005</v>
      </c>
      <c r="S99" s="2">
        <v>45934</v>
      </c>
      <c r="T99" s="1">
        <v>72</v>
      </c>
      <c r="U99" s="1" t="s">
        <v>30</v>
      </c>
      <c r="V99" s="1">
        <v>44</v>
      </c>
      <c r="W99" s="1" t="b">
        <v>0</v>
      </c>
      <c r="X99" s="1" t="b">
        <v>1</v>
      </c>
      <c r="Y99" s="1">
        <v>0</v>
      </c>
    </row>
    <row r="100" spans="1:25" x14ac:dyDescent="0.35">
      <c r="A100" s="1" t="s">
        <v>253</v>
      </c>
      <c r="B100" s="1" t="s">
        <v>32</v>
      </c>
      <c r="C100" s="1" t="s">
        <v>67</v>
      </c>
      <c r="D100" s="1" t="s">
        <v>20</v>
      </c>
      <c r="E100" s="1">
        <v>2470</v>
      </c>
      <c r="F100" s="4">
        <v>12000000</v>
      </c>
      <c r="G100" s="4">
        <v>4858</v>
      </c>
      <c r="H100" s="1">
        <v>4</v>
      </c>
      <c r="I100" s="1">
        <v>2</v>
      </c>
      <c r="J100" s="1">
        <v>21</v>
      </c>
      <c r="K100" s="1" t="s">
        <v>21</v>
      </c>
      <c r="L100" s="1" t="s">
        <v>254</v>
      </c>
      <c r="M100" s="1">
        <v>7</v>
      </c>
      <c r="N100" s="1">
        <v>9</v>
      </c>
      <c r="O100" s="1">
        <v>30937</v>
      </c>
      <c r="P100" s="1">
        <v>3.09</v>
      </c>
      <c r="Q100" s="1" t="s">
        <v>6</v>
      </c>
      <c r="R100" s="3">
        <v>0.4047</v>
      </c>
      <c r="S100" s="2">
        <v>45804</v>
      </c>
      <c r="T100" s="1">
        <v>269</v>
      </c>
      <c r="U100" s="1" t="s">
        <v>23</v>
      </c>
      <c r="V100" s="1">
        <v>127</v>
      </c>
      <c r="W100" s="1" t="b">
        <v>0</v>
      </c>
      <c r="X100" s="1" t="b">
        <v>0</v>
      </c>
      <c r="Y100" s="1">
        <v>0</v>
      </c>
    </row>
    <row r="101" spans="1:25" x14ac:dyDescent="0.35">
      <c r="A101" s="1" t="s">
        <v>255</v>
      </c>
      <c r="B101" s="1" t="s">
        <v>25</v>
      </c>
      <c r="C101" s="1" t="s">
        <v>26</v>
      </c>
      <c r="D101" s="1" t="s">
        <v>11</v>
      </c>
      <c r="E101" s="1">
        <v>344</v>
      </c>
      <c r="F101" s="4">
        <v>30000000</v>
      </c>
      <c r="G101" s="4">
        <v>87209</v>
      </c>
      <c r="H101" s="1">
        <v>1</v>
      </c>
      <c r="I101" s="1">
        <v>1</v>
      </c>
      <c r="J101" s="1">
        <v>27</v>
      </c>
      <c r="K101" s="1" t="s">
        <v>21</v>
      </c>
      <c r="L101" s="1" t="s">
        <v>256</v>
      </c>
      <c r="M101" s="1">
        <v>4</v>
      </c>
      <c r="N101" s="1">
        <v>6</v>
      </c>
      <c r="O101" s="1">
        <v>102864</v>
      </c>
      <c r="P101" s="1">
        <v>4.1100000000000003</v>
      </c>
      <c r="Q101" s="1" t="s">
        <v>14</v>
      </c>
      <c r="R101" s="3">
        <v>0.45569999999999999</v>
      </c>
      <c r="S101" s="2">
        <v>46019</v>
      </c>
      <c r="T101" s="1">
        <v>170</v>
      </c>
      <c r="U101" s="1" t="s">
        <v>7</v>
      </c>
      <c r="V101" s="1">
        <v>82</v>
      </c>
      <c r="W101" s="1" t="b">
        <v>1</v>
      </c>
      <c r="X101" s="1" t="b">
        <v>0</v>
      </c>
      <c r="Y101" s="1">
        <v>0</v>
      </c>
    </row>
    <row r="102" spans="1:25" x14ac:dyDescent="0.35">
      <c r="A102" s="1" t="s">
        <v>257</v>
      </c>
      <c r="B102" s="1" t="s">
        <v>9</v>
      </c>
      <c r="C102" s="1" t="s">
        <v>109</v>
      </c>
      <c r="D102" s="1" t="s">
        <v>27</v>
      </c>
      <c r="E102" s="1">
        <v>2422</v>
      </c>
      <c r="F102" s="4">
        <v>50000000</v>
      </c>
      <c r="G102" s="4">
        <v>20644</v>
      </c>
      <c r="H102" s="1">
        <v>5</v>
      </c>
      <c r="I102" s="1">
        <v>3</v>
      </c>
      <c r="J102" s="1">
        <v>21</v>
      </c>
      <c r="K102" s="1" t="s">
        <v>42</v>
      </c>
      <c r="L102" s="1" t="s">
        <v>258</v>
      </c>
      <c r="M102" s="1">
        <v>7</v>
      </c>
      <c r="N102" s="1">
        <v>4</v>
      </c>
      <c r="O102" s="1">
        <v>200586</v>
      </c>
      <c r="P102" s="1">
        <v>4.8099999999999996</v>
      </c>
      <c r="Q102" s="1" t="s">
        <v>14</v>
      </c>
      <c r="R102" s="3">
        <v>0.49070000000000003</v>
      </c>
      <c r="S102" s="2">
        <v>45846</v>
      </c>
      <c r="T102" s="1">
        <v>98</v>
      </c>
      <c r="U102" s="1" t="s">
        <v>23</v>
      </c>
      <c r="V102" s="1">
        <v>84</v>
      </c>
      <c r="W102" s="1" t="b">
        <v>1</v>
      </c>
      <c r="X102" s="1" t="b">
        <v>0</v>
      </c>
      <c r="Y102" s="1">
        <v>100000</v>
      </c>
    </row>
    <row r="103" spans="1:25" x14ac:dyDescent="0.35">
      <c r="A103" s="1" t="s">
        <v>259</v>
      </c>
      <c r="B103" s="1" t="s">
        <v>1</v>
      </c>
      <c r="C103" s="1" t="s">
        <v>51</v>
      </c>
      <c r="D103" s="1" t="s">
        <v>27</v>
      </c>
      <c r="E103" s="1">
        <v>5249</v>
      </c>
      <c r="F103" s="4">
        <v>10000000</v>
      </c>
      <c r="G103" s="4">
        <v>1905</v>
      </c>
      <c r="H103" s="1">
        <v>4</v>
      </c>
      <c r="I103" s="1">
        <v>3</v>
      </c>
      <c r="J103" s="1">
        <v>24</v>
      </c>
      <c r="K103" s="1" t="s">
        <v>12</v>
      </c>
      <c r="L103" s="1" t="s">
        <v>260</v>
      </c>
      <c r="M103" s="1">
        <v>5</v>
      </c>
      <c r="N103" s="1">
        <v>9</v>
      </c>
      <c r="O103" s="1">
        <v>33287</v>
      </c>
      <c r="P103" s="1">
        <v>3.99</v>
      </c>
      <c r="Q103" s="1" t="s">
        <v>6</v>
      </c>
      <c r="R103" s="3">
        <v>0.44969999999999999</v>
      </c>
      <c r="S103" s="2">
        <v>46056</v>
      </c>
      <c r="T103" s="1">
        <v>164</v>
      </c>
      <c r="U103" s="1" t="s">
        <v>30</v>
      </c>
      <c r="V103" s="1">
        <v>150</v>
      </c>
      <c r="W103" s="1" t="b">
        <v>1</v>
      </c>
      <c r="X103" s="1" t="b">
        <v>0</v>
      </c>
      <c r="Y103" s="1">
        <v>0</v>
      </c>
    </row>
    <row r="104" spans="1:25" x14ac:dyDescent="0.35">
      <c r="A104" s="1" t="s">
        <v>261</v>
      </c>
      <c r="B104" s="1" t="s">
        <v>18</v>
      </c>
      <c r="C104" s="1" t="s">
        <v>169</v>
      </c>
      <c r="D104" s="1" t="s">
        <v>38</v>
      </c>
      <c r="E104" s="1">
        <v>4812</v>
      </c>
      <c r="F104" s="4">
        <v>15000000</v>
      </c>
      <c r="G104" s="4">
        <v>3117</v>
      </c>
      <c r="H104" s="1">
        <v>6</v>
      </c>
      <c r="I104" s="1">
        <v>3</v>
      </c>
      <c r="J104" s="1">
        <v>0</v>
      </c>
      <c r="K104" s="1" t="s">
        <v>12</v>
      </c>
      <c r="L104" s="1" t="s">
        <v>262</v>
      </c>
      <c r="M104" s="1">
        <v>5</v>
      </c>
      <c r="N104" s="1">
        <v>9</v>
      </c>
      <c r="O104" s="1">
        <v>51744</v>
      </c>
      <c r="P104" s="1">
        <v>4.1399999999999997</v>
      </c>
      <c r="Q104" s="1" t="s">
        <v>6</v>
      </c>
      <c r="R104" s="3">
        <v>0.45700000000000002</v>
      </c>
      <c r="S104" s="2">
        <v>45905</v>
      </c>
      <c r="T104" s="1">
        <v>132</v>
      </c>
      <c r="U104" s="1" t="s">
        <v>7</v>
      </c>
      <c r="V104" s="1">
        <v>116</v>
      </c>
      <c r="W104" s="1" t="b">
        <v>0</v>
      </c>
      <c r="X104" s="1" t="b">
        <v>0</v>
      </c>
      <c r="Y104" s="1">
        <v>0</v>
      </c>
    </row>
    <row r="105" spans="1:25" x14ac:dyDescent="0.35">
      <c r="A105" s="1" t="s">
        <v>263</v>
      </c>
      <c r="B105" s="1" t="s">
        <v>25</v>
      </c>
      <c r="C105" s="1" t="s">
        <v>182</v>
      </c>
      <c r="D105" s="1" t="s">
        <v>20</v>
      </c>
      <c r="E105" s="1">
        <v>2193</v>
      </c>
      <c r="F105" s="4">
        <v>30000000</v>
      </c>
      <c r="G105" s="4">
        <v>13679</v>
      </c>
      <c r="H105" s="1">
        <v>3</v>
      </c>
      <c r="I105" s="1">
        <v>2</v>
      </c>
      <c r="J105" s="1">
        <v>5</v>
      </c>
      <c r="K105" s="1" t="s">
        <v>21</v>
      </c>
      <c r="L105" s="1" t="s">
        <v>264</v>
      </c>
      <c r="M105" s="1">
        <v>7</v>
      </c>
      <c r="N105" s="1">
        <v>4</v>
      </c>
      <c r="O105" s="1">
        <v>106535</v>
      </c>
      <c r="P105" s="1">
        <v>4.26</v>
      </c>
      <c r="Q105" s="1" t="s">
        <v>14</v>
      </c>
      <c r="R105" s="3">
        <v>0.46310000000000001</v>
      </c>
      <c r="S105" s="2">
        <v>46087</v>
      </c>
      <c r="T105" s="1">
        <v>259</v>
      </c>
      <c r="U105" s="1" t="s">
        <v>30</v>
      </c>
      <c r="V105" s="1">
        <v>85</v>
      </c>
      <c r="W105" s="1" t="b">
        <v>0</v>
      </c>
      <c r="X105" s="1" t="b">
        <v>0</v>
      </c>
      <c r="Y105" s="1">
        <v>60000</v>
      </c>
    </row>
    <row r="106" spans="1:25" x14ac:dyDescent="0.35">
      <c r="A106" s="1" t="s">
        <v>265</v>
      </c>
      <c r="B106" s="1" t="s">
        <v>32</v>
      </c>
      <c r="C106" s="1" t="s">
        <v>194</v>
      </c>
      <c r="D106" s="1" t="s">
        <v>38</v>
      </c>
      <c r="E106" s="1">
        <v>6958</v>
      </c>
      <c r="F106" s="4">
        <v>12000000</v>
      </c>
      <c r="G106" s="4">
        <v>1724</v>
      </c>
      <c r="H106" s="1">
        <v>6</v>
      </c>
      <c r="I106" s="1">
        <v>4</v>
      </c>
      <c r="J106" s="1">
        <v>0</v>
      </c>
      <c r="K106" s="1" t="s">
        <v>28</v>
      </c>
      <c r="L106" s="1" t="s">
        <v>266</v>
      </c>
      <c r="M106" s="1">
        <v>3</v>
      </c>
      <c r="N106" s="1">
        <v>4</v>
      </c>
      <c r="O106" s="1">
        <v>44443</v>
      </c>
      <c r="P106" s="1">
        <v>4.4400000000000004</v>
      </c>
      <c r="Q106" s="1" t="s">
        <v>6</v>
      </c>
      <c r="R106" s="3">
        <v>0.47220000000000001</v>
      </c>
      <c r="S106" s="2">
        <v>45608</v>
      </c>
      <c r="T106" s="1">
        <v>358</v>
      </c>
      <c r="U106" s="1" t="s">
        <v>23</v>
      </c>
      <c r="V106" s="1">
        <v>158</v>
      </c>
      <c r="W106" s="1" t="b">
        <v>0</v>
      </c>
      <c r="X106" s="1" t="b">
        <v>1</v>
      </c>
      <c r="Y106" s="1">
        <v>24000</v>
      </c>
    </row>
    <row r="107" spans="1:25" x14ac:dyDescent="0.35">
      <c r="A107" s="1" t="s">
        <v>267</v>
      </c>
      <c r="B107" s="1" t="s">
        <v>9</v>
      </c>
      <c r="C107" s="1" t="s">
        <v>109</v>
      </c>
      <c r="D107" s="1" t="s">
        <v>27</v>
      </c>
      <c r="E107" s="1">
        <v>3974</v>
      </c>
      <c r="F107" s="4">
        <v>50000000</v>
      </c>
      <c r="G107" s="4">
        <v>12581</v>
      </c>
      <c r="H107" s="1">
        <v>4</v>
      </c>
      <c r="I107" s="1">
        <v>3</v>
      </c>
      <c r="J107" s="1">
        <v>26</v>
      </c>
      <c r="K107" s="1" t="s">
        <v>42</v>
      </c>
      <c r="L107" s="1" t="s">
        <v>268</v>
      </c>
      <c r="M107" s="1">
        <v>5</v>
      </c>
      <c r="N107" s="1">
        <v>10</v>
      </c>
      <c r="O107" s="1">
        <v>207519</v>
      </c>
      <c r="P107" s="1">
        <v>4.9800000000000004</v>
      </c>
      <c r="Q107" s="1" t="s">
        <v>14</v>
      </c>
      <c r="R107" s="3">
        <v>0.499</v>
      </c>
      <c r="S107" s="2">
        <v>45925</v>
      </c>
      <c r="T107" s="1">
        <v>335</v>
      </c>
      <c r="U107" s="1" t="s">
        <v>7</v>
      </c>
      <c r="V107" s="1">
        <v>50</v>
      </c>
      <c r="W107" s="1" t="b">
        <v>1</v>
      </c>
      <c r="X107" s="1" t="b">
        <v>1</v>
      </c>
      <c r="Y107" s="1">
        <v>0</v>
      </c>
    </row>
    <row r="108" spans="1:25" x14ac:dyDescent="0.35">
      <c r="A108" s="1" t="s">
        <v>269</v>
      </c>
      <c r="B108" s="1" t="s">
        <v>18</v>
      </c>
      <c r="C108" s="1" t="s">
        <v>19</v>
      </c>
      <c r="D108" s="1" t="s">
        <v>38</v>
      </c>
      <c r="E108" s="1">
        <v>6899</v>
      </c>
      <c r="F108" s="4">
        <v>15000000</v>
      </c>
      <c r="G108" s="4">
        <v>2174</v>
      </c>
      <c r="H108" s="1">
        <v>4</v>
      </c>
      <c r="I108" s="1">
        <v>2</v>
      </c>
      <c r="J108" s="1">
        <v>22</v>
      </c>
      <c r="K108" s="1" t="s">
        <v>12</v>
      </c>
      <c r="L108" s="1" t="s">
        <v>270</v>
      </c>
      <c r="M108" s="1">
        <v>4</v>
      </c>
      <c r="N108" s="1">
        <v>4</v>
      </c>
      <c r="O108" s="1">
        <v>58949</v>
      </c>
      <c r="P108" s="1">
        <v>4.72</v>
      </c>
      <c r="Q108" s="1" t="s">
        <v>6</v>
      </c>
      <c r="R108" s="3">
        <v>0.48580000000000001</v>
      </c>
      <c r="S108" s="2">
        <v>46059</v>
      </c>
      <c r="T108" s="1">
        <v>109</v>
      </c>
      <c r="U108" s="1" t="s">
        <v>23</v>
      </c>
      <c r="V108" s="1">
        <v>88</v>
      </c>
      <c r="W108" s="1" t="b">
        <v>0</v>
      </c>
      <c r="X108" s="1" t="b">
        <v>0</v>
      </c>
      <c r="Y108" s="1">
        <v>30000</v>
      </c>
    </row>
    <row r="109" spans="1:25" x14ac:dyDescent="0.35">
      <c r="A109" s="1" t="s">
        <v>271</v>
      </c>
      <c r="B109" s="1" t="s">
        <v>9</v>
      </c>
      <c r="C109" s="1" t="s">
        <v>142</v>
      </c>
      <c r="D109" s="1" t="s">
        <v>20</v>
      </c>
      <c r="E109" s="1">
        <v>3724</v>
      </c>
      <c r="F109" s="4">
        <v>50000000</v>
      </c>
      <c r="G109" s="4">
        <v>13426</v>
      </c>
      <c r="H109" s="1">
        <v>2</v>
      </c>
      <c r="I109" s="1">
        <v>1</v>
      </c>
      <c r="J109" s="1">
        <v>29</v>
      </c>
      <c r="K109" s="1" t="s">
        <v>21</v>
      </c>
      <c r="L109" s="1" t="s">
        <v>272</v>
      </c>
      <c r="M109" s="1">
        <v>5</v>
      </c>
      <c r="N109" s="1">
        <v>10</v>
      </c>
      <c r="O109" s="1">
        <v>149939</v>
      </c>
      <c r="P109" s="1">
        <v>3.6</v>
      </c>
      <c r="Q109" s="1" t="s">
        <v>14</v>
      </c>
      <c r="R109" s="3">
        <v>0.4299</v>
      </c>
      <c r="S109" s="2">
        <v>45579</v>
      </c>
      <c r="T109" s="1">
        <v>347</v>
      </c>
      <c r="U109" s="1" t="s">
        <v>7</v>
      </c>
      <c r="V109" s="1">
        <v>129</v>
      </c>
      <c r="W109" s="1" t="b">
        <v>0</v>
      </c>
      <c r="X109" s="1" t="b">
        <v>0</v>
      </c>
      <c r="Y109" s="1">
        <v>100000</v>
      </c>
    </row>
    <row r="110" spans="1:25" x14ac:dyDescent="0.35">
      <c r="A110" s="1" t="s">
        <v>273</v>
      </c>
      <c r="B110" s="1" t="s">
        <v>1</v>
      </c>
      <c r="C110" s="1" t="s">
        <v>45</v>
      </c>
      <c r="D110" s="1" t="s">
        <v>3</v>
      </c>
      <c r="E110" s="1">
        <v>2451</v>
      </c>
      <c r="F110" s="4">
        <v>10000000</v>
      </c>
      <c r="G110" s="4">
        <v>4079</v>
      </c>
      <c r="H110" s="1">
        <v>3</v>
      </c>
      <c r="I110" s="1">
        <v>1</v>
      </c>
      <c r="J110" s="1">
        <v>3</v>
      </c>
      <c r="K110" s="1" t="s">
        <v>21</v>
      </c>
      <c r="L110" s="1" t="s">
        <v>274</v>
      </c>
      <c r="M110" s="1">
        <v>6</v>
      </c>
      <c r="N110" s="1">
        <v>7</v>
      </c>
      <c r="O110" s="1">
        <v>30439</v>
      </c>
      <c r="P110" s="1">
        <v>3.65</v>
      </c>
      <c r="Q110" s="1" t="s">
        <v>6</v>
      </c>
      <c r="R110" s="3">
        <v>0.43259999999999998</v>
      </c>
      <c r="S110" s="2">
        <v>45507</v>
      </c>
      <c r="T110" s="1">
        <v>117</v>
      </c>
      <c r="U110" s="1" t="s">
        <v>7</v>
      </c>
      <c r="V110" s="1">
        <v>155</v>
      </c>
      <c r="W110" s="1" t="b">
        <v>0</v>
      </c>
      <c r="X110" s="1" t="b">
        <v>0</v>
      </c>
      <c r="Y110" s="1">
        <v>0</v>
      </c>
    </row>
    <row r="111" spans="1:25" x14ac:dyDescent="0.35">
      <c r="A111" s="1" t="s">
        <v>275</v>
      </c>
      <c r="B111" s="1" t="s">
        <v>25</v>
      </c>
      <c r="C111" s="1" t="s">
        <v>182</v>
      </c>
      <c r="D111" s="1" t="s">
        <v>38</v>
      </c>
      <c r="E111" s="1">
        <v>8412</v>
      </c>
      <c r="F111" s="4">
        <v>30000000</v>
      </c>
      <c r="G111" s="4">
        <v>3566</v>
      </c>
      <c r="H111" s="1">
        <v>5</v>
      </c>
      <c r="I111" s="1">
        <v>2</v>
      </c>
      <c r="J111" s="1">
        <v>24</v>
      </c>
      <c r="K111" s="1" t="s">
        <v>61</v>
      </c>
      <c r="L111" s="1" t="s">
        <v>276</v>
      </c>
      <c r="M111" s="1">
        <v>7</v>
      </c>
      <c r="N111" s="1">
        <v>6</v>
      </c>
      <c r="O111" s="1">
        <v>90833</v>
      </c>
      <c r="P111" s="1">
        <v>3.63</v>
      </c>
      <c r="Q111" s="1" t="s">
        <v>14</v>
      </c>
      <c r="R111" s="3">
        <v>0.43170000000000003</v>
      </c>
      <c r="S111" s="2">
        <v>46047</v>
      </c>
      <c r="T111" s="1">
        <v>185</v>
      </c>
      <c r="U111" s="1" t="s">
        <v>7</v>
      </c>
      <c r="V111" s="1">
        <v>143</v>
      </c>
      <c r="W111" s="1" t="b">
        <v>0</v>
      </c>
      <c r="X111" s="1" t="b">
        <v>1</v>
      </c>
      <c r="Y111" s="1">
        <v>60000</v>
      </c>
    </row>
    <row r="112" spans="1:25" x14ac:dyDescent="0.35">
      <c r="A112" s="1" t="s">
        <v>277</v>
      </c>
      <c r="B112" s="1" t="s">
        <v>9</v>
      </c>
      <c r="C112" s="1" t="s">
        <v>10</v>
      </c>
      <c r="D112" s="1" t="s">
        <v>11</v>
      </c>
      <c r="E112" s="1">
        <v>479</v>
      </c>
      <c r="F112" s="4">
        <v>50000000</v>
      </c>
      <c r="G112" s="4">
        <v>104384</v>
      </c>
      <c r="H112" s="1">
        <v>1</v>
      </c>
      <c r="I112" s="1">
        <v>1</v>
      </c>
      <c r="J112" s="1">
        <v>0</v>
      </c>
      <c r="K112" s="1" t="s">
        <v>12</v>
      </c>
      <c r="L112" s="1" t="s">
        <v>278</v>
      </c>
      <c r="M112" s="1">
        <v>3</v>
      </c>
      <c r="N112" s="1">
        <v>4</v>
      </c>
      <c r="O112" s="1">
        <v>126028</v>
      </c>
      <c r="P112" s="1">
        <v>3.02</v>
      </c>
      <c r="Q112" s="1" t="s">
        <v>14</v>
      </c>
      <c r="R112" s="3">
        <v>0.4012</v>
      </c>
      <c r="S112" s="2">
        <v>45733</v>
      </c>
      <c r="T112" s="1">
        <v>125</v>
      </c>
      <c r="U112" s="1" t="s">
        <v>7</v>
      </c>
      <c r="V112" s="1">
        <v>173</v>
      </c>
      <c r="W112" s="1" t="b">
        <v>1</v>
      </c>
      <c r="X112" s="1" t="b">
        <v>0</v>
      </c>
      <c r="Y112" s="1">
        <v>100000</v>
      </c>
    </row>
    <row r="113" spans="1:25" x14ac:dyDescent="0.35">
      <c r="A113" s="1" t="s">
        <v>279</v>
      </c>
      <c r="B113" s="1" t="s">
        <v>25</v>
      </c>
      <c r="C113" s="1" t="s">
        <v>26</v>
      </c>
      <c r="D113" s="1" t="s">
        <v>20</v>
      </c>
      <c r="E113" s="1">
        <v>2599</v>
      </c>
      <c r="F113" s="4">
        <v>30000000</v>
      </c>
      <c r="G113" s="4">
        <v>11542</v>
      </c>
      <c r="H113" s="1">
        <v>5</v>
      </c>
      <c r="I113" s="1">
        <v>2</v>
      </c>
      <c r="J113" s="1">
        <v>2</v>
      </c>
      <c r="K113" s="1" t="s">
        <v>42</v>
      </c>
      <c r="L113" s="1" t="s">
        <v>280</v>
      </c>
      <c r="M113" s="1">
        <v>4</v>
      </c>
      <c r="N113" s="1">
        <v>7</v>
      </c>
      <c r="O113" s="1">
        <v>93056</v>
      </c>
      <c r="P113" s="1">
        <v>3.72</v>
      </c>
      <c r="Q113" s="1" t="s">
        <v>14</v>
      </c>
      <c r="R113" s="3">
        <v>0.43609999999999999</v>
      </c>
      <c r="S113" s="2">
        <v>45904</v>
      </c>
      <c r="T113" s="1">
        <v>235</v>
      </c>
      <c r="U113" s="1" t="s">
        <v>30</v>
      </c>
      <c r="V113" s="1">
        <v>80</v>
      </c>
      <c r="W113" s="1" t="b">
        <v>1</v>
      </c>
      <c r="X113" s="1" t="b">
        <v>1</v>
      </c>
      <c r="Y113" s="1">
        <v>0</v>
      </c>
    </row>
    <row r="114" spans="1:25" x14ac:dyDescent="0.35">
      <c r="A114" s="1" t="s">
        <v>281</v>
      </c>
      <c r="B114" s="1" t="s">
        <v>9</v>
      </c>
      <c r="C114" s="1" t="s">
        <v>114</v>
      </c>
      <c r="D114" s="1" t="s">
        <v>20</v>
      </c>
      <c r="E114" s="1">
        <v>4947</v>
      </c>
      <c r="F114" s="4">
        <v>50000000</v>
      </c>
      <c r="G114" s="4">
        <v>10107</v>
      </c>
      <c r="H114" s="1">
        <v>5</v>
      </c>
      <c r="I114" s="1">
        <v>3</v>
      </c>
      <c r="J114" s="1">
        <v>14</v>
      </c>
      <c r="K114" s="1" t="s">
        <v>4</v>
      </c>
      <c r="L114" s="1" t="s">
        <v>282</v>
      </c>
      <c r="M114" s="1">
        <v>5</v>
      </c>
      <c r="N114" s="1">
        <v>6</v>
      </c>
      <c r="O114" s="1">
        <v>139803</v>
      </c>
      <c r="P114" s="1">
        <v>3.36</v>
      </c>
      <c r="Q114" s="1" t="s">
        <v>14</v>
      </c>
      <c r="R114" s="3">
        <v>0.4178</v>
      </c>
      <c r="S114" s="2">
        <v>45749</v>
      </c>
      <c r="T114" s="1">
        <v>295</v>
      </c>
      <c r="U114" s="1" t="s">
        <v>23</v>
      </c>
      <c r="V114" s="1">
        <v>155</v>
      </c>
      <c r="W114" s="1" t="b">
        <v>1</v>
      </c>
      <c r="X114" s="1" t="b">
        <v>0</v>
      </c>
      <c r="Y114" s="1">
        <v>0</v>
      </c>
    </row>
    <row r="115" spans="1:25" x14ac:dyDescent="0.35">
      <c r="A115" s="1" t="s">
        <v>283</v>
      </c>
      <c r="B115" s="1" t="s">
        <v>54</v>
      </c>
      <c r="C115" s="1" t="s">
        <v>89</v>
      </c>
      <c r="D115" s="1" t="s">
        <v>20</v>
      </c>
      <c r="E115" s="1">
        <v>1966</v>
      </c>
      <c r="F115" s="4">
        <v>40000000</v>
      </c>
      <c r="G115" s="4">
        <v>20345</v>
      </c>
      <c r="H115" s="1">
        <v>3</v>
      </c>
      <c r="I115" s="1">
        <v>1</v>
      </c>
      <c r="J115" s="1">
        <v>21</v>
      </c>
      <c r="K115" s="1" t="s">
        <v>42</v>
      </c>
      <c r="L115" s="1" t="s">
        <v>284</v>
      </c>
      <c r="M115" s="1">
        <v>7</v>
      </c>
      <c r="N115" s="1">
        <v>9</v>
      </c>
      <c r="O115" s="1">
        <v>120188</v>
      </c>
      <c r="P115" s="1">
        <v>3.61</v>
      </c>
      <c r="Q115" s="1" t="s">
        <v>14</v>
      </c>
      <c r="R115" s="3">
        <v>0.43030000000000002</v>
      </c>
      <c r="S115" s="2">
        <v>45898</v>
      </c>
      <c r="T115" s="1">
        <v>194</v>
      </c>
      <c r="U115" s="1" t="s">
        <v>30</v>
      </c>
      <c r="V115" s="1">
        <v>138</v>
      </c>
      <c r="W115" s="1" t="b">
        <v>1</v>
      </c>
      <c r="X115" s="1" t="b">
        <v>0</v>
      </c>
      <c r="Y115" s="1">
        <v>0</v>
      </c>
    </row>
    <row r="116" spans="1:25" x14ac:dyDescent="0.35">
      <c r="A116" s="1" t="s">
        <v>285</v>
      </c>
      <c r="B116" s="1" t="s">
        <v>32</v>
      </c>
      <c r="C116" s="1" t="s">
        <v>197</v>
      </c>
      <c r="D116" s="1" t="s">
        <v>38</v>
      </c>
      <c r="E116" s="1">
        <v>7150</v>
      </c>
      <c r="F116" s="4">
        <v>12000000</v>
      </c>
      <c r="G116" s="4">
        <v>1678</v>
      </c>
      <c r="H116" s="1">
        <v>6</v>
      </c>
      <c r="I116" s="1">
        <v>4</v>
      </c>
      <c r="J116" s="1">
        <v>17</v>
      </c>
      <c r="K116" s="1" t="s">
        <v>58</v>
      </c>
      <c r="L116" s="1" t="s">
        <v>278</v>
      </c>
      <c r="M116" s="1">
        <v>3</v>
      </c>
      <c r="N116" s="1">
        <v>8</v>
      </c>
      <c r="O116" s="1">
        <v>43152</v>
      </c>
      <c r="P116" s="1">
        <v>4.32</v>
      </c>
      <c r="Q116" s="1" t="s">
        <v>6</v>
      </c>
      <c r="R116" s="3">
        <v>0.46579999999999999</v>
      </c>
      <c r="S116" s="2">
        <v>45793</v>
      </c>
      <c r="T116" s="1">
        <v>289</v>
      </c>
      <c r="U116" s="1" t="s">
        <v>7</v>
      </c>
      <c r="V116" s="1">
        <v>41</v>
      </c>
      <c r="W116" s="1" t="b">
        <v>0</v>
      </c>
      <c r="X116" s="1" t="b">
        <v>0</v>
      </c>
      <c r="Y116" s="1">
        <v>0</v>
      </c>
    </row>
    <row r="117" spans="1:25" x14ac:dyDescent="0.35">
      <c r="A117" s="1" t="s">
        <v>286</v>
      </c>
      <c r="B117" s="1" t="s">
        <v>9</v>
      </c>
      <c r="C117" s="1" t="s">
        <v>189</v>
      </c>
      <c r="D117" s="1" t="s">
        <v>3</v>
      </c>
      <c r="E117" s="1">
        <v>1459</v>
      </c>
      <c r="F117" s="4">
        <v>50000000</v>
      </c>
      <c r="G117" s="4">
        <v>34270</v>
      </c>
      <c r="H117" s="1">
        <v>2</v>
      </c>
      <c r="I117" s="1">
        <v>1</v>
      </c>
      <c r="J117" s="1">
        <v>14</v>
      </c>
      <c r="K117" s="1" t="s">
        <v>42</v>
      </c>
      <c r="L117" s="1" t="s">
        <v>287</v>
      </c>
      <c r="M117" s="1">
        <v>5</v>
      </c>
      <c r="N117" s="1">
        <v>9</v>
      </c>
      <c r="O117" s="1">
        <v>159664</v>
      </c>
      <c r="P117" s="1">
        <v>3.83</v>
      </c>
      <c r="Q117" s="1" t="s">
        <v>14</v>
      </c>
      <c r="R117" s="3">
        <v>0.44159999999999999</v>
      </c>
      <c r="S117" s="2">
        <v>46069</v>
      </c>
      <c r="T117" s="1">
        <v>179</v>
      </c>
      <c r="U117" s="1" t="s">
        <v>7</v>
      </c>
      <c r="V117" s="1">
        <v>66</v>
      </c>
      <c r="W117" s="1" t="b">
        <v>0</v>
      </c>
      <c r="X117" s="1" t="b">
        <v>0</v>
      </c>
      <c r="Y117" s="1">
        <v>0</v>
      </c>
    </row>
    <row r="118" spans="1:25" x14ac:dyDescent="0.35">
      <c r="A118" s="1" t="s">
        <v>288</v>
      </c>
      <c r="B118" s="1" t="s">
        <v>25</v>
      </c>
      <c r="C118" s="1" t="s">
        <v>37</v>
      </c>
      <c r="D118" s="1" t="s">
        <v>11</v>
      </c>
      <c r="E118" s="1">
        <v>428</v>
      </c>
      <c r="F118" s="4">
        <v>30000000</v>
      </c>
      <c r="G118" s="4">
        <v>70093</v>
      </c>
      <c r="H118" s="1">
        <v>1</v>
      </c>
      <c r="I118" s="1">
        <v>1</v>
      </c>
      <c r="J118" s="1">
        <v>14</v>
      </c>
      <c r="K118" s="1" t="s">
        <v>58</v>
      </c>
      <c r="L118" s="1" t="s">
        <v>289</v>
      </c>
      <c r="M118" s="1">
        <v>8</v>
      </c>
      <c r="N118" s="1">
        <v>8</v>
      </c>
      <c r="O118" s="1">
        <v>83217</v>
      </c>
      <c r="P118" s="1">
        <v>3.33</v>
      </c>
      <c r="Q118" s="1" t="s">
        <v>14</v>
      </c>
      <c r="R118" s="3">
        <v>0.41639999999999999</v>
      </c>
      <c r="S118" s="2">
        <v>45907</v>
      </c>
      <c r="T118" s="1">
        <v>170</v>
      </c>
      <c r="U118" s="1" t="s">
        <v>7</v>
      </c>
      <c r="V118" s="1">
        <v>70</v>
      </c>
      <c r="W118" s="1" t="b">
        <v>0</v>
      </c>
      <c r="X118" s="1" t="b">
        <v>0</v>
      </c>
      <c r="Y118" s="1">
        <v>60000</v>
      </c>
    </row>
    <row r="119" spans="1:25" x14ac:dyDescent="0.35">
      <c r="A119" s="1" t="s">
        <v>290</v>
      </c>
      <c r="B119" s="1" t="s">
        <v>18</v>
      </c>
      <c r="C119" s="1" t="s">
        <v>243</v>
      </c>
      <c r="D119" s="1" t="s">
        <v>27</v>
      </c>
      <c r="E119" s="1">
        <v>3526</v>
      </c>
      <c r="F119" s="4">
        <v>15000000</v>
      </c>
      <c r="G119" s="4">
        <v>4254</v>
      </c>
      <c r="H119" s="1">
        <v>6</v>
      </c>
      <c r="I119" s="1">
        <v>4</v>
      </c>
      <c r="J119" s="1">
        <v>0</v>
      </c>
      <c r="K119" s="1" t="s">
        <v>4</v>
      </c>
      <c r="L119" s="1" t="s">
        <v>291</v>
      </c>
      <c r="M119" s="1">
        <v>8</v>
      </c>
      <c r="N119" s="1">
        <v>10</v>
      </c>
      <c r="O119" s="1">
        <v>56308</v>
      </c>
      <c r="P119" s="1">
        <v>4.5</v>
      </c>
      <c r="Q119" s="1" t="s">
        <v>6</v>
      </c>
      <c r="R119" s="3">
        <v>0.47520000000000001</v>
      </c>
      <c r="S119" s="2">
        <v>46092</v>
      </c>
      <c r="T119" s="1">
        <v>96</v>
      </c>
      <c r="U119" s="1" t="s">
        <v>7</v>
      </c>
      <c r="V119" s="1">
        <v>167</v>
      </c>
      <c r="W119" s="1" t="b">
        <v>0</v>
      </c>
      <c r="X119" s="1" t="b">
        <v>0</v>
      </c>
      <c r="Y119" s="1">
        <v>30000</v>
      </c>
    </row>
    <row r="120" spans="1:25" x14ac:dyDescent="0.35">
      <c r="A120" s="1" t="s">
        <v>292</v>
      </c>
      <c r="B120" s="1" t="s">
        <v>18</v>
      </c>
      <c r="C120" s="1" t="s">
        <v>169</v>
      </c>
      <c r="D120" s="1" t="s">
        <v>20</v>
      </c>
      <c r="E120" s="1">
        <v>4247</v>
      </c>
      <c r="F120" s="4">
        <v>15000000</v>
      </c>
      <c r="G120" s="4">
        <v>3531</v>
      </c>
      <c r="H120" s="1">
        <v>5</v>
      </c>
      <c r="I120" s="1">
        <v>3</v>
      </c>
      <c r="J120" s="1">
        <v>19</v>
      </c>
      <c r="K120" s="1" t="s">
        <v>61</v>
      </c>
      <c r="L120" s="1" t="s">
        <v>293</v>
      </c>
      <c r="M120" s="1">
        <v>6</v>
      </c>
      <c r="N120" s="1">
        <v>8</v>
      </c>
      <c r="O120" s="1">
        <v>55149</v>
      </c>
      <c r="P120" s="1">
        <v>4.41</v>
      </c>
      <c r="Q120" s="1" t="s">
        <v>6</v>
      </c>
      <c r="R120" s="3">
        <v>0.47060000000000002</v>
      </c>
      <c r="S120" s="2">
        <v>45852</v>
      </c>
      <c r="T120" s="1">
        <v>345</v>
      </c>
      <c r="U120" s="1" t="s">
        <v>23</v>
      </c>
      <c r="V120" s="1">
        <v>51</v>
      </c>
      <c r="W120" s="1" t="b">
        <v>1</v>
      </c>
      <c r="X120" s="1" t="b">
        <v>0</v>
      </c>
      <c r="Y120" s="1">
        <v>30000</v>
      </c>
    </row>
    <row r="121" spans="1:25" x14ac:dyDescent="0.35">
      <c r="A121" s="1" t="s">
        <v>294</v>
      </c>
      <c r="B121" s="1" t="s">
        <v>25</v>
      </c>
      <c r="C121" s="1" t="s">
        <v>26</v>
      </c>
      <c r="D121" s="1" t="s">
        <v>3</v>
      </c>
      <c r="E121" s="1">
        <v>1149</v>
      </c>
      <c r="F121" s="4">
        <v>30000000</v>
      </c>
      <c r="G121" s="4">
        <v>26109</v>
      </c>
      <c r="H121" s="1">
        <v>3</v>
      </c>
      <c r="I121" s="1">
        <v>1</v>
      </c>
      <c r="J121" s="1">
        <v>16</v>
      </c>
      <c r="K121" s="1" t="s">
        <v>61</v>
      </c>
      <c r="L121" s="1" t="s">
        <v>295</v>
      </c>
      <c r="M121" s="1">
        <v>6</v>
      </c>
      <c r="N121" s="1">
        <v>10</v>
      </c>
      <c r="O121" s="1">
        <v>99482</v>
      </c>
      <c r="P121" s="1">
        <v>3.98</v>
      </c>
      <c r="Q121" s="1" t="s">
        <v>14</v>
      </c>
      <c r="R121" s="3">
        <v>0.44900000000000001</v>
      </c>
      <c r="S121" s="2">
        <v>46013</v>
      </c>
      <c r="T121" s="1">
        <v>318</v>
      </c>
      <c r="U121" s="1" t="s">
        <v>7</v>
      </c>
      <c r="V121" s="1">
        <v>145</v>
      </c>
      <c r="W121" s="1" t="b">
        <v>1</v>
      </c>
      <c r="X121" s="1" t="b">
        <v>0</v>
      </c>
      <c r="Y121" s="1">
        <v>60000</v>
      </c>
    </row>
    <row r="122" spans="1:25" x14ac:dyDescent="0.35">
      <c r="A122" s="1" t="s">
        <v>296</v>
      </c>
      <c r="B122" s="1" t="s">
        <v>18</v>
      </c>
      <c r="C122" s="1" t="s">
        <v>217</v>
      </c>
      <c r="D122" s="1" t="s">
        <v>27</v>
      </c>
      <c r="E122" s="1">
        <v>5145</v>
      </c>
      <c r="F122" s="4">
        <v>15000000</v>
      </c>
      <c r="G122" s="4">
        <v>2915</v>
      </c>
      <c r="H122" s="1">
        <v>6</v>
      </c>
      <c r="I122" s="1">
        <v>4</v>
      </c>
      <c r="J122" s="1">
        <v>21</v>
      </c>
      <c r="K122" s="1" t="s">
        <v>28</v>
      </c>
      <c r="L122" s="1" t="s">
        <v>297</v>
      </c>
      <c r="M122" s="1">
        <v>6</v>
      </c>
      <c r="N122" s="1">
        <v>8</v>
      </c>
      <c r="O122" s="1">
        <v>43013</v>
      </c>
      <c r="P122" s="1">
        <v>3.44</v>
      </c>
      <c r="Q122" s="1" t="s">
        <v>6</v>
      </c>
      <c r="R122" s="3">
        <v>0.42210000000000003</v>
      </c>
      <c r="S122" s="2">
        <v>46123</v>
      </c>
      <c r="T122" s="1">
        <v>87</v>
      </c>
      <c r="U122" s="1" t="s">
        <v>7</v>
      </c>
      <c r="V122" s="1">
        <v>103</v>
      </c>
      <c r="W122" s="1" t="b">
        <v>0</v>
      </c>
      <c r="X122" s="1" t="b">
        <v>0</v>
      </c>
      <c r="Y122" s="1">
        <v>30000</v>
      </c>
    </row>
    <row r="123" spans="1:25" x14ac:dyDescent="0.35">
      <c r="A123" s="1" t="s">
        <v>298</v>
      </c>
      <c r="B123" s="1" t="s">
        <v>32</v>
      </c>
      <c r="C123" s="1" t="s">
        <v>33</v>
      </c>
      <c r="D123" s="1" t="s">
        <v>20</v>
      </c>
      <c r="E123" s="1">
        <v>4674</v>
      </c>
      <c r="F123" s="4">
        <v>12000000</v>
      </c>
      <c r="G123" s="4">
        <v>2567</v>
      </c>
      <c r="H123" s="1">
        <v>4</v>
      </c>
      <c r="I123" s="1">
        <v>2</v>
      </c>
      <c r="J123" s="1">
        <v>24</v>
      </c>
      <c r="K123" s="1" t="s">
        <v>42</v>
      </c>
      <c r="L123" s="1" t="s">
        <v>299</v>
      </c>
      <c r="M123" s="1">
        <v>8</v>
      </c>
      <c r="N123" s="1">
        <v>4</v>
      </c>
      <c r="O123" s="1">
        <v>47243</v>
      </c>
      <c r="P123" s="1">
        <v>4.72</v>
      </c>
      <c r="Q123" s="1" t="s">
        <v>6</v>
      </c>
      <c r="R123" s="3">
        <v>0.48619999999999997</v>
      </c>
      <c r="S123" s="2">
        <v>46067</v>
      </c>
      <c r="T123" s="1">
        <v>108</v>
      </c>
      <c r="U123" s="1" t="s">
        <v>7</v>
      </c>
      <c r="V123" s="1">
        <v>90</v>
      </c>
      <c r="W123" s="1" t="b">
        <v>0</v>
      </c>
      <c r="X123" s="1" t="b">
        <v>0</v>
      </c>
      <c r="Y123" s="1">
        <v>24000</v>
      </c>
    </row>
    <row r="124" spans="1:25" x14ac:dyDescent="0.35">
      <c r="A124" s="1" t="s">
        <v>300</v>
      </c>
      <c r="B124" s="1" t="s">
        <v>32</v>
      </c>
      <c r="C124" s="1" t="s">
        <v>41</v>
      </c>
      <c r="D124" s="1" t="s">
        <v>27</v>
      </c>
      <c r="E124" s="1">
        <v>3695</v>
      </c>
      <c r="F124" s="4">
        <v>12000000</v>
      </c>
      <c r="G124" s="4">
        <v>3247</v>
      </c>
      <c r="H124" s="1">
        <v>3</v>
      </c>
      <c r="I124" s="1">
        <v>2</v>
      </c>
      <c r="J124" s="1">
        <v>17</v>
      </c>
      <c r="K124" s="1" t="s">
        <v>34</v>
      </c>
      <c r="L124" s="1" t="s">
        <v>301</v>
      </c>
      <c r="M124" s="1">
        <v>5</v>
      </c>
      <c r="N124" s="1">
        <v>9</v>
      </c>
      <c r="O124" s="1">
        <v>35346</v>
      </c>
      <c r="P124" s="1">
        <v>3.53</v>
      </c>
      <c r="Q124" s="1" t="s">
        <v>6</v>
      </c>
      <c r="R124" s="3">
        <v>0.42670000000000002</v>
      </c>
      <c r="S124" s="2">
        <v>45630</v>
      </c>
      <c r="T124" s="1">
        <v>70</v>
      </c>
      <c r="U124" s="1" t="s">
        <v>23</v>
      </c>
      <c r="V124" s="1">
        <v>54</v>
      </c>
      <c r="W124" s="1" t="b">
        <v>0</v>
      </c>
      <c r="X124" s="1" t="b">
        <v>1</v>
      </c>
      <c r="Y124" s="1">
        <v>0</v>
      </c>
    </row>
    <row r="125" spans="1:25" x14ac:dyDescent="0.35">
      <c r="A125" s="1" t="s">
        <v>302</v>
      </c>
      <c r="B125" s="1" t="s">
        <v>1</v>
      </c>
      <c r="C125" s="1" t="s">
        <v>303</v>
      </c>
      <c r="D125" s="1" t="s">
        <v>27</v>
      </c>
      <c r="E125" s="1">
        <v>4045</v>
      </c>
      <c r="F125" s="4">
        <v>10000000</v>
      </c>
      <c r="G125" s="4">
        <v>2472</v>
      </c>
      <c r="H125" s="1">
        <v>4</v>
      </c>
      <c r="I125" s="1">
        <v>3</v>
      </c>
      <c r="J125" s="1">
        <v>26</v>
      </c>
      <c r="K125" s="1" t="s">
        <v>34</v>
      </c>
      <c r="L125" s="1" t="s">
        <v>304</v>
      </c>
      <c r="M125" s="1">
        <v>4</v>
      </c>
      <c r="N125" s="1">
        <v>10</v>
      </c>
      <c r="O125" s="1">
        <v>31252</v>
      </c>
      <c r="P125" s="1">
        <v>3.75</v>
      </c>
      <c r="Q125" s="1" t="s">
        <v>6</v>
      </c>
      <c r="R125" s="3">
        <v>0.4375</v>
      </c>
      <c r="S125" s="2">
        <v>46079</v>
      </c>
      <c r="T125" s="1">
        <v>207</v>
      </c>
      <c r="U125" s="1" t="s">
        <v>30</v>
      </c>
      <c r="V125" s="1">
        <v>53</v>
      </c>
      <c r="W125" s="1" t="b">
        <v>0</v>
      </c>
      <c r="X125" s="1" t="b">
        <v>0</v>
      </c>
      <c r="Y125" s="1">
        <v>0</v>
      </c>
    </row>
    <row r="126" spans="1:25" x14ac:dyDescent="0.35">
      <c r="A126" s="1" t="s">
        <v>305</v>
      </c>
      <c r="B126" s="1" t="s">
        <v>18</v>
      </c>
      <c r="C126" s="1" t="s">
        <v>139</v>
      </c>
      <c r="D126" s="1" t="s">
        <v>38</v>
      </c>
      <c r="E126" s="1">
        <v>3020</v>
      </c>
      <c r="F126" s="4">
        <v>15000000</v>
      </c>
      <c r="G126" s="4">
        <v>4966</v>
      </c>
      <c r="H126" s="1">
        <v>6</v>
      </c>
      <c r="I126" s="1">
        <v>3</v>
      </c>
      <c r="J126" s="1">
        <v>23</v>
      </c>
      <c r="K126" s="1" t="s">
        <v>42</v>
      </c>
      <c r="L126" s="1" t="s">
        <v>306</v>
      </c>
      <c r="M126" s="1">
        <v>6</v>
      </c>
      <c r="N126" s="1">
        <v>5</v>
      </c>
      <c r="O126" s="1">
        <v>58208</v>
      </c>
      <c r="P126" s="1">
        <v>4.66</v>
      </c>
      <c r="Q126" s="1" t="s">
        <v>6</v>
      </c>
      <c r="R126" s="3">
        <v>0.48280000000000001</v>
      </c>
      <c r="S126" s="2">
        <v>45811</v>
      </c>
      <c r="T126" s="1">
        <v>249</v>
      </c>
      <c r="U126" s="1" t="s">
        <v>7</v>
      </c>
      <c r="V126" s="1">
        <v>174</v>
      </c>
      <c r="W126" s="1" t="b">
        <v>0</v>
      </c>
      <c r="X126" s="1" t="b">
        <v>1</v>
      </c>
      <c r="Y126" s="1">
        <v>30000</v>
      </c>
    </row>
    <row r="127" spans="1:25" x14ac:dyDescent="0.35">
      <c r="A127" s="1" t="s">
        <v>307</v>
      </c>
      <c r="B127" s="1" t="s">
        <v>9</v>
      </c>
      <c r="C127" s="1" t="s">
        <v>142</v>
      </c>
      <c r="D127" s="1" t="s">
        <v>11</v>
      </c>
      <c r="E127" s="1">
        <v>258</v>
      </c>
      <c r="F127" s="4">
        <v>43113726</v>
      </c>
      <c r="G127" s="4">
        <v>167107</v>
      </c>
      <c r="H127" s="1">
        <v>0</v>
      </c>
      <c r="I127" s="1">
        <v>1</v>
      </c>
      <c r="J127" s="1">
        <v>14</v>
      </c>
      <c r="K127" s="1" t="s">
        <v>61</v>
      </c>
      <c r="L127" s="1" t="s">
        <v>308</v>
      </c>
      <c r="M127" s="1">
        <v>6</v>
      </c>
      <c r="N127" s="1">
        <v>6</v>
      </c>
      <c r="O127" s="1">
        <v>170773</v>
      </c>
      <c r="P127" s="1">
        <v>4.75</v>
      </c>
      <c r="Q127" s="1" t="s">
        <v>14</v>
      </c>
      <c r="R127" s="3">
        <v>0.48770000000000002</v>
      </c>
      <c r="S127" s="2">
        <v>46061</v>
      </c>
      <c r="T127" s="1">
        <v>191</v>
      </c>
      <c r="U127" s="1" t="s">
        <v>30</v>
      </c>
      <c r="V127" s="1">
        <v>51</v>
      </c>
      <c r="W127" s="1" t="b">
        <v>1</v>
      </c>
      <c r="X127" s="1" t="b">
        <v>1</v>
      </c>
      <c r="Y127" s="1">
        <v>0</v>
      </c>
    </row>
    <row r="128" spans="1:25" x14ac:dyDescent="0.35">
      <c r="A128" s="1" t="s">
        <v>309</v>
      </c>
      <c r="B128" s="1" t="s">
        <v>1</v>
      </c>
      <c r="C128" s="1" t="s">
        <v>97</v>
      </c>
      <c r="D128" s="1" t="s">
        <v>27</v>
      </c>
      <c r="E128" s="1">
        <v>5516</v>
      </c>
      <c r="F128" s="4">
        <v>10000000</v>
      </c>
      <c r="G128" s="4">
        <v>1812</v>
      </c>
      <c r="H128" s="1">
        <v>3</v>
      </c>
      <c r="I128" s="1">
        <v>1</v>
      </c>
      <c r="J128" s="1">
        <v>0</v>
      </c>
      <c r="K128" s="1" t="s">
        <v>4</v>
      </c>
      <c r="L128" s="1" t="s">
        <v>310</v>
      </c>
      <c r="M128" s="1">
        <v>4</v>
      </c>
      <c r="N128" s="1">
        <v>10</v>
      </c>
      <c r="O128" s="1">
        <v>32417</v>
      </c>
      <c r="P128" s="1">
        <v>3.89</v>
      </c>
      <c r="Q128" s="1" t="s">
        <v>6</v>
      </c>
      <c r="R128" s="3">
        <v>0.44450000000000001</v>
      </c>
      <c r="S128" s="2">
        <v>46148</v>
      </c>
      <c r="T128" s="1">
        <v>217</v>
      </c>
      <c r="U128" s="1" t="s">
        <v>30</v>
      </c>
      <c r="V128" s="1">
        <v>60</v>
      </c>
      <c r="W128" s="1" t="b">
        <v>1</v>
      </c>
      <c r="X128" s="1" t="b">
        <v>0</v>
      </c>
      <c r="Y128" s="1">
        <v>20000</v>
      </c>
    </row>
    <row r="129" spans="1:25" x14ac:dyDescent="0.35">
      <c r="A129" s="1" t="s">
        <v>311</v>
      </c>
      <c r="B129" s="1" t="s">
        <v>25</v>
      </c>
      <c r="C129" s="1" t="s">
        <v>94</v>
      </c>
      <c r="D129" s="1" t="s">
        <v>3</v>
      </c>
      <c r="E129" s="1">
        <v>819</v>
      </c>
      <c r="F129" s="4">
        <v>30000000</v>
      </c>
      <c r="G129" s="4">
        <v>36630</v>
      </c>
      <c r="H129" s="1">
        <v>1</v>
      </c>
      <c r="I129" s="1">
        <v>2</v>
      </c>
      <c r="J129" s="1">
        <v>11</v>
      </c>
      <c r="K129" s="1" t="s">
        <v>61</v>
      </c>
      <c r="L129" s="1" t="s">
        <v>312</v>
      </c>
      <c r="M129" s="1">
        <v>5</v>
      </c>
      <c r="N129" s="1">
        <v>7</v>
      </c>
      <c r="O129" s="1">
        <v>103164</v>
      </c>
      <c r="P129" s="1">
        <v>4.13</v>
      </c>
      <c r="Q129" s="1" t="s">
        <v>14</v>
      </c>
      <c r="R129" s="3">
        <v>0.45630000000000004</v>
      </c>
      <c r="S129" s="2">
        <v>45532</v>
      </c>
      <c r="T129" s="1">
        <v>110</v>
      </c>
      <c r="U129" s="1" t="s">
        <v>30</v>
      </c>
      <c r="V129" s="1">
        <v>119</v>
      </c>
      <c r="W129" s="1" t="b">
        <v>1</v>
      </c>
      <c r="X129" s="1" t="b">
        <v>0</v>
      </c>
      <c r="Y129" s="1">
        <v>0</v>
      </c>
    </row>
    <row r="130" spans="1:25" x14ac:dyDescent="0.35">
      <c r="A130" s="1" t="s">
        <v>313</v>
      </c>
      <c r="B130" s="1" t="s">
        <v>25</v>
      </c>
      <c r="C130" s="1" t="s">
        <v>314</v>
      </c>
      <c r="D130" s="1" t="s">
        <v>3</v>
      </c>
      <c r="E130" s="1">
        <v>973</v>
      </c>
      <c r="F130" s="4">
        <v>30000000</v>
      </c>
      <c r="G130" s="4">
        <v>30832</v>
      </c>
      <c r="H130" s="1">
        <v>1</v>
      </c>
      <c r="I130" s="1">
        <v>2</v>
      </c>
      <c r="J130" s="1">
        <v>11</v>
      </c>
      <c r="K130" s="1" t="s">
        <v>4</v>
      </c>
      <c r="L130" s="1" t="s">
        <v>315</v>
      </c>
      <c r="M130" s="1">
        <v>6</v>
      </c>
      <c r="N130" s="1">
        <v>9</v>
      </c>
      <c r="O130" s="1">
        <v>105000</v>
      </c>
      <c r="P130" s="1">
        <v>4.2</v>
      </c>
      <c r="Q130" s="1" t="s">
        <v>14</v>
      </c>
      <c r="R130" s="3">
        <v>0.46</v>
      </c>
      <c r="S130" s="2">
        <v>45534</v>
      </c>
      <c r="T130" s="1">
        <v>338</v>
      </c>
      <c r="U130" s="1" t="s">
        <v>7</v>
      </c>
      <c r="V130" s="1">
        <v>36</v>
      </c>
      <c r="W130" s="1" t="b">
        <v>0</v>
      </c>
      <c r="X130" s="1" t="b">
        <v>1</v>
      </c>
      <c r="Y130" s="1">
        <v>60000</v>
      </c>
    </row>
    <row r="131" spans="1:25" x14ac:dyDescent="0.35">
      <c r="A131" s="1" t="s">
        <v>316</v>
      </c>
      <c r="B131" s="1" t="s">
        <v>1</v>
      </c>
      <c r="C131" s="1" t="s">
        <v>48</v>
      </c>
      <c r="D131" s="1" t="s">
        <v>20</v>
      </c>
      <c r="E131" s="1">
        <v>4146</v>
      </c>
      <c r="F131" s="4">
        <v>10000000</v>
      </c>
      <c r="G131" s="4">
        <v>2411</v>
      </c>
      <c r="H131" s="1">
        <v>2</v>
      </c>
      <c r="I131" s="1">
        <v>1</v>
      </c>
      <c r="J131" s="1">
        <v>15</v>
      </c>
      <c r="K131" s="1" t="s">
        <v>28</v>
      </c>
      <c r="L131" s="1" t="s">
        <v>317</v>
      </c>
      <c r="M131" s="1">
        <v>6</v>
      </c>
      <c r="N131" s="1">
        <v>10</v>
      </c>
      <c r="O131" s="1">
        <v>40565</v>
      </c>
      <c r="P131" s="1">
        <v>4.87</v>
      </c>
      <c r="Q131" s="1" t="s">
        <v>6</v>
      </c>
      <c r="R131" s="3">
        <v>0.49340000000000006</v>
      </c>
      <c r="S131" s="2">
        <v>46021</v>
      </c>
      <c r="T131" s="1">
        <v>216</v>
      </c>
      <c r="U131" s="1" t="s">
        <v>7</v>
      </c>
      <c r="V131" s="1">
        <v>175</v>
      </c>
      <c r="W131" s="1" t="b">
        <v>0</v>
      </c>
      <c r="X131" s="1" t="b">
        <v>1</v>
      </c>
      <c r="Y131" s="1">
        <v>0</v>
      </c>
    </row>
    <row r="132" spans="1:25" x14ac:dyDescent="0.35">
      <c r="A132" s="1" t="s">
        <v>318</v>
      </c>
      <c r="B132" s="1" t="s">
        <v>9</v>
      </c>
      <c r="C132" s="1" t="s">
        <v>189</v>
      </c>
      <c r="D132" s="1" t="s">
        <v>38</v>
      </c>
      <c r="E132" s="1">
        <v>3553</v>
      </c>
      <c r="F132" s="4">
        <v>50000000</v>
      </c>
      <c r="G132" s="4">
        <v>14072</v>
      </c>
      <c r="H132" s="1">
        <v>4</v>
      </c>
      <c r="I132" s="1">
        <v>3</v>
      </c>
      <c r="J132" s="1">
        <v>6</v>
      </c>
      <c r="K132" s="1" t="s">
        <v>21</v>
      </c>
      <c r="L132" s="1" t="s">
        <v>319</v>
      </c>
      <c r="M132" s="1">
        <v>3</v>
      </c>
      <c r="N132" s="1">
        <v>8</v>
      </c>
      <c r="O132" s="1">
        <v>158523</v>
      </c>
      <c r="P132" s="1">
        <v>3.8</v>
      </c>
      <c r="Q132" s="1" t="s">
        <v>14</v>
      </c>
      <c r="R132" s="3">
        <v>0.44020000000000004</v>
      </c>
      <c r="S132" s="2">
        <v>45501</v>
      </c>
      <c r="T132" s="1">
        <v>143</v>
      </c>
      <c r="U132" s="1" t="s">
        <v>7</v>
      </c>
      <c r="V132" s="1">
        <v>69</v>
      </c>
      <c r="W132" s="1" t="b">
        <v>1</v>
      </c>
      <c r="X132" s="1" t="b">
        <v>0</v>
      </c>
      <c r="Y132" s="1">
        <v>100000</v>
      </c>
    </row>
    <row r="133" spans="1:25" x14ac:dyDescent="0.35">
      <c r="A133" s="1" t="s">
        <v>320</v>
      </c>
      <c r="B133" s="1" t="s">
        <v>32</v>
      </c>
      <c r="C133" s="1" t="s">
        <v>41</v>
      </c>
      <c r="D133" s="1" t="s">
        <v>27</v>
      </c>
      <c r="E133" s="1">
        <v>6394</v>
      </c>
      <c r="F133" s="4">
        <v>12000000</v>
      </c>
      <c r="G133" s="4">
        <v>1876</v>
      </c>
      <c r="H133" s="1">
        <v>5</v>
      </c>
      <c r="I133" s="1">
        <v>3</v>
      </c>
      <c r="J133" s="1">
        <v>18</v>
      </c>
      <c r="K133" s="1" t="s">
        <v>21</v>
      </c>
      <c r="L133" s="1" t="s">
        <v>321</v>
      </c>
      <c r="M133" s="1">
        <v>8</v>
      </c>
      <c r="N133" s="1">
        <v>9</v>
      </c>
      <c r="O133" s="1">
        <v>42245</v>
      </c>
      <c r="P133" s="1">
        <v>4.22</v>
      </c>
      <c r="Q133" s="1" t="s">
        <v>6</v>
      </c>
      <c r="R133" s="3">
        <v>0.4612</v>
      </c>
      <c r="S133" s="2">
        <v>46100</v>
      </c>
      <c r="T133" s="1">
        <v>62</v>
      </c>
      <c r="U133" s="1" t="s">
        <v>7</v>
      </c>
      <c r="V133" s="1">
        <v>74</v>
      </c>
      <c r="W133" s="1" t="b">
        <v>1</v>
      </c>
      <c r="X133" s="1" t="b">
        <v>1</v>
      </c>
      <c r="Y133" s="1">
        <v>24000</v>
      </c>
    </row>
    <row r="134" spans="1:25" x14ac:dyDescent="0.35">
      <c r="A134" s="1" t="s">
        <v>322</v>
      </c>
      <c r="B134" s="1" t="s">
        <v>25</v>
      </c>
      <c r="C134" s="1" t="s">
        <v>94</v>
      </c>
      <c r="D134" s="1" t="s">
        <v>20</v>
      </c>
      <c r="E134" s="1">
        <v>3642</v>
      </c>
      <c r="F134" s="4">
        <v>30000000</v>
      </c>
      <c r="G134" s="4">
        <v>8237</v>
      </c>
      <c r="H134" s="1">
        <v>4</v>
      </c>
      <c r="I134" s="1">
        <v>2</v>
      </c>
      <c r="J134" s="1">
        <v>11</v>
      </c>
      <c r="K134" s="1" t="s">
        <v>21</v>
      </c>
      <c r="L134" s="1" t="s">
        <v>323</v>
      </c>
      <c r="M134" s="1">
        <v>4</v>
      </c>
      <c r="N134" s="1">
        <v>9</v>
      </c>
      <c r="O134" s="1">
        <v>78193</v>
      </c>
      <c r="P134" s="1">
        <v>3.13</v>
      </c>
      <c r="Q134" s="1" t="s">
        <v>14</v>
      </c>
      <c r="R134" s="3">
        <v>0.40639999999999998</v>
      </c>
      <c r="S134" s="2">
        <v>45427</v>
      </c>
      <c r="T134" s="1">
        <v>255</v>
      </c>
      <c r="U134" s="1" t="s">
        <v>23</v>
      </c>
      <c r="V134" s="1">
        <v>49</v>
      </c>
      <c r="W134" s="1" t="b">
        <v>0</v>
      </c>
      <c r="X134" s="1" t="b">
        <v>0</v>
      </c>
      <c r="Y134" s="1">
        <v>60000</v>
      </c>
    </row>
    <row r="135" spans="1:25" x14ac:dyDescent="0.35">
      <c r="A135" s="1" t="s">
        <v>324</v>
      </c>
      <c r="B135" s="1" t="s">
        <v>18</v>
      </c>
      <c r="C135" s="1" t="s">
        <v>166</v>
      </c>
      <c r="D135" s="1" t="s">
        <v>27</v>
      </c>
      <c r="E135" s="1">
        <v>5012</v>
      </c>
      <c r="F135" s="4">
        <v>15000000</v>
      </c>
      <c r="G135" s="4">
        <v>2992</v>
      </c>
      <c r="H135" s="1">
        <v>4</v>
      </c>
      <c r="I135" s="1">
        <v>3</v>
      </c>
      <c r="J135" s="1">
        <v>24</v>
      </c>
      <c r="K135" s="1" t="s">
        <v>28</v>
      </c>
      <c r="L135" s="1" t="s">
        <v>325</v>
      </c>
      <c r="M135" s="1">
        <v>3</v>
      </c>
      <c r="N135" s="1">
        <v>6</v>
      </c>
      <c r="O135" s="1">
        <v>59073</v>
      </c>
      <c r="P135" s="1">
        <v>4.7300000000000004</v>
      </c>
      <c r="Q135" s="1" t="s">
        <v>6</v>
      </c>
      <c r="R135" s="3">
        <v>0.48630000000000001</v>
      </c>
      <c r="S135" s="2">
        <v>45906</v>
      </c>
      <c r="T135" s="1">
        <v>77</v>
      </c>
      <c r="U135" s="1" t="s">
        <v>7</v>
      </c>
      <c r="V135" s="1">
        <v>128</v>
      </c>
      <c r="W135" s="1" t="b">
        <v>1</v>
      </c>
      <c r="X135" s="1" t="b">
        <v>1</v>
      </c>
      <c r="Y135" s="1">
        <v>0</v>
      </c>
    </row>
    <row r="136" spans="1:25" x14ac:dyDescent="0.35">
      <c r="A136" s="1" t="s">
        <v>326</v>
      </c>
      <c r="B136" s="1" t="s">
        <v>25</v>
      </c>
      <c r="C136" s="1" t="s">
        <v>26</v>
      </c>
      <c r="D136" s="1" t="s">
        <v>27</v>
      </c>
      <c r="E136" s="1">
        <v>5409</v>
      </c>
      <c r="F136" s="4">
        <v>30000000</v>
      </c>
      <c r="G136" s="4">
        <v>5546</v>
      </c>
      <c r="H136" s="1">
        <v>5</v>
      </c>
      <c r="I136" s="1">
        <v>3</v>
      </c>
      <c r="J136" s="1">
        <v>26</v>
      </c>
      <c r="K136" s="1" t="s">
        <v>28</v>
      </c>
      <c r="L136" s="1" t="s">
        <v>327</v>
      </c>
      <c r="M136" s="1">
        <v>3</v>
      </c>
      <c r="N136" s="1">
        <v>4</v>
      </c>
      <c r="O136" s="1">
        <v>115216</v>
      </c>
      <c r="P136" s="1">
        <v>4.6100000000000003</v>
      </c>
      <c r="Q136" s="1" t="s">
        <v>14</v>
      </c>
      <c r="R136" s="3">
        <v>0.48039999999999999</v>
      </c>
      <c r="S136" s="2">
        <v>46109</v>
      </c>
      <c r="T136" s="1">
        <v>145</v>
      </c>
      <c r="U136" s="1" t="s">
        <v>23</v>
      </c>
      <c r="V136" s="1">
        <v>149</v>
      </c>
      <c r="W136" s="1" t="b">
        <v>0</v>
      </c>
      <c r="X136" s="1" t="b">
        <v>0</v>
      </c>
      <c r="Y136" s="1">
        <v>60000</v>
      </c>
    </row>
    <row r="137" spans="1:25" x14ac:dyDescent="0.35">
      <c r="A137" s="1" t="s">
        <v>328</v>
      </c>
      <c r="B137" s="1" t="s">
        <v>32</v>
      </c>
      <c r="C137" s="1" t="s">
        <v>197</v>
      </c>
      <c r="D137" s="1" t="s">
        <v>3</v>
      </c>
      <c r="E137" s="1">
        <v>1911</v>
      </c>
      <c r="F137" s="4">
        <v>12000000</v>
      </c>
      <c r="G137" s="4">
        <v>6279</v>
      </c>
      <c r="H137" s="1">
        <v>2</v>
      </c>
      <c r="I137" s="1">
        <v>2</v>
      </c>
      <c r="J137" s="1">
        <v>18</v>
      </c>
      <c r="K137" s="1" t="s">
        <v>42</v>
      </c>
      <c r="L137" s="1" t="s">
        <v>329</v>
      </c>
      <c r="M137" s="1">
        <v>5</v>
      </c>
      <c r="N137" s="1">
        <v>5</v>
      </c>
      <c r="O137" s="1">
        <v>45517</v>
      </c>
      <c r="P137" s="1">
        <v>4.55</v>
      </c>
      <c r="Q137" s="1" t="s">
        <v>6</v>
      </c>
      <c r="R137" s="3">
        <v>0.47759999999999997</v>
      </c>
      <c r="S137" s="2">
        <v>45597</v>
      </c>
      <c r="T137" s="1">
        <v>4</v>
      </c>
      <c r="U137" s="1" t="s">
        <v>30</v>
      </c>
      <c r="V137" s="1">
        <v>68</v>
      </c>
      <c r="W137" s="1" t="b">
        <v>0</v>
      </c>
      <c r="X137" s="1" t="b">
        <v>1</v>
      </c>
      <c r="Y137" s="1">
        <v>24000</v>
      </c>
    </row>
    <row r="138" spans="1:25" x14ac:dyDescent="0.35">
      <c r="A138" s="1" t="s">
        <v>330</v>
      </c>
      <c r="B138" s="1" t="s">
        <v>32</v>
      </c>
      <c r="C138" s="1" t="s">
        <v>200</v>
      </c>
      <c r="D138" s="1" t="s">
        <v>3</v>
      </c>
      <c r="E138" s="1">
        <v>1772</v>
      </c>
      <c r="F138" s="4">
        <v>12000000</v>
      </c>
      <c r="G138" s="4">
        <v>6772</v>
      </c>
      <c r="H138" s="1">
        <v>1</v>
      </c>
      <c r="I138" s="1">
        <v>2</v>
      </c>
      <c r="J138" s="1">
        <v>27</v>
      </c>
      <c r="K138" s="1" t="s">
        <v>61</v>
      </c>
      <c r="L138" s="1" t="s">
        <v>331</v>
      </c>
      <c r="M138" s="1">
        <v>8</v>
      </c>
      <c r="N138" s="1">
        <v>8</v>
      </c>
      <c r="O138" s="1">
        <v>31860</v>
      </c>
      <c r="P138" s="1">
        <v>3.19</v>
      </c>
      <c r="Q138" s="1" t="s">
        <v>6</v>
      </c>
      <c r="R138" s="3">
        <v>0.4093</v>
      </c>
      <c r="S138" s="2">
        <v>45919</v>
      </c>
      <c r="T138" s="1">
        <v>359</v>
      </c>
      <c r="U138" s="1" t="s">
        <v>23</v>
      </c>
      <c r="V138" s="1">
        <v>135</v>
      </c>
      <c r="W138" s="1" t="b">
        <v>0</v>
      </c>
      <c r="X138" s="1" t="b">
        <v>0</v>
      </c>
      <c r="Y138" s="1">
        <v>24000</v>
      </c>
    </row>
    <row r="139" spans="1:25" x14ac:dyDescent="0.35">
      <c r="A139" s="1" t="s">
        <v>332</v>
      </c>
      <c r="B139" s="1" t="s">
        <v>32</v>
      </c>
      <c r="C139" s="1" t="s">
        <v>33</v>
      </c>
      <c r="D139" s="1" t="s">
        <v>38</v>
      </c>
      <c r="E139" s="1">
        <v>4093</v>
      </c>
      <c r="F139" s="4">
        <v>12000000</v>
      </c>
      <c r="G139" s="4">
        <v>2931</v>
      </c>
      <c r="H139" s="1">
        <v>6</v>
      </c>
      <c r="I139" s="1">
        <v>4</v>
      </c>
      <c r="J139" s="1">
        <v>2</v>
      </c>
      <c r="K139" s="1" t="s">
        <v>34</v>
      </c>
      <c r="L139" s="1" t="s">
        <v>333</v>
      </c>
      <c r="M139" s="1">
        <v>7</v>
      </c>
      <c r="N139" s="1">
        <v>9</v>
      </c>
      <c r="O139" s="1">
        <v>48520</v>
      </c>
      <c r="P139" s="1">
        <v>4.8499999999999996</v>
      </c>
      <c r="Q139" s="1" t="s">
        <v>6</v>
      </c>
      <c r="R139" s="3">
        <v>0.49259999999999998</v>
      </c>
      <c r="S139" s="2">
        <v>45754</v>
      </c>
      <c r="T139" s="1">
        <v>163</v>
      </c>
      <c r="U139" s="1" t="s">
        <v>30</v>
      </c>
      <c r="V139" s="1">
        <v>113</v>
      </c>
      <c r="W139" s="1" t="b">
        <v>0</v>
      </c>
      <c r="X139" s="1" t="b">
        <v>0</v>
      </c>
      <c r="Y139" s="1">
        <v>24000</v>
      </c>
    </row>
    <row r="140" spans="1:25" x14ac:dyDescent="0.35">
      <c r="A140" s="1" t="s">
        <v>334</v>
      </c>
      <c r="B140" s="1" t="s">
        <v>9</v>
      </c>
      <c r="C140" s="1" t="s">
        <v>10</v>
      </c>
      <c r="D140" s="1" t="s">
        <v>27</v>
      </c>
      <c r="E140" s="1">
        <v>6789</v>
      </c>
      <c r="F140" s="4">
        <v>50000000</v>
      </c>
      <c r="G140" s="4">
        <v>7364</v>
      </c>
      <c r="H140" s="1">
        <v>3</v>
      </c>
      <c r="I140" s="1">
        <v>1</v>
      </c>
      <c r="J140" s="1">
        <v>3</v>
      </c>
      <c r="K140" s="1" t="s">
        <v>58</v>
      </c>
      <c r="L140" s="1" t="s">
        <v>335</v>
      </c>
      <c r="M140" s="1">
        <v>4</v>
      </c>
      <c r="N140" s="1">
        <v>7</v>
      </c>
      <c r="O140" s="1">
        <v>205386</v>
      </c>
      <c r="P140" s="1">
        <v>4.93</v>
      </c>
      <c r="Q140" s="1" t="s">
        <v>14</v>
      </c>
      <c r="R140" s="3">
        <v>0.4965</v>
      </c>
      <c r="S140" s="2">
        <v>45944</v>
      </c>
      <c r="T140" s="1">
        <v>62</v>
      </c>
      <c r="U140" s="1" t="s">
        <v>7</v>
      </c>
      <c r="V140" s="1">
        <v>97</v>
      </c>
      <c r="W140" s="1" t="b">
        <v>1</v>
      </c>
      <c r="X140" s="1" t="b">
        <v>1</v>
      </c>
      <c r="Y140" s="1">
        <v>0</v>
      </c>
    </row>
    <row r="141" spans="1:25" x14ac:dyDescent="0.35">
      <c r="A141" s="1" t="s">
        <v>336</v>
      </c>
      <c r="B141" s="1" t="s">
        <v>1</v>
      </c>
      <c r="C141" s="1" t="s">
        <v>45</v>
      </c>
      <c r="D141" s="1" t="s">
        <v>38</v>
      </c>
      <c r="E141" s="1">
        <v>3330</v>
      </c>
      <c r="F141" s="4">
        <v>10000000</v>
      </c>
      <c r="G141" s="4">
        <v>3003</v>
      </c>
      <c r="H141" s="1">
        <v>4</v>
      </c>
      <c r="I141" s="1">
        <v>3</v>
      </c>
      <c r="J141" s="1">
        <v>4</v>
      </c>
      <c r="K141" s="1" t="s">
        <v>28</v>
      </c>
      <c r="L141" s="1" t="s">
        <v>337</v>
      </c>
      <c r="M141" s="1">
        <v>3</v>
      </c>
      <c r="N141" s="1">
        <v>7</v>
      </c>
      <c r="O141" s="1">
        <v>29336</v>
      </c>
      <c r="P141" s="1">
        <v>3.52</v>
      </c>
      <c r="Q141" s="1" t="s">
        <v>6</v>
      </c>
      <c r="R141" s="3">
        <v>0.42599999999999999</v>
      </c>
      <c r="S141" s="2">
        <v>45978</v>
      </c>
      <c r="T141" s="1">
        <v>285</v>
      </c>
      <c r="U141" s="1" t="s">
        <v>7</v>
      </c>
      <c r="V141" s="1">
        <v>145</v>
      </c>
      <c r="W141" s="1" t="b">
        <v>1</v>
      </c>
      <c r="X141" s="1" t="b">
        <v>1</v>
      </c>
      <c r="Y141" s="1">
        <v>0</v>
      </c>
    </row>
    <row r="142" spans="1:25" x14ac:dyDescent="0.35">
      <c r="A142" s="1" t="s">
        <v>338</v>
      </c>
      <c r="B142" s="1" t="s">
        <v>9</v>
      </c>
      <c r="C142" s="1" t="s">
        <v>10</v>
      </c>
      <c r="D142" s="1" t="s">
        <v>3</v>
      </c>
      <c r="E142" s="1">
        <v>448</v>
      </c>
      <c r="F142" s="4">
        <v>50000000</v>
      </c>
      <c r="G142" s="4">
        <v>111607</v>
      </c>
      <c r="H142" s="1">
        <v>1</v>
      </c>
      <c r="I142" s="1">
        <v>1</v>
      </c>
      <c r="J142" s="1">
        <v>4</v>
      </c>
      <c r="K142" s="1" t="s">
        <v>34</v>
      </c>
      <c r="L142" s="1" t="s">
        <v>339</v>
      </c>
      <c r="M142" s="1">
        <v>4</v>
      </c>
      <c r="N142" s="1">
        <v>9</v>
      </c>
      <c r="O142" s="1">
        <v>131248</v>
      </c>
      <c r="P142" s="1">
        <v>3.15</v>
      </c>
      <c r="Q142" s="1" t="s">
        <v>14</v>
      </c>
      <c r="R142" s="3">
        <v>0.40749999999999997</v>
      </c>
      <c r="S142" s="2">
        <v>46090</v>
      </c>
      <c r="T142" s="1">
        <v>66</v>
      </c>
      <c r="U142" s="1" t="s">
        <v>7</v>
      </c>
      <c r="V142" s="1">
        <v>143</v>
      </c>
      <c r="W142" s="1" t="b">
        <v>1</v>
      </c>
      <c r="X142" s="1" t="b">
        <v>0</v>
      </c>
      <c r="Y142" s="1">
        <v>100000</v>
      </c>
    </row>
    <row r="143" spans="1:25" x14ac:dyDescent="0.35">
      <c r="A143" s="1" t="s">
        <v>340</v>
      </c>
      <c r="B143" s="1" t="s">
        <v>9</v>
      </c>
      <c r="C143" s="1" t="s">
        <v>114</v>
      </c>
      <c r="D143" s="1" t="s">
        <v>3</v>
      </c>
      <c r="E143" s="1">
        <v>1088</v>
      </c>
      <c r="F143" s="4">
        <v>50000000</v>
      </c>
      <c r="G143" s="4">
        <v>45955</v>
      </c>
      <c r="H143" s="1">
        <v>4</v>
      </c>
      <c r="I143" s="1">
        <v>3</v>
      </c>
      <c r="J143" s="1">
        <v>15</v>
      </c>
      <c r="K143" s="1" t="s">
        <v>12</v>
      </c>
      <c r="L143" s="1" t="s">
        <v>341</v>
      </c>
      <c r="M143" s="1">
        <v>3</v>
      </c>
      <c r="N143" s="1">
        <v>5</v>
      </c>
      <c r="O143" s="1">
        <v>140595</v>
      </c>
      <c r="P143" s="1">
        <v>3.37</v>
      </c>
      <c r="Q143" s="1" t="s">
        <v>14</v>
      </c>
      <c r="R143" s="3">
        <v>0.41869999999999996</v>
      </c>
      <c r="S143" s="2">
        <v>45870</v>
      </c>
      <c r="T143" s="1">
        <v>315</v>
      </c>
      <c r="U143" s="1" t="s">
        <v>7</v>
      </c>
      <c r="V143" s="1">
        <v>38</v>
      </c>
      <c r="W143" s="1" t="b">
        <v>1</v>
      </c>
      <c r="X143" s="1" t="b">
        <v>0</v>
      </c>
      <c r="Y143" s="1">
        <v>0</v>
      </c>
    </row>
    <row r="144" spans="1:25" x14ac:dyDescent="0.35">
      <c r="A144" s="1" t="s">
        <v>342</v>
      </c>
      <c r="B144" s="1" t="s">
        <v>18</v>
      </c>
      <c r="C144" s="1" t="s">
        <v>166</v>
      </c>
      <c r="D144" s="1" t="s">
        <v>11</v>
      </c>
      <c r="E144" s="1">
        <v>281</v>
      </c>
      <c r="F144" s="4">
        <v>15000000</v>
      </c>
      <c r="G144" s="4">
        <v>53380</v>
      </c>
      <c r="H144" s="1">
        <v>0</v>
      </c>
      <c r="I144" s="1">
        <v>2</v>
      </c>
      <c r="J144" s="1">
        <v>12</v>
      </c>
      <c r="K144" s="1" t="s">
        <v>28</v>
      </c>
      <c r="L144" s="1" t="s">
        <v>343</v>
      </c>
      <c r="M144" s="1">
        <v>4</v>
      </c>
      <c r="N144" s="1">
        <v>10</v>
      </c>
      <c r="O144" s="1">
        <v>57047</v>
      </c>
      <c r="P144" s="1">
        <v>4.5599999999999996</v>
      </c>
      <c r="Q144" s="1" t="s">
        <v>6</v>
      </c>
      <c r="R144" s="3">
        <v>0.47820000000000001</v>
      </c>
      <c r="S144" s="2">
        <v>45789</v>
      </c>
      <c r="T144" s="1">
        <v>177</v>
      </c>
      <c r="U144" s="1" t="s">
        <v>7</v>
      </c>
      <c r="V144" s="1">
        <v>154</v>
      </c>
      <c r="W144" s="1" t="b">
        <v>0</v>
      </c>
      <c r="X144" s="1" t="b">
        <v>0</v>
      </c>
      <c r="Y144" s="1">
        <v>0</v>
      </c>
    </row>
    <row r="145" spans="1:25" x14ac:dyDescent="0.35">
      <c r="A145" s="1" t="s">
        <v>344</v>
      </c>
      <c r="B145" s="1" t="s">
        <v>25</v>
      </c>
      <c r="C145" s="1" t="s">
        <v>314</v>
      </c>
      <c r="D145" s="1" t="s">
        <v>20</v>
      </c>
      <c r="E145" s="1">
        <v>3945</v>
      </c>
      <c r="F145" s="4">
        <v>30000000</v>
      </c>
      <c r="G145" s="4">
        <v>7604</v>
      </c>
      <c r="H145" s="1">
        <v>3</v>
      </c>
      <c r="I145" s="1">
        <v>1</v>
      </c>
      <c r="J145" s="1">
        <v>28</v>
      </c>
      <c r="K145" s="1" t="s">
        <v>4</v>
      </c>
      <c r="L145" s="1" t="s">
        <v>345</v>
      </c>
      <c r="M145" s="1">
        <v>5</v>
      </c>
      <c r="N145" s="1">
        <v>8</v>
      </c>
      <c r="O145" s="1">
        <v>80006</v>
      </c>
      <c r="P145" s="1">
        <v>3.2</v>
      </c>
      <c r="Q145" s="1" t="s">
        <v>14</v>
      </c>
      <c r="R145" s="3">
        <v>0.41</v>
      </c>
      <c r="S145" s="2">
        <v>45484</v>
      </c>
      <c r="T145" s="1">
        <v>113</v>
      </c>
      <c r="U145" s="1" t="s">
        <v>7</v>
      </c>
      <c r="V145" s="1">
        <v>44</v>
      </c>
      <c r="W145" s="1" t="b">
        <v>0</v>
      </c>
      <c r="X145" s="1" t="b">
        <v>0</v>
      </c>
      <c r="Y145" s="1">
        <v>60000</v>
      </c>
    </row>
    <row r="146" spans="1:25" x14ac:dyDescent="0.35">
      <c r="A146" s="1" t="s">
        <v>346</v>
      </c>
      <c r="B146" s="1" t="s">
        <v>25</v>
      </c>
      <c r="C146" s="1" t="s">
        <v>82</v>
      </c>
      <c r="D146" s="1" t="s">
        <v>38</v>
      </c>
      <c r="E146" s="1">
        <v>5605</v>
      </c>
      <c r="F146" s="4">
        <v>30000000</v>
      </c>
      <c r="G146" s="4">
        <v>5352</v>
      </c>
      <c r="H146" s="1">
        <v>6</v>
      </c>
      <c r="I146" s="1">
        <v>4</v>
      </c>
      <c r="J146" s="1">
        <v>29</v>
      </c>
      <c r="K146" s="1" t="s">
        <v>61</v>
      </c>
      <c r="L146" s="1" t="s">
        <v>347</v>
      </c>
      <c r="M146" s="1">
        <v>7</v>
      </c>
      <c r="N146" s="1">
        <v>4</v>
      </c>
      <c r="O146" s="1">
        <v>79512</v>
      </c>
      <c r="P146" s="1">
        <v>3.18</v>
      </c>
      <c r="Q146" s="1" t="s">
        <v>14</v>
      </c>
      <c r="R146" s="3">
        <v>0.40899999999999997</v>
      </c>
      <c r="S146" s="2">
        <v>45918</v>
      </c>
      <c r="T146" s="1">
        <v>245</v>
      </c>
      <c r="U146" s="1" t="s">
        <v>30</v>
      </c>
      <c r="V146" s="1">
        <v>164</v>
      </c>
      <c r="W146" s="1" t="b">
        <v>1</v>
      </c>
      <c r="X146" s="1" t="b">
        <v>0</v>
      </c>
      <c r="Y146" s="1">
        <v>60000</v>
      </c>
    </row>
    <row r="147" spans="1:25" x14ac:dyDescent="0.35">
      <c r="A147" s="1" t="s">
        <v>348</v>
      </c>
      <c r="B147" s="1" t="s">
        <v>25</v>
      </c>
      <c r="C147" s="1" t="s">
        <v>26</v>
      </c>
      <c r="D147" s="1" t="s">
        <v>27</v>
      </c>
      <c r="E147" s="1">
        <v>4650</v>
      </c>
      <c r="F147" s="4">
        <v>30000000</v>
      </c>
      <c r="G147" s="4">
        <v>6451</v>
      </c>
      <c r="H147" s="1">
        <v>3</v>
      </c>
      <c r="I147" s="1">
        <v>1</v>
      </c>
      <c r="J147" s="1">
        <v>4</v>
      </c>
      <c r="K147" s="1" t="s">
        <v>12</v>
      </c>
      <c r="L147" s="1" t="s">
        <v>349</v>
      </c>
      <c r="M147" s="1">
        <v>7</v>
      </c>
      <c r="N147" s="1">
        <v>7</v>
      </c>
      <c r="O147" s="1">
        <v>81822</v>
      </c>
      <c r="P147" s="1">
        <v>3.27</v>
      </c>
      <c r="Q147" s="1" t="s">
        <v>14</v>
      </c>
      <c r="R147" s="3">
        <v>0.41359999999999997</v>
      </c>
      <c r="S147" s="2">
        <v>45995</v>
      </c>
      <c r="T147" s="1">
        <v>333</v>
      </c>
      <c r="U147" s="1" t="s">
        <v>30</v>
      </c>
      <c r="V147" s="1">
        <v>154</v>
      </c>
      <c r="W147" s="1" t="b">
        <v>0</v>
      </c>
      <c r="X147" s="1" t="b">
        <v>1</v>
      </c>
      <c r="Y147" s="1">
        <v>0</v>
      </c>
    </row>
    <row r="148" spans="1:25" x14ac:dyDescent="0.35">
      <c r="A148" s="1" t="s">
        <v>350</v>
      </c>
      <c r="B148" s="1" t="s">
        <v>25</v>
      </c>
      <c r="C148" s="1" t="s">
        <v>182</v>
      </c>
      <c r="D148" s="1" t="s">
        <v>38</v>
      </c>
      <c r="E148" s="1">
        <v>9672</v>
      </c>
      <c r="F148" s="4">
        <v>30000000</v>
      </c>
      <c r="G148" s="4">
        <v>3101</v>
      </c>
      <c r="H148" s="1">
        <v>4</v>
      </c>
      <c r="I148" s="1">
        <v>3</v>
      </c>
      <c r="J148" s="1">
        <v>9</v>
      </c>
      <c r="K148" s="1" t="s">
        <v>28</v>
      </c>
      <c r="L148" s="1" t="s">
        <v>351</v>
      </c>
      <c r="M148" s="1">
        <v>8</v>
      </c>
      <c r="N148" s="1">
        <v>8</v>
      </c>
      <c r="O148" s="1">
        <v>90910</v>
      </c>
      <c r="P148" s="1">
        <v>3.64</v>
      </c>
      <c r="Q148" s="1" t="s">
        <v>14</v>
      </c>
      <c r="R148" s="3">
        <v>0.43180000000000002</v>
      </c>
      <c r="S148" s="2">
        <v>45530</v>
      </c>
      <c r="T148" s="1">
        <v>255</v>
      </c>
      <c r="U148" s="1" t="s">
        <v>7</v>
      </c>
      <c r="V148" s="1">
        <v>56</v>
      </c>
      <c r="W148" s="1" t="b">
        <v>1</v>
      </c>
      <c r="X148" s="1" t="b">
        <v>0</v>
      </c>
      <c r="Y148" s="1">
        <v>60000</v>
      </c>
    </row>
    <row r="149" spans="1:25" x14ac:dyDescent="0.35">
      <c r="A149" s="1" t="s">
        <v>352</v>
      </c>
      <c r="B149" s="1" t="s">
        <v>25</v>
      </c>
      <c r="C149" s="1" t="s">
        <v>26</v>
      </c>
      <c r="D149" s="1" t="s">
        <v>20</v>
      </c>
      <c r="E149" s="1">
        <v>2187</v>
      </c>
      <c r="F149" s="4">
        <v>30000000</v>
      </c>
      <c r="G149" s="4">
        <v>13717</v>
      </c>
      <c r="H149" s="1">
        <v>2</v>
      </c>
      <c r="I149" s="1">
        <v>2</v>
      </c>
      <c r="J149" s="1">
        <v>14</v>
      </c>
      <c r="K149" s="1" t="s">
        <v>58</v>
      </c>
      <c r="L149" s="1" t="s">
        <v>353</v>
      </c>
      <c r="M149" s="1">
        <v>3</v>
      </c>
      <c r="N149" s="1">
        <v>7</v>
      </c>
      <c r="O149" s="1">
        <v>114351</v>
      </c>
      <c r="P149" s="1">
        <v>4.57</v>
      </c>
      <c r="Q149" s="1" t="s">
        <v>14</v>
      </c>
      <c r="R149" s="3">
        <v>0.47869999999999996</v>
      </c>
      <c r="S149" s="2">
        <v>46155</v>
      </c>
      <c r="T149" s="1">
        <v>86</v>
      </c>
      <c r="U149" s="1" t="s">
        <v>7</v>
      </c>
      <c r="V149" s="1">
        <v>137</v>
      </c>
      <c r="W149" s="1" t="b">
        <v>0</v>
      </c>
      <c r="X149" s="1" t="b">
        <v>0</v>
      </c>
      <c r="Y149" s="1">
        <v>0</v>
      </c>
    </row>
    <row r="150" spans="1:25" x14ac:dyDescent="0.35">
      <c r="A150" s="1" t="s">
        <v>354</v>
      </c>
      <c r="B150" s="1" t="s">
        <v>54</v>
      </c>
      <c r="C150" s="1" t="s">
        <v>79</v>
      </c>
      <c r="D150" s="1" t="s">
        <v>11</v>
      </c>
      <c r="E150" s="1">
        <v>301</v>
      </c>
      <c r="F150" s="4">
        <v>30567155</v>
      </c>
      <c r="G150" s="4">
        <v>101552</v>
      </c>
      <c r="H150" s="1">
        <v>1</v>
      </c>
      <c r="I150" s="1">
        <v>1</v>
      </c>
      <c r="J150" s="1">
        <v>5</v>
      </c>
      <c r="K150" s="1" t="s">
        <v>58</v>
      </c>
      <c r="L150" s="1" t="s">
        <v>355</v>
      </c>
      <c r="M150" s="1">
        <v>6</v>
      </c>
      <c r="N150" s="1">
        <v>4</v>
      </c>
      <c r="O150" s="1">
        <v>85083</v>
      </c>
      <c r="P150" s="1">
        <v>3.34</v>
      </c>
      <c r="Q150" s="1" t="s">
        <v>14</v>
      </c>
      <c r="R150" s="3">
        <v>0.41700000000000004</v>
      </c>
      <c r="S150" s="2">
        <v>45772</v>
      </c>
      <c r="T150" s="1">
        <v>48</v>
      </c>
      <c r="U150" s="1" t="s">
        <v>7</v>
      </c>
      <c r="V150" s="1">
        <v>170</v>
      </c>
      <c r="W150" s="1" t="b">
        <v>0</v>
      </c>
      <c r="X150" s="1" t="b">
        <v>0</v>
      </c>
      <c r="Y150" s="1">
        <v>61134</v>
      </c>
    </row>
    <row r="151" spans="1:25" x14ac:dyDescent="0.35">
      <c r="A151" s="1" t="s">
        <v>356</v>
      </c>
      <c r="B151" s="1" t="s">
        <v>18</v>
      </c>
      <c r="C151" s="1" t="s">
        <v>243</v>
      </c>
      <c r="D151" s="1" t="s">
        <v>27</v>
      </c>
      <c r="E151" s="1">
        <v>6975</v>
      </c>
      <c r="F151" s="4">
        <v>15000000</v>
      </c>
      <c r="G151" s="4">
        <v>2150</v>
      </c>
      <c r="H151" s="1">
        <v>6</v>
      </c>
      <c r="I151" s="1">
        <v>3</v>
      </c>
      <c r="J151" s="1">
        <v>1</v>
      </c>
      <c r="K151" s="1" t="s">
        <v>21</v>
      </c>
      <c r="L151" s="1" t="s">
        <v>357</v>
      </c>
      <c r="M151" s="1">
        <v>3</v>
      </c>
      <c r="N151" s="1">
        <v>6</v>
      </c>
      <c r="O151" s="1">
        <v>55550</v>
      </c>
      <c r="P151" s="1">
        <v>4.4400000000000004</v>
      </c>
      <c r="Q151" s="1" t="s">
        <v>6</v>
      </c>
      <c r="R151" s="3">
        <v>0.47220000000000001</v>
      </c>
      <c r="S151" s="2">
        <v>45603</v>
      </c>
      <c r="T151" s="1">
        <v>122</v>
      </c>
      <c r="U151" s="1" t="s">
        <v>7</v>
      </c>
      <c r="V151" s="1">
        <v>106</v>
      </c>
      <c r="W151" s="1" t="b">
        <v>1</v>
      </c>
      <c r="X151" s="1" t="b">
        <v>1</v>
      </c>
      <c r="Y151" s="1">
        <v>0</v>
      </c>
    </row>
    <row r="152" spans="1:25" x14ac:dyDescent="0.35">
      <c r="A152" s="1" t="s">
        <v>358</v>
      </c>
      <c r="B152" s="1" t="s">
        <v>32</v>
      </c>
      <c r="C152" s="1" t="s">
        <v>67</v>
      </c>
      <c r="D152" s="1" t="s">
        <v>11</v>
      </c>
      <c r="E152" s="1">
        <v>328</v>
      </c>
      <c r="F152" s="4">
        <v>12000000</v>
      </c>
      <c r="G152" s="4">
        <v>36585</v>
      </c>
      <c r="H152" s="1">
        <v>0</v>
      </c>
      <c r="I152" s="1">
        <v>2</v>
      </c>
      <c r="J152" s="1">
        <v>0</v>
      </c>
      <c r="K152" s="1" t="s">
        <v>4</v>
      </c>
      <c r="L152" s="1" t="s">
        <v>359</v>
      </c>
      <c r="M152" s="1">
        <v>6</v>
      </c>
      <c r="N152" s="1">
        <v>4</v>
      </c>
      <c r="O152" s="1">
        <v>35836</v>
      </c>
      <c r="P152" s="1">
        <v>3.58</v>
      </c>
      <c r="Q152" s="1" t="s">
        <v>6</v>
      </c>
      <c r="R152" s="3">
        <v>0.42920000000000003</v>
      </c>
      <c r="S152" s="2">
        <v>46073</v>
      </c>
      <c r="T152" s="1">
        <v>204</v>
      </c>
      <c r="U152" s="1" t="s">
        <v>7</v>
      </c>
      <c r="V152" s="1">
        <v>108</v>
      </c>
      <c r="W152" s="1" t="b">
        <v>0</v>
      </c>
      <c r="X152" s="1" t="b">
        <v>0</v>
      </c>
      <c r="Y152" s="1">
        <v>0</v>
      </c>
    </row>
    <row r="153" spans="1:25" x14ac:dyDescent="0.35">
      <c r="A153" s="1" t="s">
        <v>360</v>
      </c>
      <c r="B153" s="1" t="s">
        <v>9</v>
      </c>
      <c r="C153" s="1" t="s">
        <v>142</v>
      </c>
      <c r="D153" s="1" t="s">
        <v>38</v>
      </c>
      <c r="E153" s="1">
        <v>6174</v>
      </c>
      <c r="F153" s="4">
        <v>50000000</v>
      </c>
      <c r="G153" s="4">
        <v>8098</v>
      </c>
      <c r="H153" s="1">
        <v>4</v>
      </c>
      <c r="I153" s="1">
        <v>3</v>
      </c>
      <c r="J153" s="1">
        <v>28</v>
      </c>
      <c r="K153" s="1" t="s">
        <v>42</v>
      </c>
      <c r="L153" s="1" t="s">
        <v>361</v>
      </c>
      <c r="M153" s="1">
        <v>6</v>
      </c>
      <c r="N153" s="1">
        <v>10</v>
      </c>
      <c r="O153" s="1">
        <v>194756</v>
      </c>
      <c r="P153" s="1">
        <v>4.67</v>
      </c>
      <c r="Q153" s="1" t="s">
        <v>14</v>
      </c>
      <c r="R153" s="3">
        <v>0.48369999999999996</v>
      </c>
      <c r="S153" s="2">
        <v>45579</v>
      </c>
      <c r="T153" s="1">
        <v>44</v>
      </c>
      <c r="U153" s="1" t="s">
        <v>7</v>
      </c>
      <c r="V153" s="1">
        <v>54</v>
      </c>
      <c r="W153" s="1" t="b">
        <v>0</v>
      </c>
      <c r="X153" s="1" t="b">
        <v>0</v>
      </c>
      <c r="Y153" s="1">
        <v>100000</v>
      </c>
    </row>
    <row r="154" spans="1:25" x14ac:dyDescent="0.35">
      <c r="A154" s="1" t="s">
        <v>362</v>
      </c>
      <c r="B154" s="1" t="s">
        <v>32</v>
      </c>
      <c r="C154" s="1" t="s">
        <v>33</v>
      </c>
      <c r="D154" s="1" t="s">
        <v>11</v>
      </c>
      <c r="E154" s="1">
        <v>517</v>
      </c>
      <c r="F154" s="4">
        <v>12000000</v>
      </c>
      <c r="G154" s="4">
        <v>23210</v>
      </c>
      <c r="H154" s="1">
        <v>1</v>
      </c>
      <c r="I154" s="1">
        <v>2</v>
      </c>
      <c r="J154" s="1">
        <v>18</v>
      </c>
      <c r="K154" s="1" t="s">
        <v>28</v>
      </c>
      <c r="L154" s="1" t="s">
        <v>363</v>
      </c>
      <c r="M154" s="1">
        <v>4</v>
      </c>
      <c r="N154" s="1">
        <v>8</v>
      </c>
      <c r="O154" s="1">
        <v>48009</v>
      </c>
      <c r="P154" s="1">
        <v>4.8</v>
      </c>
      <c r="Q154" s="1" t="s">
        <v>6</v>
      </c>
      <c r="R154" s="3">
        <v>0.49</v>
      </c>
      <c r="S154" s="2">
        <v>45571</v>
      </c>
      <c r="T154" s="1">
        <v>62</v>
      </c>
      <c r="U154" s="1" t="s">
        <v>30</v>
      </c>
      <c r="V154" s="1">
        <v>67</v>
      </c>
      <c r="W154" s="1" t="b">
        <v>0</v>
      </c>
      <c r="X154" s="1" t="b">
        <v>1</v>
      </c>
      <c r="Y154" s="1">
        <v>24000</v>
      </c>
    </row>
    <row r="155" spans="1:25" x14ac:dyDescent="0.35">
      <c r="A155" s="1" t="s">
        <v>364</v>
      </c>
      <c r="B155" s="1" t="s">
        <v>25</v>
      </c>
      <c r="C155" s="1" t="s">
        <v>82</v>
      </c>
      <c r="D155" s="1" t="s">
        <v>27</v>
      </c>
      <c r="E155" s="1">
        <v>2349</v>
      </c>
      <c r="F155" s="4">
        <v>30000000</v>
      </c>
      <c r="G155" s="4">
        <v>12771</v>
      </c>
      <c r="H155" s="1">
        <v>6</v>
      </c>
      <c r="I155" s="1">
        <v>3</v>
      </c>
      <c r="J155" s="1">
        <v>21</v>
      </c>
      <c r="K155" s="1" t="s">
        <v>58</v>
      </c>
      <c r="L155" s="1" t="s">
        <v>365</v>
      </c>
      <c r="M155" s="1">
        <v>6</v>
      </c>
      <c r="N155" s="1">
        <v>8</v>
      </c>
      <c r="O155" s="1">
        <v>94867</v>
      </c>
      <c r="P155" s="1">
        <v>3.79</v>
      </c>
      <c r="Q155" s="1" t="s">
        <v>14</v>
      </c>
      <c r="R155" s="3">
        <v>0.43969999999999998</v>
      </c>
      <c r="S155" s="2">
        <v>45823</v>
      </c>
      <c r="T155" s="1">
        <v>7</v>
      </c>
      <c r="U155" s="1" t="s">
        <v>23</v>
      </c>
      <c r="V155" s="1">
        <v>147</v>
      </c>
      <c r="W155" s="1" t="b">
        <v>0</v>
      </c>
      <c r="X155" s="1" t="b">
        <v>1</v>
      </c>
      <c r="Y155" s="1">
        <v>0</v>
      </c>
    </row>
    <row r="156" spans="1:25" x14ac:dyDescent="0.35">
      <c r="A156" s="1" t="s">
        <v>366</v>
      </c>
      <c r="B156" s="1" t="s">
        <v>25</v>
      </c>
      <c r="C156" s="1" t="s">
        <v>82</v>
      </c>
      <c r="D156" s="1" t="s">
        <v>38</v>
      </c>
      <c r="E156" s="1">
        <v>7816</v>
      </c>
      <c r="F156" s="4">
        <v>30000000</v>
      </c>
      <c r="G156" s="4">
        <v>3838</v>
      </c>
      <c r="H156" s="1">
        <v>6</v>
      </c>
      <c r="I156" s="1">
        <v>3</v>
      </c>
      <c r="J156" s="1">
        <v>29</v>
      </c>
      <c r="K156" s="1" t="s">
        <v>12</v>
      </c>
      <c r="L156" s="1" t="s">
        <v>367</v>
      </c>
      <c r="M156" s="1">
        <v>3</v>
      </c>
      <c r="N156" s="1">
        <v>8</v>
      </c>
      <c r="O156" s="1">
        <v>88206</v>
      </c>
      <c r="P156" s="1">
        <v>3.53</v>
      </c>
      <c r="Q156" s="1" t="s">
        <v>14</v>
      </c>
      <c r="R156" s="3">
        <v>0.4264</v>
      </c>
      <c r="S156" s="2">
        <v>45486</v>
      </c>
      <c r="T156" s="1">
        <v>20</v>
      </c>
      <c r="U156" s="1" t="s">
        <v>7</v>
      </c>
      <c r="V156" s="1">
        <v>151</v>
      </c>
      <c r="W156" s="1" t="b">
        <v>1</v>
      </c>
      <c r="X156" s="1" t="b">
        <v>0</v>
      </c>
      <c r="Y156" s="1">
        <v>0</v>
      </c>
    </row>
    <row r="157" spans="1:25" x14ac:dyDescent="0.35">
      <c r="A157" s="1" t="s">
        <v>368</v>
      </c>
      <c r="B157" s="1" t="s">
        <v>25</v>
      </c>
      <c r="C157" s="1" t="s">
        <v>37</v>
      </c>
      <c r="D157" s="1" t="s">
        <v>38</v>
      </c>
      <c r="E157" s="1">
        <v>8577</v>
      </c>
      <c r="F157" s="4">
        <v>30000000</v>
      </c>
      <c r="G157" s="4">
        <v>3497</v>
      </c>
      <c r="H157" s="1">
        <v>6</v>
      </c>
      <c r="I157" s="1">
        <v>4</v>
      </c>
      <c r="J157" s="1">
        <v>1</v>
      </c>
      <c r="K157" s="1" t="s">
        <v>12</v>
      </c>
      <c r="L157" s="1" t="s">
        <v>369</v>
      </c>
      <c r="M157" s="1">
        <v>6</v>
      </c>
      <c r="N157" s="1">
        <v>10</v>
      </c>
      <c r="O157" s="1">
        <v>115869</v>
      </c>
      <c r="P157" s="1">
        <v>4.63</v>
      </c>
      <c r="Q157" s="1" t="s">
        <v>14</v>
      </c>
      <c r="R157" s="3">
        <v>0.48170000000000002</v>
      </c>
      <c r="S157" s="2">
        <v>45846</v>
      </c>
      <c r="T157" s="1">
        <v>357</v>
      </c>
      <c r="U157" s="1" t="s">
        <v>7</v>
      </c>
      <c r="V157" s="1">
        <v>155</v>
      </c>
      <c r="W157" s="1" t="b">
        <v>1</v>
      </c>
      <c r="X157" s="1" t="b">
        <v>1</v>
      </c>
      <c r="Y157" s="1">
        <v>60000</v>
      </c>
    </row>
    <row r="158" spans="1:25" x14ac:dyDescent="0.35">
      <c r="A158" s="1" t="s">
        <v>370</v>
      </c>
      <c r="B158" s="1" t="s">
        <v>54</v>
      </c>
      <c r="C158" s="1" t="s">
        <v>104</v>
      </c>
      <c r="D158" s="1" t="s">
        <v>11</v>
      </c>
      <c r="E158" s="1">
        <v>414</v>
      </c>
      <c r="F158" s="4">
        <v>40000000</v>
      </c>
      <c r="G158" s="4">
        <v>96618</v>
      </c>
      <c r="H158" s="1">
        <v>1</v>
      </c>
      <c r="I158" s="1">
        <v>2</v>
      </c>
      <c r="J158" s="1">
        <v>19</v>
      </c>
      <c r="K158" s="1" t="s">
        <v>61</v>
      </c>
      <c r="L158" s="1" t="s">
        <v>371</v>
      </c>
      <c r="M158" s="1">
        <v>8</v>
      </c>
      <c r="N158" s="1">
        <v>10</v>
      </c>
      <c r="O158" s="1">
        <v>147304</v>
      </c>
      <c r="P158" s="1">
        <v>4.42</v>
      </c>
      <c r="Q158" s="1" t="s">
        <v>14</v>
      </c>
      <c r="R158" s="3">
        <v>0.47100000000000003</v>
      </c>
      <c r="S158" s="2">
        <v>45743</v>
      </c>
      <c r="T158" s="1">
        <v>292</v>
      </c>
      <c r="U158" s="1" t="s">
        <v>7</v>
      </c>
      <c r="V158" s="1">
        <v>164</v>
      </c>
      <c r="W158" s="1" t="b">
        <v>1</v>
      </c>
      <c r="X158" s="1" t="b">
        <v>1</v>
      </c>
      <c r="Y158" s="1">
        <v>80000</v>
      </c>
    </row>
    <row r="159" spans="1:25" x14ac:dyDescent="0.35">
      <c r="A159" s="1" t="s">
        <v>372</v>
      </c>
      <c r="B159" s="1" t="s">
        <v>25</v>
      </c>
      <c r="C159" s="1" t="s">
        <v>314</v>
      </c>
      <c r="D159" s="1" t="s">
        <v>27</v>
      </c>
      <c r="E159" s="1">
        <v>2270</v>
      </c>
      <c r="F159" s="4">
        <v>30000000</v>
      </c>
      <c r="G159" s="4">
        <v>13215</v>
      </c>
      <c r="H159" s="1">
        <v>6</v>
      </c>
      <c r="I159" s="1">
        <v>3</v>
      </c>
      <c r="J159" s="1">
        <v>29</v>
      </c>
      <c r="K159" s="1" t="s">
        <v>21</v>
      </c>
      <c r="L159" s="1" t="s">
        <v>373</v>
      </c>
      <c r="M159" s="1">
        <v>5</v>
      </c>
      <c r="N159" s="1">
        <v>7</v>
      </c>
      <c r="O159" s="1">
        <v>81193</v>
      </c>
      <c r="P159" s="1">
        <v>3.25</v>
      </c>
      <c r="Q159" s="1" t="s">
        <v>14</v>
      </c>
      <c r="R159" s="3">
        <v>0.41240000000000004</v>
      </c>
      <c r="S159" s="2">
        <v>46125</v>
      </c>
      <c r="T159" s="1">
        <v>91</v>
      </c>
      <c r="U159" s="1" t="s">
        <v>7</v>
      </c>
      <c r="V159" s="1">
        <v>144</v>
      </c>
      <c r="W159" s="1" t="b">
        <v>0</v>
      </c>
      <c r="X159" s="1" t="b">
        <v>0</v>
      </c>
      <c r="Y159" s="1">
        <v>0</v>
      </c>
    </row>
    <row r="160" spans="1:25" x14ac:dyDescent="0.35">
      <c r="A160" s="1" t="s">
        <v>374</v>
      </c>
      <c r="B160" s="1" t="s">
        <v>25</v>
      </c>
      <c r="C160" s="1" t="s">
        <v>26</v>
      </c>
      <c r="D160" s="1" t="s">
        <v>3</v>
      </c>
      <c r="E160" s="1">
        <v>1567</v>
      </c>
      <c r="F160" s="4">
        <v>30000000</v>
      </c>
      <c r="G160" s="4">
        <v>19144</v>
      </c>
      <c r="H160" s="1">
        <v>1</v>
      </c>
      <c r="I160" s="1">
        <v>2</v>
      </c>
      <c r="J160" s="1">
        <v>1</v>
      </c>
      <c r="K160" s="1" t="s">
        <v>4</v>
      </c>
      <c r="L160" s="1" t="s">
        <v>375</v>
      </c>
      <c r="M160" s="1">
        <v>4</v>
      </c>
      <c r="N160" s="1">
        <v>10</v>
      </c>
      <c r="O160" s="1">
        <v>88454</v>
      </c>
      <c r="P160" s="1">
        <v>3.54</v>
      </c>
      <c r="Q160" s="1" t="s">
        <v>14</v>
      </c>
      <c r="R160" s="3">
        <v>0.4269</v>
      </c>
      <c r="S160" s="2">
        <v>45737</v>
      </c>
      <c r="T160" s="1">
        <v>243</v>
      </c>
      <c r="U160" s="1" t="s">
        <v>7</v>
      </c>
      <c r="V160" s="1">
        <v>32</v>
      </c>
      <c r="W160" s="1" t="b">
        <v>1</v>
      </c>
      <c r="X160" s="1" t="b">
        <v>1</v>
      </c>
      <c r="Y160" s="1">
        <v>60000</v>
      </c>
    </row>
    <row r="161" spans="1:25" x14ac:dyDescent="0.35">
      <c r="A161" s="1" t="s">
        <v>376</v>
      </c>
      <c r="B161" s="1" t="s">
        <v>25</v>
      </c>
      <c r="C161" s="1" t="s">
        <v>26</v>
      </c>
      <c r="D161" s="1" t="s">
        <v>38</v>
      </c>
      <c r="E161" s="1">
        <v>9595</v>
      </c>
      <c r="F161" s="4">
        <v>30000000</v>
      </c>
      <c r="G161" s="4">
        <v>3126</v>
      </c>
      <c r="H161" s="1">
        <v>5</v>
      </c>
      <c r="I161" s="1">
        <v>3</v>
      </c>
      <c r="J161" s="1">
        <v>13</v>
      </c>
      <c r="K161" s="1" t="s">
        <v>21</v>
      </c>
      <c r="L161" s="1" t="s">
        <v>377</v>
      </c>
      <c r="M161" s="1">
        <v>6</v>
      </c>
      <c r="N161" s="1">
        <v>10</v>
      </c>
      <c r="O161" s="1">
        <v>75367</v>
      </c>
      <c r="P161" s="1">
        <v>3.01</v>
      </c>
      <c r="Q161" s="1" t="s">
        <v>14</v>
      </c>
      <c r="R161" s="3">
        <v>0.4007</v>
      </c>
      <c r="S161" s="2">
        <v>45478</v>
      </c>
      <c r="T161" s="1">
        <v>288</v>
      </c>
      <c r="U161" s="1" t="s">
        <v>23</v>
      </c>
      <c r="V161" s="1">
        <v>125</v>
      </c>
      <c r="W161" s="1" t="b">
        <v>0</v>
      </c>
      <c r="X161" s="1" t="b">
        <v>0</v>
      </c>
      <c r="Y161" s="1">
        <v>60000</v>
      </c>
    </row>
    <row r="162" spans="1:25" x14ac:dyDescent="0.35">
      <c r="A162" s="1" t="s">
        <v>378</v>
      </c>
      <c r="B162" s="1" t="s">
        <v>18</v>
      </c>
      <c r="C162" s="1" t="s">
        <v>169</v>
      </c>
      <c r="D162" s="1" t="s">
        <v>20</v>
      </c>
      <c r="E162" s="1">
        <v>2632</v>
      </c>
      <c r="F162" s="4">
        <v>15000000</v>
      </c>
      <c r="G162" s="4">
        <v>5699</v>
      </c>
      <c r="H162" s="1">
        <v>4</v>
      </c>
      <c r="I162" s="1">
        <v>3</v>
      </c>
      <c r="J162" s="1">
        <v>8</v>
      </c>
      <c r="K162" s="1" t="s">
        <v>12</v>
      </c>
      <c r="L162" s="1" t="s">
        <v>379</v>
      </c>
      <c r="M162" s="1">
        <v>8</v>
      </c>
      <c r="N162" s="1">
        <v>6</v>
      </c>
      <c r="O162" s="1">
        <v>55532</v>
      </c>
      <c r="P162" s="1">
        <v>4.4400000000000004</v>
      </c>
      <c r="Q162" s="1" t="s">
        <v>6</v>
      </c>
      <c r="R162" s="3">
        <v>0.47210000000000002</v>
      </c>
      <c r="S162" s="2">
        <v>45485</v>
      </c>
      <c r="T162" s="1">
        <v>215</v>
      </c>
      <c r="U162" s="1" t="s">
        <v>7</v>
      </c>
      <c r="V162" s="1">
        <v>96</v>
      </c>
      <c r="W162" s="1" t="b">
        <v>0</v>
      </c>
      <c r="X162" s="1" t="b">
        <v>0</v>
      </c>
      <c r="Y162" s="1">
        <v>30000</v>
      </c>
    </row>
    <row r="163" spans="1:25" x14ac:dyDescent="0.35">
      <c r="A163" s="1" t="s">
        <v>380</v>
      </c>
      <c r="B163" s="1" t="s">
        <v>32</v>
      </c>
      <c r="C163" s="1" t="s">
        <v>194</v>
      </c>
      <c r="D163" s="1" t="s">
        <v>38</v>
      </c>
      <c r="E163" s="1">
        <v>9684</v>
      </c>
      <c r="F163" s="4">
        <v>12000000</v>
      </c>
      <c r="G163" s="4">
        <v>1239</v>
      </c>
      <c r="H163" s="1">
        <v>4</v>
      </c>
      <c r="I163" s="1">
        <v>3</v>
      </c>
      <c r="J163" s="1">
        <v>23</v>
      </c>
      <c r="K163" s="1" t="s">
        <v>61</v>
      </c>
      <c r="L163" s="1" t="s">
        <v>381</v>
      </c>
      <c r="M163" s="1">
        <v>8</v>
      </c>
      <c r="N163" s="1">
        <v>8</v>
      </c>
      <c r="O163" s="1">
        <v>39415</v>
      </c>
      <c r="P163" s="1">
        <v>3.94</v>
      </c>
      <c r="Q163" s="1" t="s">
        <v>6</v>
      </c>
      <c r="R163" s="3">
        <v>0.4471</v>
      </c>
      <c r="S163" s="2">
        <v>45892</v>
      </c>
      <c r="T163" s="1">
        <v>349</v>
      </c>
      <c r="U163" s="1" t="s">
        <v>30</v>
      </c>
      <c r="V163" s="1">
        <v>76</v>
      </c>
      <c r="W163" s="1" t="b">
        <v>0</v>
      </c>
      <c r="X163" s="1" t="b">
        <v>1</v>
      </c>
      <c r="Y163" s="1">
        <v>24000</v>
      </c>
    </row>
    <row r="164" spans="1:25" x14ac:dyDescent="0.35">
      <c r="A164" s="1" t="s">
        <v>382</v>
      </c>
      <c r="B164" s="1" t="s">
        <v>54</v>
      </c>
      <c r="C164" s="1" t="s">
        <v>55</v>
      </c>
      <c r="D164" s="1" t="s">
        <v>20</v>
      </c>
      <c r="E164" s="1">
        <v>3222</v>
      </c>
      <c r="F164" s="4">
        <v>40000000</v>
      </c>
      <c r="G164" s="4">
        <v>12414</v>
      </c>
      <c r="H164" s="1">
        <v>4</v>
      </c>
      <c r="I164" s="1">
        <v>3</v>
      </c>
      <c r="J164" s="1">
        <v>8</v>
      </c>
      <c r="K164" s="1" t="s">
        <v>42</v>
      </c>
      <c r="L164" s="1" t="s">
        <v>383</v>
      </c>
      <c r="M164" s="1">
        <v>7</v>
      </c>
      <c r="N164" s="1">
        <v>6</v>
      </c>
      <c r="O164" s="1">
        <v>133365</v>
      </c>
      <c r="P164" s="1">
        <v>4</v>
      </c>
      <c r="Q164" s="1" t="s">
        <v>14</v>
      </c>
      <c r="R164" s="3">
        <v>0.45</v>
      </c>
      <c r="S164" s="2">
        <v>45459</v>
      </c>
      <c r="T164" s="1">
        <v>28</v>
      </c>
      <c r="U164" s="1" t="s">
        <v>7</v>
      </c>
      <c r="V164" s="1">
        <v>135</v>
      </c>
      <c r="W164" s="1" t="b">
        <v>1</v>
      </c>
      <c r="X164" s="1" t="b">
        <v>1</v>
      </c>
      <c r="Y164" s="1">
        <v>80000</v>
      </c>
    </row>
    <row r="165" spans="1:25" x14ac:dyDescent="0.35">
      <c r="A165" s="1" t="s">
        <v>384</v>
      </c>
      <c r="B165" s="1" t="s">
        <v>54</v>
      </c>
      <c r="C165" s="1" t="s">
        <v>89</v>
      </c>
      <c r="D165" s="1" t="s">
        <v>38</v>
      </c>
      <c r="E165" s="1">
        <v>6748</v>
      </c>
      <c r="F165" s="4">
        <v>40000000</v>
      </c>
      <c r="G165" s="4">
        <v>5927</v>
      </c>
      <c r="H165" s="1">
        <v>4</v>
      </c>
      <c r="I165" s="1">
        <v>3</v>
      </c>
      <c r="J165" s="1">
        <v>27</v>
      </c>
      <c r="K165" s="1" t="s">
        <v>28</v>
      </c>
      <c r="L165" s="1" t="s">
        <v>385</v>
      </c>
      <c r="M165" s="1">
        <v>8</v>
      </c>
      <c r="N165" s="1">
        <v>5</v>
      </c>
      <c r="O165" s="1">
        <v>118235</v>
      </c>
      <c r="P165" s="1">
        <v>3.55</v>
      </c>
      <c r="Q165" s="1" t="s">
        <v>14</v>
      </c>
      <c r="R165" s="3">
        <v>0.4274</v>
      </c>
      <c r="S165" s="2">
        <v>45984</v>
      </c>
      <c r="T165" s="1">
        <v>46</v>
      </c>
      <c r="U165" s="1" t="s">
        <v>7</v>
      </c>
      <c r="V165" s="1">
        <v>155</v>
      </c>
      <c r="W165" s="1" t="b">
        <v>1</v>
      </c>
      <c r="X165" s="1" t="b">
        <v>0</v>
      </c>
      <c r="Y165" s="1">
        <v>0</v>
      </c>
    </row>
    <row r="166" spans="1:25" x14ac:dyDescent="0.35">
      <c r="A166" s="1" t="s">
        <v>386</v>
      </c>
      <c r="B166" s="1" t="s">
        <v>18</v>
      </c>
      <c r="C166" s="1" t="s">
        <v>19</v>
      </c>
      <c r="D166" s="1" t="s">
        <v>11</v>
      </c>
      <c r="E166" s="1">
        <v>446</v>
      </c>
      <c r="F166" s="4">
        <v>15000000</v>
      </c>
      <c r="G166" s="4">
        <v>33632</v>
      </c>
      <c r="H166" s="1">
        <v>0</v>
      </c>
      <c r="I166" s="1">
        <v>1</v>
      </c>
      <c r="J166" s="1">
        <v>17</v>
      </c>
      <c r="K166" s="1" t="s">
        <v>4</v>
      </c>
      <c r="L166" s="1" t="s">
        <v>387</v>
      </c>
      <c r="M166" s="1">
        <v>4</v>
      </c>
      <c r="N166" s="1">
        <v>6</v>
      </c>
      <c r="O166" s="1">
        <v>37603</v>
      </c>
      <c r="P166" s="1">
        <v>3.01</v>
      </c>
      <c r="Q166" s="1" t="s">
        <v>6</v>
      </c>
      <c r="R166" s="3">
        <v>0.40039999999999998</v>
      </c>
      <c r="S166" s="2">
        <v>45902</v>
      </c>
      <c r="T166" s="1">
        <v>67</v>
      </c>
      <c r="U166" s="1" t="s">
        <v>7</v>
      </c>
      <c r="V166" s="1">
        <v>109</v>
      </c>
      <c r="W166" s="1" t="b">
        <v>1</v>
      </c>
      <c r="X166" s="1" t="b">
        <v>0</v>
      </c>
      <c r="Y166" s="1">
        <v>0</v>
      </c>
    </row>
    <row r="167" spans="1:25" x14ac:dyDescent="0.35">
      <c r="A167" s="1" t="s">
        <v>388</v>
      </c>
      <c r="B167" s="1" t="s">
        <v>25</v>
      </c>
      <c r="C167" s="1" t="s">
        <v>314</v>
      </c>
      <c r="D167" s="1" t="s">
        <v>3</v>
      </c>
      <c r="E167" s="1">
        <v>1621</v>
      </c>
      <c r="F167" s="4">
        <v>30000000</v>
      </c>
      <c r="G167" s="4">
        <v>18507</v>
      </c>
      <c r="H167" s="1">
        <v>3</v>
      </c>
      <c r="I167" s="1">
        <v>2</v>
      </c>
      <c r="J167" s="1">
        <v>23</v>
      </c>
      <c r="K167" s="1" t="s">
        <v>42</v>
      </c>
      <c r="L167" s="1" t="s">
        <v>389</v>
      </c>
      <c r="M167" s="1">
        <v>7</v>
      </c>
      <c r="N167" s="1">
        <v>5</v>
      </c>
      <c r="O167" s="1">
        <v>84421</v>
      </c>
      <c r="P167" s="1">
        <v>3.38</v>
      </c>
      <c r="Q167" s="1" t="s">
        <v>14</v>
      </c>
      <c r="R167" s="3">
        <v>0.41880000000000001</v>
      </c>
      <c r="S167" s="2">
        <v>45743</v>
      </c>
      <c r="T167" s="1">
        <v>109</v>
      </c>
      <c r="U167" s="1" t="s">
        <v>7</v>
      </c>
      <c r="V167" s="1">
        <v>63</v>
      </c>
      <c r="W167" s="1" t="b">
        <v>1</v>
      </c>
      <c r="X167" s="1" t="b">
        <v>1</v>
      </c>
      <c r="Y167" s="1">
        <v>60000</v>
      </c>
    </row>
    <row r="168" spans="1:25" x14ac:dyDescent="0.35">
      <c r="A168" s="1" t="s">
        <v>390</v>
      </c>
      <c r="B168" s="1" t="s">
        <v>54</v>
      </c>
      <c r="C168" s="1" t="s">
        <v>104</v>
      </c>
      <c r="D168" s="1" t="s">
        <v>3</v>
      </c>
      <c r="E168" s="1">
        <v>1936</v>
      </c>
      <c r="F168" s="4">
        <v>40000000</v>
      </c>
      <c r="G168" s="4">
        <v>20661</v>
      </c>
      <c r="H168" s="1">
        <v>3</v>
      </c>
      <c r="I168" s="1">
        <v>1</v>
      </c>
      <c r="J168" s="1">
        <v>19</v>
      </c>
      <c r="K168" s="1" t="s">
        <v>58</v>
      </c>
      <c r="L168" s="1" t="s">
        <v>391</v>
      </c>
      <c r="M168" s="1">
        <v>3</v>
      </c>
      <c r="N168" s="1">
        <v>9</v>
      </c>
      <c r="O168" s="1">
        <v>125350</v>
      </c>
      <c r="P168" s="1">
        <v>3.76</v>
      </c>
      <c r="Q168" s="1" t="s">
        <v>14</v>
      </c>
      <c r="R168" s="3">
        <v>0.43799999999999994</v>
      </c>
      <c r="S168" s="2">
        <v>45596</v>
      </c>
      <c r="T168" s="1">
        <v>106</v>
      </c>
      <c r="U168" s="1" t="s">
        <v>7</v>
      </c>
      <c r="V168" s="1">
        <v>69</v>
      </c>
      <c r="W168" s="1" t="b">
        <v>1</v>
      </c>
      <c r="X168" s="1" t="b">
        <v>0</v>
      </c>
      <c r="Y168" s="1">
        <v>0</v>
      </c>
    </row>
    <row r="169" spans="1:25" x14ac:dyDescent="0.35">
      <c r="A169" s="1" t="s">
        <v>392</v>
      </c>
      <c r="B169" s="1" t="s">
        <v>1</v>
      </c>
      <c r="C169" s="1" t="s">
        <v>2</v>
      </c>
      <c r="D169" s="1" t="s">
        <v>38</v>
      </c>
      <c r="E169" s="1">
        <v>5211</v>
      </c>
      <c r="F169" s="4">
        <v>10000000</v>
      </c>
      <c r="G169" s="4">
        <v>1919</v>
      </c>
      <c r="H169" s="1">
        <v>6</v>
      </c>
      <c r="I169" s="1">
        <v>3</v>
      </c>
      <c r="J169" s="1">
        <v>13</v>
      </c>
      <c r="K169" s="1" t="s">
        <v>58</v>
      </c>
      <c r="L169" s="1" t="s">
        <v>393</v>
      </c>
      <c r="M169" s="1">
        <v>3</v>
      </c>
      <c r="N169" s="1">
        <v>6</v>
      </c>
      <c r="O169" s="1">
        <v>33295</v>
      </c>
      <c r="P169" s="1">
        <v>4</v>
      </c>
      <c r="Q169" s="1" t="s">
        <v>6</v>
      </c>
      <c r="R169" s="3">
        <v>0.44979999999999998</v>
      </c>
      <c r="S169" s="2">
        <v>45533</v>
      </c>
      <c r="T169" s="1">
        <v>104</v>
      </c>
      <c r="U169" s="1" t="s">
        <v>7</v>
      </c>
      <c r="V169" s="1">
        <v>163</v>
      </c>
      <c r="W169" s="1" t="b">
        <v>0</v>
      </c>
      <c r="X169" s="1" t="b">
        <v>0</v>
      </c>
      <c r="Y169" s="1">
        <v>0</v>
      </c>
    </row>
    <row r="170" spans="1:25" x14ac:dyDescent="0.35">
      <c r="A170" s="1" t="s">
        <v>394</v>
      </c>
      <c r="B170" s="1" t="s">
        <v>25</v>
      </c>
      <c r="C170" s="1" t="s">
        <v>314</v>
      </c>
      <c r="D170" s="1" t="s">
        <v>38</v>
      </c>
      <c r="E170" s="1">
        <v>7066</v>
      </c>
      <c r="F170" s="4">
        <v>30000000</v>
      </c>
      <c r="G170" s="4">
        <v>4245</v>
      </c>
      <c r="H170" s="1">
        <v>4</v>
      </c>
      <c r="I170" s="1">
        <v>3</v>
      </c>
      <c r="J170" s="1">
        <v>10</v>
      </c>
      <c r="K170" s="1" t="s">
        <v>42</v>
      </c>
      <c r="L170" s="1" t="s">
        <v>395</v>
      </c>
      <c r="M170" s="1">
        <v>4</v>
      </c>
      <c r="N170" s="1">
        <v>9</v>
      </c>
      <c r="O170" s="1">
        <v>79504</v>
      </c>
      <c r="P170" s="1">
        <v>3.18</v>
      </c>
      <c r="Q170" s="1" t="s">
        <v>14</v>
      </c>
      <c r="R170" s="3">
        <v>0.40899999999999997</v>
      </c>
      <c r="S170" s="2">
        <v>45633</v>
      </c>
      <c r="T170" s="1">
        <v>132</v>
      </c>
      <c r="U170" s="1" t="s">
        <v>7</v>
      </c>
      <c r="V170" s="1">
        <v>55</v>
      </c>
      <c r="W170" s="1" t="b">
        <v>1</v>
      </c>
      <c r="X170" s="1" t="b">
        <v>0</v>
      </c>
      <c r="Y170" s="1">
        <v>0</v>
      </c>
    </row>
    <row r="171" spans="1:25" x14ac:dyDescent="0.35">
      <c r="A171" s="1" t="s">
        <v>396</v>
      </c>
      <c r="B171" s="1" t="s">
        <v>54</v>
      </c>
      <c r="C171" s="1" t="s">
        <v>89</v>
      </c>
      <c r="D171" s="1" t="s">
        <v>3</v>
      </c>
      <c r="E171" s="1">
        <v>808</v>
      </c>
      <c r="F171" s="4">
        <v>40000000</v>
      </c>
      <c r="G171" s="4">
        <v>49504</v>
      </c>
      <c r="H171" s="1">
        <v>2</v>
      </c>
      <c r="I171" s="1">
        <v>1</v>
      </c>
      <c r="J171" s="1">
        <v>27</v>
      </c>
      <c r="K171" s="1" t="s">
        <v>58</v>
      </c>
      <c r="L171" s="1" t="s">
        <v>397</v>
      </c>
      <c r="M171" s="1">
        <v>5</v>
      </c>
      <c r="N171" s="1">
        <v>9</v>
      </c>
      <c r="O171" s="1">
        <v>159352</v>
      </c>
      <c r="P171" s="1">
        <v>4.78</v>
      </c>
      <c r="Q171" s="1" t="s">
        <v>14</v>
      </c>
      <c r="R171" s="3">
        <v>0.48899999999999999</v>
      </c>
      <c r="S171" s="2">
        <v>46147</v>
      </c>
      <c r="T171" s="1">
        <v>169</v>
      </c>
      <c r="U171" s="1" t="s">
        <v>23</v>
      </c>
      <c r="V171" s="1">
        <v>73</v>
      </c>
      <c r="W171" s="1" t="b">
        <v>0</v>
      </c>
      <c r="X171" s="1" t="b">
        <v>0</v>
      </c>
      <c r="Y171" s="1">
        <v>0</v>
      </c>
    </row>
    <row r="172" spans="1:25" x14ac:dyDescent="0.35">
      <c r="A172" s="1" t="s">
        <v>398</v>
      </c>
      <c r="B172" s="1" t="s">
        <v>1</v>
      </c>
      <c r="C172" s="1" t="s">
        <v>2</v>
      </c>
      <c r="D172" s="1" t="s">
        <v>20</v>
      </c>
      <c r="E172" s="1">
        <v>4838</v>
      </c>
      <c r="F172" s="4">
        <v>10000000</v>
      </c>
      <c r="G172" s="4">
        <v>2066</v>
      </c>
      <c r="H172" s="1">
        <v>4</v>
      </c>
      <c r="I172" s="1">
        <v>2</v>
      </c>
      <c r="J172" s="1">
        <v>3</v>
      </c>
      <c r="K172" s="1" t="s">
        <v>21</v>
      </c>
      <c r="L172" s="1" t="s">
        <v>399</v>
      </c>
      <c r="M172" s="1">
        <v>6</v>
      </c>
      <c r="N172" s="1">
        <v>9</v>
      </c>
      <c r="O172" s="1">
        <v>38281</v>
      </c>
      <c r="P172" s="1">
        <v>4.59</v>
      </c>
      <c r="Q172" s="1" t="s">
        <v>6</v>
      </c>
      <c r="R172" s="3">
        <v>0.47970000000000002</v>
      </c>
      <c r="S172" s="2">
        <v>46041</v>
      </c>
      <c r="T172" s="1">
        <v>82</v>
      </c>
      <c r="U172" s="1" t="s">
        <v>7</v>
      </c>
      <c r="V172" s="1">
        <v>45</v>
      </c>
      <c r="W172" s="1" t="b">
        <v>1</v>
      </c>
      <c r="X172" s="1" t="b">
        <v>0</v>
      </c>
      <c r="Y172" s="1">
        <v>0</v>
      </c>
    </row>
    <row r="173" spans="1:25" x14ac:dyDescent="0.35">
      <c r="A173" s="1" t="s">
        <v>400</v>
      </c>
      <c r="B173" s="1" t="s">
        <v>32</v>
      </c>
      <c r="C173" s="1" t="s">
        <v>194</v>
      </c>
      <c r="D173" s="1" t="s">
        <v>11</v>
      </c>
      <c r="E173" s="1">
        <v>342</v>
      </c>
      <c r="F173" s="4">
        <v>12000000</v>
      </c>
      <c r="G173" s="4">
        <v>35087</v>
      </c>
      <c r="H173" s="1">
        <v>1</v>
      </c>
      <c r="I173" s="1">
        <v>2</v>
      </c>
      <c r="J173" s="1">
        <v>19</v>
      </c>
      <c r="K173" s="1" t="s">
        <v>58</v>
      </c>
      <c r="L173" s="1" t="s">
        <v>401</v>
      </c>
      <c r="M173" s="1">
        <v>3</v>
      </c>
      <c r="N173" s="1">
        <v>6</v>
      </c>
      <c r="O173" s="1">
        <v>38813</v>
      </c>
      <c r="P173" s="1">
        <v>3.88</v>
      </c>
      <c r="Q173" s="1" t="s">
        <v>6</v>
      </c>
      <c r="R173" s="3">
        <v>0.44409999999999994</v>
      </c>
      <c r="S173" s="2">
        <v>46092</v>
      </c>
      <c r="T173" s="1">
        <v>361</v>
      </c>
      <c r="U173" s="1" t="s">
        <v>7</v>
      </c>
      <c r="V173" s="1">
        <v>33</v>
      </c>
      <c r="W173" s="1" t="b">
        <v>1</v>
      </c>
      <c r="X173" s="1" t="b">
        <v>0</v>
      </c>
      <c r="Y173" s="1">
        <v>24000</v>
      </c>
    </row>
    <row r="174" spans="1:25" x14ac:dyDescent="0.35">
      <c r="A174" s="1" t="s">
        <v>402</v>
      </c>
      <c r="B174" s="1" t="s">
        <v>18</v>
      </c>
      <c r="C174" s="1" t="s">
        <v>243</v>
      </c>
      <c r="D174" s="1" t="s">
        <v>27</v>
      </c>
      <c r="E174" s="1">
        <v>5947</v>
      </c>
      <c r="F174" s="4">
        <v>15000000</v>
      </c>
      <c r="G174" s="4">
        <v>2522</v>
      </c>
      <c r="H174" s="1">
        <v>5</v>
      </c>
      <c r="I174" s="1">
        <v>3</v>
      </c>
      <c r="J174" s="1">
        <v>4</v>
      </c>
      <c r="K174" s="1" t="s">
        <v>42</v>
      </c>
      <c r="L174" s="1" t="s">
        <v>403</v>
      </c>
      <c r="M174" s="1">
        <v>7</v>
      </c>
      <c r="N174" s="1">
        <v>6</v>
      </c>
      <c r="O174" s="1">
        <v>39371</v>
      </c>
      <c r="P174" s="1">
        <v>3.15</v>
      </c>
      <c r="Q174" s="1" t="s">
        <v>6</v>
      </c>
      <c r="R174" s="3">
        <v>0.40749999999999997</v>
      </c>
      <c r="S174" s="2">
        <v>45653</v>
      </c>
      <c r="T174" s="1">
        <v>26</v>
      </c>
      <c r="U174" s="1" t="s">
        <v>7</v>
      </c>
      <c r="V174" s="1">
        <v>101</v>
      </c>
      <c r="W174" s="1" t="b">
        <v>1</v>
      </c>
      <c r="X174" s="1" t="b">
        <v>0</v>
      </c>
      <c r="Y174" s="1">
        <v>0</v>
      </c>
    </row>
    <row r="175" spans="1:25" x14ac:dyDescent="0.35">
      <c r="A175" s="1" t="s">
        <v>404</v>
      </c>
      <c r="B175" s="1" t="s">
        <v>25</v>
      </c>
      <c r="C175" s="1" t="s">
        <v>314</v>
      </c>
      <c r="D175" s="1" t="s">
        <v>11</v>
      </c>
      <c r="E175" s="1">
        <v>477</v>
      </c>
      <c r="F175" s="4">
        <v>30000000</v>
      </c>
      <c r="G175" s="4">
        <v>62893</v>
      </c>
      <c r="H175" s="1">
        <v>1</v>
      </c>
      <c r="I175" s="1">
        <v>1</v>
      </c>
      <c r="J175" s="1">
        <v>27</v>
      </c>
      <c r="K175" s="1" t="s">
        <v>58</v>
      </c>
      <c r="L175" s="1" t="s">
        <v>405</v>
      </c>
      <c r="M175" s="1">
        <v>6</v>
      </c>
      <c r="N175" s="1">
        <v>4</v>
      </c>
      <c r="O175" s="1">
        <v>76791</v>
      </c>
      <c r="P175" s="1">
        <v>3.07</v>
      </c>
      <c r="Q175" s="1" t="s">
        <v>14</v>
      </c>
      <c r="R175" s="3">
        <v>0.40360000000000001</v>
      </c>
      <c r="S175" s="2">
        <v>45594</v>
      </c>
      <c r="T175" s="1">
        <v>261</v>
      </c>
      <c r="U175" s="1" t="s">
        <v>7</v>
      </c>
      <c r="V175" s="1">
        <v>107</v>
      </c>
      <c r="W175" s="1" t="b">
        <v>1</v>
      </c>
      <c r="X175" s="1" t="b">
        <v>0</v>
      </c>
      <c r="Y175" s="1">
        <v>0</v>
      </c>
    </row>
    <row r="176" spans="1:25" x14ac:dyDescent="0.35">
      <c r="A176" s="1" t="s">
        <v>406</v>
      </c>
      <c r="B176" s="1" t="s">
        <v>54</v>
      </c>
      <c r="C176" s="1" t="s">
        <v>64</v>
      </c>
      <c r="D176" s="1" t="s">
        <v>27</v>
      </c>
      <c r="E176" s="1">
        <v>5722</v>
      </c>
      <c r="F176" s="4">
        <v>40000000</v>
      </c>
      <c r="G176" s="4">
        <v>6990</v>
      </c>
      <c r="H176" s="1">
        <v>5</v>
      </c>
      <c r="I176" s="1">
        <v>3</v>
      </c>
      <c r="J176" s="1">
        <v>22</v>
      </c>
      <c r="K176" s="1" t="s">
        <v>12</v>
      </c>
      <c r="L176" s="1" t="s">
        <v>407</v>
      </c>
      <c r="M176" s="1">
        <v>8</v>
      </c>
      <c r="N176" s="1">
        <v>6</v>
      </c>
      <c r="O176" s="1">
        <v>164295</v>
      </c>
      <c r="P176" s="1">
        <v>4.93</v>
      </c>
      <c r="Q176" s="1" t="s">
        <v>14</v>
      </c>
      <c r="R176" s="3">
        <v>0.49640000000000001</v>
      </c>
      <c r="S176" s="2">
        <v>45858</v>
      </c>
      <c r="T176" s="1">
        <v>24</v>
      </c>
      <c r="U176" s="1" t="s">
        <v>7</v>
      </c>
      <c r="V176" s="1">
        <v>57</v>
      </c>
      <c r="W176" s="1" t="b">
        <v>1</v>
      </c>
      <c r="X176" s="1" t="b">
        <v>0</v>
      </c>
      <c r="Y176" s="1">
        <v>80000</v>
      </c>
    </row>
    <row r="177" spans="1:25" x14ac:dyDescent="0.35">
      <c r="A177" s="1" t="s">
        <v>408</v>
      </c>
      <c r="B177" s="1" t="s">
        <v>1</v>
      </c>
      <c r="C177" s="1" t="s">
        <v>45</v>
      </c>
      <c r="D177" s="1" t="s">
        <v>11</v>
      </c>
      <c r="E177" s="1">
        <v>304</v>
      </c>
      <c r="F177" s="4">
        <v>10000000</v>
      </c>
      <c r="G177" s="4">
        <v>32894</v>
      </c>
      <c r="H177" s="1">
        <v>1</v>
      </c>
      <c r="I177" s="1">
        <v>1</v>
      </c>
      <c r="J177" s="1">
        <v>6</v>
      </c>
      <c r="K177" s="1" t="s">
        <v>4</v>
      </c>
      <c r="L177" s="1" t="s">
        <v>409</v>
      </c>
      <c r="M177" s="1">
        <v>3</v>
      </c>
      <c r="N177" s="1">
        <v>9</v>
      </c>
      <c r="O177" s="1">
        <v>26796</v>
      </c>
      <c r="P177" s="1">
        <v>3.22</v>
      </c>
      <c r="Q177" s="1" t="s">
        <v>6</v>
      </c>
      <c r="R177" s="3">
        <v>0.4108</v>
      </c>
      <c r="S177" s="2">
        <v>45732</v>
      </c>
      <c r="T177" s="1">
        <v>64</v>
      </c>
      <c r="U177" s="1" t="s">
        <v>7</v>
      </c>
      <c r="V177" s="1">
        <v>180</v>
      </c>
      <c r="W177" s="1" t="b">
        <v>0</v>
      </c>
      <c r="X177" s="1" t="b">
        <v>0</v>
      </c>
      <c r="Y177" s="1">
        <v>20000</v>
      </c>
    </row>
    <row r="178" spans="1:25" x14ac:dyDescent="0.35">
      <c r="A178" s="1" t="s">
        <v>410</v>
      </c>
      <c r="B178" s="1" t="s">
        <v>18</v>
      </c>
      <c r="C178" s="1" t="s">
        <v>169</v>
      </c>
      <c r="D178" s="1" t="s">
        <v>38</v>
      </c>
      <c r="E178" s="1">
        <v>9031</v>
      </c>
      <c r="F178" s="4">
        <v>15000000</v>
      </c>
      <c r="G178" s="4">
        <v>1660</v>
      </c>
      <c r="H178" s="1">
        <v>4</v>
      </c>
      <c r="I178" s="1">
        <v>3</v>
      </c>
      <c r="J178" s="1">
        <v>26</v>
      </c>
      <c r="K178" s="1" t="s">
        <v>58</v>
      </c>
      <c r="L178" s="1" t="s">
        <v>411</v>
      </c>
      <c r="M178" s="1">
        <v>7</v>
      </c>
      <c r="N178" s="1">
        <v>7</v>
      </c>
      <c r="O178" s="1">
        <v>52513</v>
      </c>
      <c r="P178" s="1">
        <v>4.2</v>
      </c>
      <c r="Q178" s="1" t="s">
        <v>6</v>
      </c>
      <c r="R178" s="3">
        <v>0.46009999999999995</v>
      </c>
      <c r="S178" s="2">
        <v>45827</v>
      </c>
      <c r="T178" s="1">
        <v>312</v>
      </c>
      <c r="U178" s="1" t="s">
        <v>7</v>
      </c>
      <c r="V178" s="1">
        <v>137</v>
      </c>
      <c r="W178" s="1" t="b">
        <v>1</v>
      </c>
      <c r="X178" s="1" t="b">
        <v>0</v>
      </c>
      <c r="Y178" s="1">
        <v>0</v>
      </c>
    </row>
    <row r="179" spans="1:25" x14ac:dyDescent="0.35">
      <c r="A179" s="1" t="s">
        <v>412</v>
      </c>
      <c r="B179" s="1" t="s">
        <v>54</v>
      </c>
      <c r="C179" s="1" t="s">
        <v>72</v>
      </c>
      <c r="D179" s="1" t="s">
        <v>11</v>
      </c>
      <c r="E179" s="1">
        <v>318</v>
      </c>
      <c r="F179" s="4">
        <v>33863478</v>
      </c>
      <c r="G179" s="4">
        <v>106488</v>
      </c>
      <c r="H179" s="1">
        <v>0</v>
      </c>
      <c r="I179" s="1">
        <v>2</v>
      </c>
      <c r="J179" s="1">
        <v>19</v>
      </c>
      <c r="K179" s="1" t="s">
        <v>4</v>
      </c>
      <c r="L179" s="1" t="s">
        <v>413</v>
      </c>
      <c r="M179" s="1">
        <v>8</v>
      </c>
      <c r="N179" s="1">
        <v>5</v>
      </c>
      <c r="O179" s="1">
        <v>101058</v>
      </c>
      <c r="P179" s="1">
        <v>3.58</v>
      </c>
      <c r="Q179" s="1" t="s">
        <v>14</v>
      </c>
      <c r="R179" s="3">
        <v>0.42909999999999998</v>
      </c>
      <c r="S179" s="2">
        <v>45803</v>
      </c>
      <c r="T179" s="1">
        <v>258</v>
      </c>
      <c r="U179" s="1" t="s">
        <v>23</v>
      </c>
      <c r="V179" s="1">
        <v>75</v>
      </c>
      <c r="W179" s="1" t="b">
        <v>0</v>
      </c>
      <c r="X179" s="1" t="b">
        <v>1</v>
      </c>
      <c r="Y179" s="1">
        <v>0</v>
      </c>
    </row>
    <row r="180" spans="1:25" x14ac:dyDescent="0.35">
      <c r="A180" s="1" t="s">
        <v>414</v>
      </c>
      <c r="B180" s="1" t="s">
        <v>32</v>
      </c>
      <c r="C180" s="1" t="s">
        <v>197</v>
      </c>
      <c r="D180" s="1" t="s">
        <v>38</v>
      </c>
      <c r="E180" s="1">
        <v>7674</v>
      </c>
      <c r="F180" s="4">
        <v>12000000</v>
      </c>
      <c r="G180" s="4">
        <v>1563</v>
      </c>
      <c r="H180" s="1">
        <v>6</v>
      </c>
      <c r="I180" s="1">
        <v>4</v>
      </c>
      <c r="J180" s="1">
        <v>21</v>
      </c>
      <c r="K180" s="1" t="s">
        <v>21</v>
      </c>
      <c r="L180" s="1" t="s">
        <v>415</v>
      </c>
      <c r="M180" s="1">
        <v>8</v>
      </c>
      <c r="N180" s="1">
        <v>10</v>
      </c>
      <c r="O180" s="1">
        <v>43405</v>
      </c>
      <c r="P180" s="1">
        <v>4.34</v>
      </c>
      <c r="Q180" s="1" t="s">
        <v>6</v>
      </c>
      <c r="R180" s="3">
        <v>0.46700000000000003</v>
      </c>
      <c r="S180" s="2">
        <v>45952</v>
      </c>
      <c r="T180" s="1">
        <v>147</v>
      </c>
      <c r="U180" s="1" t="s">
        <v>7</v>
      </c>
      <c r="V180" s="1">
        <v>71</v>
      </c>
      <c r="W180" s="1" t="b">
        <v>0</v>
      </c>
      <c r="X180" s="1" t="b">
        <v>1</v>
      </c>
      <c r="Y180" s="1">
        <v>24000</v>
      </c>
    </row>
    <row r="181" spans="1:25" x14ac:dyDescent="0.35">
      <c r="A181" s="1" t="s">
        <v>416</v>
      </c>
      <c r="B181" s="1" t="s">
        <v>1</v>
      </c>
      <c r="C181" s="1" t="s">
        <v>97</v>
      </c>
      <c r="D181" s="1" t="s">
        <v>27</v>
      </c>
      <c r="E181" s="1">
        <v>6433</v>
      </c>
      <c r="F181" s="4">
        <v>10000000</v>
      </c>
      <c r="G181" s="4">
        <v>1554</v>
      </c>
      <c r="H181" s="1">
        <v>3</v>
      </c>
      <c r="I181" s="1">
        <v>2</v>
      </c>
      <c r="J181" s="1">
        <v>26</v>
      </c>
      <c r="K181" s="1" t="s">
        <v>21</v>
      </c>
      <c r="L181" s="1" t="s">
        <v>417</v>
      </c>
      <c r="M181" s="1">
        <v>6</v>
      </c>
      <c r="N181" s="1">
        <v>9</v>
      </c>
      <c r="O181" s="1">
        <v>38071</v>
      </c>
      <c r="P181" s="1">
        <v>4.57</v>
      </c>
      <c r="Q181" s="1" t="s">
        <v>6</v>
      </c>
      <c r="R181" s="3">
        <v>0.47840000000000005</v>
      </c>
      <c r="S181" s="2">
        <v>45444</v>
      </c>
      <c r="T181" s="1">
        <v>196</v>
      </c>
      <c r="U181" s="1" t="s">
        <v>7</v>
      </c>
      <c r="V181" s="1">
        <v>42</v>
      </c>
      <c r="W181" s="1" t="b">
        <v>0</v>
      </c>
      <c r="X181" s="1" t="b">
        <v>0</v>
      </c>
      <c r="Y181" s="1">
        <v>0</v>
      </c>
    </row>
    <row r="182" spans="1:25" x14ac:dyDescent="0.35">
      <c r="A182" s="1" t="s">
        <v>418</v>
      </c>
      <c r="B182" s="1" t="s">
        <v>32</v>
      </c>
      <c r="C182" s="1" t="s">
        <v>33</v>
      </c>
      <c r="D182" s="1" t="s">
        <v>3</v>
      </c>
      <c r="E182" s="1">
        <v>1429</v>
      </c>
      <c r="F182" s="4">
        <v>12000000</v>
      </c>
      <c r="G182" s="4">
        <v>8397</v>
      </c>
      <c r="H182" s="1">
        <v>2</v>
      </c>
      <c r="I182" s="1">
        <v>2</v>
      </c>
      <c r="J182" s="1">
        <v>26</v>
      </c>
      <c r="K182" s="1" t="s">
        <v>4</v>
      </c>
      <c r="L182" s="1" t="s">
        <v>419</v>
      </c>
      <c r="M182" s="1">
        <v>4</v>
      </c>
      <c r="N182" s="1">
        <v>5</v>
      </c>
      <c r="O182" s="1">
        <v>33548</v>
      </c>
      <c r="P182" s="1">
        <v>3.35</v>
      </c>
      <c r="Q182" s="1" t="s">
        <v>6</v>
      </c>
      <c r="R182" s="3">
        <v>0.41770000000000002</v>
      </c>
      <c r="S182" s="2">
        <v>45457</v>
      </c>
      <c r="T182" s="1">
        <v>62</v>
      </c>
      <c r="U182" s="1" t="s">
        <v>7</v>
      </c>
      <c r="V182" s="1">
        <v>161</v>
      </c>
      <c r="W182" s="1" t="b">
        <v>0</v>
      </c>
      <c r="X182" s="1" t="b">
        <v>1</v>
      </c>
      <c r="Y182" s="1">
        <v>0</v>
      </c>
    </row>
    <row r="183" spans="1:25" x14ac:dyDescent="0.35">
      <c r="A183" s="1" t="s">
        <v>420</v>
      </c>
      <c r="B183" s="1" t="s">
        <v>54</v>
      </c>
      <c r="C183" s="1" t="s">
        <v>79</v>
      </c>
      <c r="D183" s="1" t="s">
        <v>20</v>
      </c>
      <c r="E183" s="1">
        <v>2032</v>
      </c>
      <c r="F183" s="4">
        <v>40000000</v>
      </c>
      <c r="G183" s="4">
        <v>19685</v>
      </c>
      <c r="H183" s="1">
        <v>3</v>
      </c>
      <c r="I183" s="1">
        <v>2</v>
      </c>
      <c r="J183" s="1">
        <v>0</v>
      </c>
      <c r="K183" s="1" t="s">
        <v>28</v>
      </c>
      <c r="L183" s="1" t="s">
        <v>421</v>
      </c>
      <c r="M183" s="1">
        <v>5</v>
      </c>
      <c r="N183" s="1">
        <v>10</v>
      </c>
      <c r="O183" s="1">
        <v>141691</v>
      </c>
      <c r="P183" s="1">
        <v>4.25</v>
      </c>
      <c r="Q183" s="1" t="s">
        <v>14</v>
      </c>
      <c r="R183" s="3">
        <v>0.46250000000000002</v>
      </c>
      <c r="S183" s="2">
        <v>45479</v>
      </c>
      <c r="T183" s="1">
        <v>282</v>
      </c>
      <c r="U183" s="1" t="s">
        <v>7</v>
      </c>
      <c r="V183" s="1">
        <v>176</v>
      </c>
      <c r="W183" s="1" t="b">
        <v>0</v>
      </c>
      <c r="X183" s="1" t="b">
        <v>1</v>
      </c>
      <c r="Y183" s="1">
        <v>0</v>
      </c>
    </row>
    <row r="184" spans="1:25" x14ac:dyDescent="0.35">
      <c r="A184" s="1" t="s">
        <v>422</v>
      </c>
      <c r="B184" s="1" t="s">
        <v>32</v>
      </c>
      <c r="C184" s="1" t="s">
        <v>41</v>
      </c>
      <c r="D184" s="1" t="s">
        <v>27</v>
      </c>
      <c r="E184" s="1">
        <v>6264</v>
      </c>
      <c r="F184" s="4">
        <v>12000000</v>
      </c>
      <c r="G184" s="4">
        <v>1915</v>
      </c>
      <c r="H184" s="1">
        <v>3</v>
      </c>
      <c r="I184" s="1">
        <v>1</v>
      </c>
      <c r="J184" s="1">
        <v>13</v>
      </c>
      <c r="K184" s="1" t="s">
        <v>12</v>
      </c>
      <c r="L184" s="1" t="s">
        <v>423</v>
      </c>
      <c r="M184" s="1">
        <v>7</v>
      </c>
      <c r="N184" s="1">
        <v>8</v>
      </c>
      <c r="O184" s="1">
        <v>34368</v>
      </c>
      <c r="P184" s="1">
        <v>3.44</v>
      </c>
      <c r="Q184" s="1" t="s">
        <v>6</v>
      </c>
      <c r="R184" s="3">
        <v>0.42180000000000001</v>
      </c>
      <c r="S184" s="2">
        <v>45523</v>
      </c>
      <c r="T184" s="1">
        <v>59</v>
      </c>
      <c r="U184" s="1" t="s">
        <v>7</v>
      </c>
      <c r="V184" s="1">
        <v>32</v>
      </c>
      <c r="W184" s="1" t="b">
        <v>0</v>
      </c>
      <c r="X184" s="1" t="b">
        <v>0</v>
      </c>
      <c r="Y184" s="1">
        <v>24000</v>
      </c>
    </row>
    <row r="185" spans="1:25" x14ac:dyDescent="0.35">
      <c r="A185" s="1" t="s">
        <v>424</v>
      </c>
      <c r="B185" s="1" t="s">
        <v>1</v>
      </c>
      <c r="C185" s="1" t="s">
        <v>51</v>
      </c>
      <c r="D185" s="1" t="s">
        <v>38</v>
      </c>
      <c r="E185" s="1">
        <v>4997</v>
      </c>
      <c r="F185" s="4">
        <v>10000000</v>
      </c>
      <c r="G185" s="4">
        <v>2001</v>
      </c>
      <c r="H185" s="1">
        <v>4</v>
      </c>
      <c r="I185" s="1">
        <v>3</v>
      </c>
      <c r="J185" s="1">
        <v>12</v>
      </c>
      <c r="K185" s="1" t="s">
        <v>28</v>
      </c>
      <c r="L185" s="1" t="s">
        <v>425</v>
      </c>
      <c r="M185" s="1">
        <v>3</v>
      </c>
      <c r="N185" s="1">
        <v>8</v>
      </c>
      <c r="O185" s="1">
        <v>38701</v>
      </c>
      <c r="P185" s="1">
        <v>4.6399999999999997</v>
      </c>
      <c r="Q185" s="1" t="s">
        <v>6</v>
      </c>
      <c r="R185" s="3">
        <v>0.48219999999999996</v>
      </c>
      <c r="S185" s="2">
        <v>45773</v>
      </c>
      <c r="T185" s="1">
        <v>250</v>
      </c>
      <c r="U185" s="1" t="s">
        <v>7</v>
      </c>
      <c r="V185" s="1">
        <v>144</v>
      </c>
      <c r="W185" s="1" t="b">
        <v>1</v>
      </c>
      <c r="X185" s="1" t="b">
        <v>0</v>
      </c>
      <c r="Y185" s="1">
        <v>20000</v>
      </c>
    </row>
    <row r="186" spans="1:25" x14ac:dyDescent="0.35">
      <c r="A186" s="1" t="s">
        <v>426</v>
      </c>
      <c r="B186" s="1" t="s">
        <v>54</v>
      </c>
      <c r="C186" s="1" t="s">
        <v>79</v>
      </c>
      <c r="D186" s="1" t="s">
        <v>3</v>
      </c>
      <c r="E186" s="1">
        <v>793</v>
      </c>
      <c r="F186" s="4">
        <v>40000000</v>
      </c>
      <c r="G186" s="4">
        <v>50441</v>
      </c>
      <c r="H186" s="1">
        <v>2</v>
      </c>
      <c r="I186" s="1">
        <v>1</v>
      </c>
      <c r="J186" s="1">
        <v>20</v>
      </c>
      <c r="K186" s="1" t="s">
        <v>58</v>
      </c>
      <c r="L186" s="1" t="s">
        <v>427</v>
      </c>
      <c r="M186" s="1">
        <v>3</v>
      </c>
      <c r="N186" s="1">
        <v>4</v>
      </c>
      <c r="O186" s="1">
        <v>155249</v>
      </c>
      <c r="P186" s="1">
        <v>4.66</v>
      </c>
      <c r="Q186" s="1" t="s">
        <v>14</v>
      </c>
      <c r="R186" s="3">
        <v>0.4829</v>
      </c>
      <c r="S186" s="2">
        <v>45711</v>
      </c>
      <c r="T186" s="1">
        <v>13</v>
      </c>
      <c r="U186" s="1" t="s">
        <v>30</v>
      </c>
      <c r="V186" s="1">
        <v>69</v>
      </c>
      <c r="W186" s="1" t="b">
        <v>0</v>
      </c>
      <c r="X186" s="1" t="b">
        <v>0</v>
      </c>
      <c r="Y186" s="1">
        <v>80000</v>
      </c>
    </row>
    <row r="187" spans="1:25" x14ac:dyDescent="0.35">
      <c r="A187" s="1" t="s">
        <v>428</v>
      </c>
      <c r="B187" s="1" t="s">
        <v>9</v>
      </c>
      <c r="C187" s="1" t="s">
        <v>189</v>
      </c>
      <c r="D187" s="1" t="s">
        <v>3</v>
      </c>
      <c r="E187" s="1">
        <v>1129</v>
      </c>
      <c r="F187" s="4">
        <v>50000000</v>
      </c>
      <c r="G187" s="4">
        <v>44286</v>
      </c>
      <c r="H187" s="1">
        <v>3</v>
      </c>
      <c r="I187" s="1">
        <v>1</v>
      </c>
      <c r="J187" s="1">
        <v>18</v>
      </c>
      <c r="K187" s="1" t="s">
        <v>21</v>
      </c>
      <c r="L187" s="1" t="s">
        <v>429</v>
      </c>
      <c r="M187" s="1">
        <v>4</v>
      </c>
      <c r="N187" s="1">
        <v>4</v>
      </c>
      <c r="O187" s="1">
        <v>126407</v>
      </c>
      <c r="P187" s="1">
        <v>3.03</v>
      </c>
      <c r="Q187" s="1" t="s">
        <v>14</v>
      </c>
      <c r="R187" s="3">
        <v>0.4017</v>
      </c>
      <c r="S187" s="2">
        <v>45467</v>
      </c>
      <c r="T187" s="1">
        <v>300</v>
      </c>
      <c r="U187" s="1" t="s">
        <v>7</v>
      </c>
      <c r="V187" s="1">
        <v>46</v>
      </c>
      <c r="W187" s="1" t="b">
        <v>1</v>
      </c>
      <c r="X187" s="1" t="b">
        <v>1</v>
      </c>
      <c r="Y187" s="1">
        <v>0</v>
      </c>
    </row>
    <row r="188" spans="1:25" x14ac:dyDescent="0.35">
      <c r="A188" s="1" t="s">
        <v>430</v>
      </c>
      <c r="B188" s="1" t="s">
        <v>32</v>
      </c>
      <c r="C188" s="1" t="s">
        <v>33</v>
      </c>
      <c r="D188" s="1" t="s">
        <v>20</v>
      </c>
      <c r="E188" s="1">
        <v>4723</v>
      </c>
      <c r="F188" s="4">
        <v>12000000</v>
      </c>
      <c r="G188" s="4">
        <v>2540</v>
      </c>
      <c r="H188" s="1">
        <v>4</v>
      </c>
      <c r="I188" s="1">
        <v>2</v>
      </c>
      <c r="J188" s="1">
        <v>9</v>
      </c>
      <c r="K188" s="1" t="s">
        <v>4</v>
      </c>
      <c r="L188" s="1" t="s">
        <v>431</v>
      </c>
      <c r="M188" s="1">
        <v>6</v>
      </c>
      <c r="N188" s="1">
        <v>9</v>
      </c>
      <c r="O188" s="1">
        <v>37819</v>
      </c>
      <c r="P188" s="1">
        <v>3.78</v>
      </c>
      <c r="Q188" s="1" t="s">
        <v>6</v>
      </c>
      <c r="R188" s="3">
        <v>0.43909999999999999</v>
      </c>
      <c r="S188" s="2">
        <v>45598</v>
      </c>
      <c r="T188" s="1">
        <v>153</v>
      </c>
      <c r="U188" s="1" t="s">
        <v>7</v>
      </c>
      <c r="V188" s="1">
        <v>66</v>
      </c>
      <c r="W188" s="1" t="b">
        <v>0</v>
      </c>
      <c r="X188" s="1" t="b">
        <v>1</v>
      </c>
      <c r="Y188" s="1">
        <v>24000</v>
      </c>
    </row>
    <row r="189" spans="1:25" x14ac:dyDescent="0.35">
      <c r="A189" s="1" t="s">
        <v>432</v>
      </c>
      <c r="B189" s="1" t="s">
        <v>9</v>
      </c>
      <c r="C189" s="1" t="s">
        <v>189</v>
      </c>
      <c r="D189" s="1" t="s">
        <v>3</v>
      </c>
      <c r="E189" s="1">
        <v>2745</v>
      </c>
      <c r="F189" s="4">
        <v>50000000</v>
      </c>
      <c r="G189" s="4">
        <v>18214</v>
      </c>
      <c r="H189" s="1">
        <v>4</v>
      </c>
      <c r="I189" s="1">
        <v>2</v>
      </c>
      <c r="J189" s="1">
        <v>9</v>
      </c>
      <c r="K189" s="1" t="s">
        <v>61</v>
      </c>
      <c r="L189" s="1" t="s">
        <v>433</v>
      </c>
      <c r="M189" s="1">
        <v>4</v>
      </c>
      <c r="N189" s="1">
        <v>5</v>
      </c>
      <c r="O189" s="1">
        <v>143398</v>
      </c>
      <c r="P189" s="1">
        <v>3.44</v>
      </c>
      <c r="Q189" s="1" t="s">
        <v>14</v>
      </c>
      <c r="R189" s="3">
        <v>0.42210000000000003</v>
      </c>
      <c r="S189" s="2">
        <v>45898</v>
      </c>
      <c r="T189" s="1">
        <v>28</v>
      </c>
      <c r="U189" s="1" t="s">
        <v>7</v>
      </c>
      <c r="V189" s="1">
        <v>175</v>
      </c>
      <c r="W189" s="1" t="b">
        <v>0</v>
      </c>
      <c r="X189" s="1" t="b">
        <v>1</v>
      </c>
      <c r="Y189" s="1">
        <v>0</v>
      </c>
    </row>
    <row r="190" spans="1:25" x14ac:dyDescent="0.35">
      <c r="A190" s="1" t="s">
        <v>434</v>
      </c>
      <c r="B190" s="1" t="s">
        <v>1</v>
      </c>
      <c r="C190" s="1" t="s">
        <v>2</v>
      </c>
      <c r="D190" s="1" t="s">
        <v>20</v>
      </c>
      <c r="E190" s="1">
        <v>1902</v>
      </c>
      <c r="F190" s="4">
        <v>10000000</v>
      </c>
      <c r="G190" s="4">
        <v>5257</v>
      </c>
      <c r="H190" s="1">
        <v>3</v>
      </c>
      <c r="I190" s="1">
        <v>2</v>
      </c>
      <c r="J190" s="1">
        <v>30</v>
      </c>
      <c r="K190" s="1" t="s">
        <v>58</v>
      </c>
      <c r="L190" s="1" t="s">
        <v>435</v>
      </c>
      <c r="M190" s="1">
        <v>5</v>
      </c>
      <c r="N190" s="1">
        <v>9</v>
      </c>
      <c r="O190" s="1">
        <v>30296</v>
      </c>
      <c r="P190" s="1">
        <v>3.64</v>
      </c>
      <c r="Q190" s="1" t="s">
        <v>6</v>
      </c>
      <c r="R190" s="3">
        <v>0.43180000000000002</v>
      </c>
      <c r="S190" s="2">
        <v>45695</v>
      </c>
      <c r="T190" s="1">
        <v>356</v>
      </c>
      <c r="U190" s="1" t="s">
        <v>7</v>
      </c>
      <c r="V190" s="1">
        <v>108</v>
      </c>
      <c r="W190" s="1" t="b">
        <v>1</v>
      </c>
      <c r="X190" s="1" t="b">
        <v>0</v>
      </c>
      <c r="Y190" s="1">
        <v>0</v>
      </c>
    </row>
    <row r="191" spans="1:25" x14ac:dyDescent="0.35">
      <c r="A191" s="1" t="s">
        <v>436</v>
      </c>
      <c r="B191" s="1" t="s">
        <v>18</v>
      </c>
      <c r="C191" s="1" t="s">
        <v>217</v>
      </c>
      <c r="D191" s="1" t="s">
        <v>3</v>
      </c>
      <c r="E191" s="1">
        <v>1682</v>
      </c>
      <c r="F191" s="4">
        <v>15000000</v>
      </c>
      <c r="G191" s="4">
        <v>8917</v>
      </c>
      <c r="H191" s="1">
        <v>2</v>
      </c>
      <c r="I191" s="1">
        <v>1</v>
      </c>
      <c r="J191" s="1">
        <v>22</v>
      </c>
      <c r="K191" s="1" t="s">
        <v>42</v>
      </c>
      <c r="L191" s="1" t="s">
        <v>437</v>
      </c>
      <c r="M191" s="1">
        <v>8</v>
      </c>
      <c r="N191" s="1">
        <v>9</v>
      </c>
      <c r="O191" s="1">
        <v>45136</v>
      </c>
      <c r="P191" s="1">
        <v>3.61</v>
      </c>
      <c r="Q191" s="1" t="s">
        <v>6</v>
      </c>
      <c r="R191" s="3">
        <v>0.43049999999999999</v>
      </c>
      <c r="S191" s="2">
        <v>45592</v>
      </c>
      <c r="T191" s="1">
        <v>144</v>
      </c>
      <c r="U191" s="1" t="s">
        <v>7</v>
      </c>
      <c r="V191" s="1">
        <v>50</v>
      </c>
      <c r="W191" s="1" t="b">
        <v>1</v>
      </c>
      <c r="X191" s="1" t="b">
        <v>1</v>
      </c>
      <c r="Y191" s="1">
        <v>0</v>
      </c>
    </row>
    <row r="192" spans="1:25" x14ac:dyDescent="0.35">
      <c r="A192" s="1" t="s">
        <v>438</v>
      </c>
      <c r="B192" s="1" t="s">
        <v>1</v>
      </c>
      <c r="C192" s="1" t="s">
        <v>45</v>
      </c>
      <c r="D192" s="1" t="s">
        <v>3</v>
      </c>
      <c r="E192" s="1">
        <v>708</v>
      </c>
      <c r="F192" s="4">
        <v>10000000</v>
      </c>
      <c r="G192" s="4">
        <v>14124</v>
      </c>
      <c r="H192" s="1">
        <v>1</v>
      </c>
      <c r="I192" s="1">
        <v>1</v>
      </c>
      <c r="J192" s="1">
        <v>26</v>
      </c>
      <c r="K192" s="1" t="s">
        <v>61</v>
      </c>
      <c r="L192" s="1" t="s">
        <v>439</v>
      </c>
      <c r="M192" s="1">
        <v>7</v>
      </c>
      <c r="N192" s="1">
        <v>6</v>
      </c>
      <c r="O192" s="1">
        <v>28721</v>
      </c>
      <c r="P192" s="1">
        <v>3.45</v>
      </c>
      <c r="Q192" s="1" t="s">
        <v>6</v>
      </c>
      <c r="R192" s="3">
        <v>0.42229999999999995</v>
      </c>
      <c r="S192" s="2">
        <v>45553</v>
      </c>
      <c r="T192" s="1">
        <v>238</v>
      </c>
      <c r="U192" s="1" t="s">
        <v>30</v>
      </c>
      <c r="V192" s="1">
        <v>64</v>
      </c>
      <c r="W192" s="1" t="b">
        <v>1</v>
      </c>
      <c r="X192" s="1" t="b">
        <v>0</v>
      </c>
      <c r="Y192" s="1">
        <v>0</v>
      </c>
    </row>
    <row r="193" spans="1:25" x14ac:dyDescent="0.35">
      <c r="A193" s="1" t="s">
        <v>440</v>
      </c>
      <c r="B193" s="1" t="s">
        <v>32</v>
      </c>
      <c r="C193" s="1" t="s">
        <v>33</v>
      </c>
      <c r="D193" s="1" t="s">
        <v>27</v>
      </c>
      <c r="E193" s="1">
        <v>7030</v>
      </c>
      <c r="F193" s="4">
        <v>12000000</v>
      </c>
      <c r="G193" s="4">
        <v>1706</v>
      </c>
      <c r="H193" s="1">
        <v>4</v>
      </c>
      <c r="I193" s="1">
        <v>2</v>
      </c>
      <c r="J193" s="1">
        <v>14</v>
      </c>
      <c r="K193" s="1" t="s">
        <v>28</v>
      </c>
      <c r="L193" s="1" t="s">
        <v>441</v>
      </c>
      <c r="M193" s="1">
        <v>4</v>
      </c>
      <c r="N193" s="1">
        <v>5</v>
      </c>
      <c r="O193" s="1">
        <v>39752</v>
      </c>
      <c r="P193" s="1">
        <v>3.98</v>
      </c>
      <c r="Q193" s="1" t="s">
        <v>6</v>
      </c>
      <c r="R193" s="3">
        <v>0.44880000000000003</v>
      </c>
      <c r="S193" s="2">
        <v>46092</v>
      </c>
      <c r="T193" s="1">
        <v>343</v>
      </c>
      <c r="U193" s="1" t="s">
        <v>7</v>
      </c>
      <c r="V193" s="1">
        <v>40</v>
      </c>
      <c r="W193" s="1" t="b">
        <v>1</v>
      </c>
      <c r="X193" s="1" t="b">
        <v>0</v>
      </c>
      <c r="Y193" s="1">
        <v>0</v>
      </c>
    </row>
    <row r="194" spans="1:25" x14ac:dyDescent="0.35">
      <c r="A194" s="1" t="s">
        <v>442</v>
      </c>
      <c r="B194" s="1" t="s">
        <v>18</v>
      </c>
      <c r="C194" s="1" t="s">
        <v>19</v>
      </c>
      <c r="D194" s="1" t="s">
        <v>3</v>
      </c>
      <c r="E194" s="1">
        <v>563</v>
      </c>
      <c r="F194" s="4">
        <v>15000000</v>
      </c>
      <c r="G194" s="4">
        <v>26642</v>
      </c>
      <c r="H194" s="1">
        <v>3</v>
      </c>
      <c r="I194" s="1">
        <v>1</v>
      </c>
      <c r="J194" s="1">
        <v>22</v>
      </c>
      <c r="K194" s="1" t="s">
        <v>58</v>
      </c>
      <c r="L194" s="1" t="s">
        <v>443</v>
      </c>
      <c r="M194" s="1">
        <v>7</v>
      </c>
      <c r="N194" s="1">
        <v>6</v>
      </c>
      <c r="O194" s="1">
        <v>46908</v>
      </c>
      <c r="P194" s="1">
        <v>3.75</v>
      </c>
      <c r="Q194" s="1" t="s">
        <v>6</v>
      </c>
      <c r="R194" s="3">
        <v>0.43759999999999999</v>
      </c>
      <c r="S194" s="2">
        <v>45928</v>
      </c>
      <c r="T194" s="1">
        <v>250</v>
      </c>
      <c r="U194" s="1" t="s">
        <v>7</v>
      </c>
      <c r="V194" s="1">
        <v>118</v>
      </c>
      <c r="W194" s="1" t="b">
        <v>0</v>
      </c>
      <c r="X194" s="1" t="b">
        <v>1</v>
      </c>
      <c r="Y194" s="1">
        <v>30000</v>
      </c>
    </row>
    <row r="195" spans="1:25" x14ac:dyDescent="0.35">
      <c r="A195" s="1" t="s">
        <v>444</v>
      </c>
      <c r="B195" s="1" t="s">
        <v>18</v>
      </c>
      <c r="C195" s="1" t="s">
        <v>217</v>
      </c>
      <c r="D195" s="1" t="s">
        <v>27</v>
      </c>
      <c r="E195" s="1">
        <v>2631</v>
      </c>
      <c r="F195" s="4">
        <v>15000000</v>
      </c>
      <c r="G195" s="4">
        <v>5701</v>
      </c>
      <c r="H195" s="1">
        <v>5</v>
      </c>
      <c r="I195" s="1">
        <v>2</v>
      </c>
      <c r="J195" s="1">
        <v>4</v>
      </c>
      <c r="K195" s="1" t="s">
        <v>4</v>
      </c>
      <c r="L195" s="1" t="s">
        <v>445</v>
      </c>
      <c r="M195" s="1">
        <v>4</v>
      </c>
      <c r="N195" s="1">
        <v>7</v>
      </c>
      <c r="O195" s="1">
        <v>45755</v>
      </c>
      <c r="P195" s="1">
        <v>3.66</v>
      </c>
      <c r="Q195" s="1" t="s">
        <v>6</v>
      </c>
      <c r="R195" s="3">
        <v>0.433</v>
      </c>
      <c r="S195" s="2">
        <v>46040</v>
      </c>
      <c r="T195" s="1">
        <v>108</v>
      </c>
      <c r="U195" s="1" t="s">
        <v>7</v>
      </c>
      <c r="V195" s="1">
        <v>152</v>
      </c>
      <c r="W195" s="1" t="b">
        <v>1</v>
      </c>
      <c r="X195" s="1" t="b">
        <v>0</v>
      </c>
      <c r="Y195" s="1">
        <v>30000</v>
      </c>
    </row>
    <row r="196" spans="1:25" x14ac:dyDescent="0.35">
      <c r="A196" s="1" t="s">
        <v>446</v>
      </c>
      <c r="B196" s="1" t="s">
        <v>25</v>
      </c>
      <c r="C196" s="1" t="s">
        <v>314</v>
      </c>
      <c r="D196" s="1" t="s">
        <v>27</v>
      </c>
      <c r="E196" s="1">
        <v>6698</v>
      </c>
      <c r="F196" s="4">
        <v>30000000</v>
      </c>
      <c r="G196" s="4">
        <v>4478</v>
      </c>
      <c r="H196" s="1">
        <v>4</v>
      </c>
      <c r="I196" s="1">
        <v>2</v>
      </c>
      <c r="J196" s="1">
        <v>20</v>
      </c>
      <c r="K196" s="1" t="s">
        <v>28</v>
      </c>
      <c r="L196" s="1" t="s">
        <v>447</v>
      </c>
      <c r="M196" s="1">
        <v>7</v>
      </c>
      <c r="N196" s="1">
        <v>5</v>
      </c>
      <c r="O196" s="1">
        <v>111398</v>
      </c>
      <c r="P196" s="1">
        <v>4.46</v>
      </c>
      <c r="Q196" s="1" t="s">
        <v>14</v>
      </c>
      <c r="R196" s="3">
        <v>0.4728</v>
      </c>
      <c r="S196" s="2">
        <v>45866</v>
      </c>
      <c r="T196" s="1">
        <v>311</v>
      </c>
      <c r="U196" s="1" t="s">
        <v>23</v>
      </c>
      <c r="V196" s="1">
        <v>144</v>
      </c>
      <c r="W196" s="1" t="b">
        <v>0</v>
      </c>
      <c r="X196" s="1" t="b">
        <v>0</v>
      </c>
      <c r="Y196" s="1">
        <v>60000</v>
      </c>
    </row>
    <row r="197" spans="1:25" x14ac:dyDescent="0.35">
      <c r="A197" s="1" t="s">
        <v>448</v>
      </c>
      <c r="B197" s="1" t="s">
        <v>25</v>
      </c>
      <c r="C197" s="1" t="s">
        <v>94</v>
      </c>
      <c r="D197" s="1" t="s">
        <v>38</v>
      </c>
      <c r="E197" s="1">
        <v>4169</v>
      </c>
      <c r="F197" s="4">
        <v>30000000</v>
      </c>
      <c r="G197" s="4">
        <v>7195</v>
      </c>
      <c r="H197" s="1">
        <v>6</v>
      </c>
      <c r="I197" s="1">
        <v>3</v>
      </c>
      <c r="J197" s="1">
        <v>19</v>
      </c>
      <c r="K197" s="1" t="s">
        <v>58</v>
      </c>
      <c r="L197" s="1" t="s">
        <v>449</v>
      </c>
      <c r="M197" s="1">
        <v>8</v>
      </c>
      <c r="N197" s="1">
        <v>8</v>
      </c>
      <c r="O197" s="1">
        <v>94273</v>
      </c>
      <c r="P197" s="1">
        <v>3.77</v>
      </c>
      <c r="Q197" s="1" t="s">
        <v>14</v>
      </c>
      <c r="R197" s="3">
        <v>0.4385</v>
      </c>
      <c r="S197" s="2">
        <v>46045</v>
      </c>
      <c r="T197" s="1">
        <v>351</v>
      </c>
      <c r="U197" s="1" t="s">
        <v>7</v>
      </c>
      <c r="V197" s="1">
        <v>159</v>
      </c>
      <c r="W197" s="1" t="b">
        <v>0</v>
      </c>
      <c r="X197" s="1" t="b">
        <v>1</v>
      </c>
      <c r="Y197" s="1">
        <v>60000</v>
      </c>
    </row>
    <row r="198" spans="1:25" x14ac:dyDescent="0.35">
      <c r="A198" s="1" t="s">
        <v>450</v>
      </c>
      <c r="B198" s="1" t="s">
        <v>25</v>
      </c>
      <c r="C198" s="1" t="s">
        <v>94</v>
      </c>
      <c r="D198" s="1" t="s">
        <v>38</v>
      </c>
      <c r="E198" s="1">
        <v>7913</v>
      </c>
      <c r="F198" s="4">
        <v>30000000</v>
      </c>
      <c r="G198" s="4">
        <v>3791</v>
      </c>
      <c r="H198" s="1">
        <v>4</v>
      </c>
      <c r="I198" s="1">
        <v>2</v>
      </c>
      <c r="J198" s="1">
        <v>2</v>
      </c>
      <c r="K198" s="1" t="s">
        <v>21</v>
      </c>
      <c r="L198" s="1" t="s">
        <v>451</v>
      </c>
      <c r="M198" s="1">
        <v>6</v>
      </c>
      <c r="N198" s="1">
        <v>10</v>
      </c>
      <c r="O198" s="1">
        <v>77171</v>
      </c>
      <c r="P198" s="1">
        <v>3.09</v>
      </c>
      <c r="Q198" s="1" t="s">
        <v>14</v>
      </c>
      <c r="R198" s="3">
        <v>0.40429999999999999</v>
      </c>
      <c r="S198" s="2">
        <v>45614</v>
      </c>
      <c r="T198" s="1">
        <v>196</v>
      </c>
      <c r="U198" s="1" t="s">
        <v>7</v>
      </c>
      <c r="V198" s="1">
        <v>153</v>
      </c>
      <c r="W198" s="1" t="b">
        <v>0</v>
      </c>
      <c r="X198" s="1" t="b">
        <v>1</v>
      </c>
      <c r="Y198" s="1">
        <v>0</v>
      </c>
    </row>
    <row r="199" spans="1:25" x14ac:dyDescent="0.35">
      <c r="A199" s="1" t="s">
        <v>452</v>
      </c>
      <c r="B199" s="1" t="s">
        <v>25</v>
      </c>
      <c r="C199" s="1" t="s">
        <v>26</v>
      </c>
      <c r="D199" s="1" t="s">
        <v>11</v>
      </c>
      <c r="E199" s="1">
        <v>369</v>
      </c>
      <c r="F199" s="4">
        <v>30000000</v>
      </c>
      <c r="G199" s="4">
        <v>81300</v>
      </c>
      <c r="H199" s="1">
        <v>0</v>
      </c>
      <c r="I199" s="1">
        <v>2</v>
      </c>
      <c r="J199" s="1">
        <v>19</v>
      </c>
      <c r="K199" s="1" t="s">
        <v>28</v>
      </c>
      <c r="L199" s="1" t="s">
        <v>453</v>
      </c>
      <c r="M199" s="1">
        <v>7</v>
      </c>
      <c r="N199" s="1">
        <v>4</v>
      </c>
      <c r="O199" s="1">
        <v>85270</v>
      </c>
      <c r="P199" s="1">
        <v>3.41</v>
      </c>
      <c r="Q199" s="1" t="s">
        <v>14</v>
      </c>
      <c r="R199" s="3">
        <v>0.42049999999999998</v>
      </c>
      <c r="S199" s="2">
        <v>45833</v>
      </c>
      <c r="T199" s="1">
        <v>219</v>
      </c>
      <c r="U199" s="1" t="s">
        <v>7</v>
      </c>
      <c r="V199" s="1">
        <v>69</v>
      </c>
      <c r="W199" s="1" t="b">
        <v>0</v>
      </c>
      <c r="X199" s="1" t="b">
        <v>0</v>
      </c>
      <c r="Y199" s="1">
        <v>0</v>
      </c>
    </row>
    <row r="200" spans="1:25" x14ac:dyDescent="0.35">
      <c r="A200" s="1" t="s">
        <v>454</v>
      </c>
      <c r="B200" s="1" t="s">
        <v>32</v>
      </c>
      <c r="C200" s="1" t="s">
        <v>200</v>
      </c>
      <c r="D200" s="1" t="s">
        <v>38</v>
      </c>
      <c r="E200" s="1">
        <v>5257</v>
      </c>
      <c r="F200" s="4">
        <v>12000000</v>
      </c>
      <c r="G200" s="4">
        <v>2282</v>
      </c>
      <c r="H200" s="1">
        <v>6</v>
      </c>
      <c r="I200" s="1">
        <v>4</v>
      </c>
      <c r="J200" s="1">
        <v>24</v>
      </c>
      <c r="K200" s="1" t="s">
        <v>12</v>
      </c>
      <c r="L200" s="1" t="s">
        <v>455</v>
      </c>
      <c r="M200" s="1">
        <v>4</v>
      </c>
      <c r="N200" s="1">
        <v>10</v>
      </c>
      <c r="O200" s="1">
        <v>39675</v>
      </c>
      <c r="P200" s="1">
        <v>3.97</v>
      </c>
      <c r="Q200" s="1" t="s">
        <v>6</v>
      </c>
      <c r="R200" s="3">
        <v>0.44840000000000002</v>
      </c>
      <c r="S200" s="2">
        <v>45842</v>
      </c>
      <c r="T200" s="1">
        <v>71</v>
      </c>
      <c r="U200" s="1" t="s">
        <v>7</v>
      </c>
      <c r="V200" s="1">
        <v>131</v>
      </c>
      <c r="W200" s="1" t="b">
        <v>1</v>
      </c>
      <c r="X200" s="1" t="b">
        <v>1</v>
      </c>
      <c r="Y200" s="1">
        <v>0</v>
      </c>
    </row>
    <row r="201" spans="1:25" x14ac:dyDescent="0.35">
      <c r="A201" s="1" t="s">
        <v>456</v>
      </c>
      <c r="B201" s="1" t="s">
        <v>1</v>
      </c>
      <c r="C201" s="1" t="s">
        <v>303</v>
      </c>
      <c r="D201" s="1" t="s">
        <v>3</v>
      </c>
      <c r="E201" s="1">
        <v>1278</v>
      </c>
      <c r="F201" s="4">
        <v>10000000</v>
      </c>
      <c r="G201" s="4">
        <v>7824</v>
      </c>
      <c r="H201" s="1">
        <v>4</v>
      </c>
      <c r="I201" s="1">
        <v>3</v>
      </c>
      <c r="J201" s="1">
        <v>25</v>
      </c>
      <c r="K201" s="1" t="s">
        <v>61</v>
      </c>
      <c r="L201" s="1" t="s">
        <v>457</v>
      </c>
      <c r="M201" s="1">
        <v>7</v>
      </c>
      <c r="N201" s="1">
        <v>5</v>
      </c>
      <c r="O201" s="1">
        <v>35004</v>
      </c>
      <c r="P201" s="1">
        <v>4.2</v>
      </c>
      <c r="Q201" s="1" t="s">
        <v>6</v>
      </c>
      <c r="R201" s="3">
        <v>0.46</v>
      </c>
      <c r="S201" s="2">
        <v>46066</v>
      </c>
      <c r="T201" s="1">
        <v>41</v>
      </c>
      <c r="U201" s="1" t="s">
        <v>7</v>
      </c>
      <c r="V201" s="1">
        <v>124</v>
      </c>
      <c r="W201" s="1" t="b">
        <v>1</v>
      </c>
      <c r="X201" s="1" t="b">
        <v>0</v>
      </c>
      <c r="Y201" s="1">
        <v>0</v>
      </c>
    </row>
    <row r="202" spans="1:25" x14ac:dyDescent="0.35">
      <c r="A202" s="1" t="s">
        <v>458</v>
      </c>
      <c r="B202" s="1" t="s">
        <v>32</v>
      </c>
      <c r="C202" s="1" t="s">
        <v>194</v>
      </c>
      <c r="D202" s="1" t="s">
        <v>38</v>
      </c>
      <c r="E202" s="1">
        <v>5346</v>
      </c>
      <c r="F202" s="4">
        <v>12000000</v>
      </c>
      <c r="G202" s="4">
        <v>2244</v>
      </c>
      <c r="H202" s="1">
        <v>6</v>
      </c>
      <c r="I202" s="1">
        <v>3</v>
      </c>
      <c r="J202" s="1">
        <v>30</v>
      </c>
      <c r="K202" s="1" t="s">
        <v>34</v>
      </c>
      <c r="L202" s="1" t="s">
        <v>459</v>
      </c>
      <c r="M202" s="1">
        <v>4</v>
      </c>
      <c r="N202" s="1">
        <v>5</v>
      </c>
      <c r="O202" s="1">
        <v>45679</v>
      </c>
      <c r="P202" s="1">
        <v>4.57</v>
      </c>
      <c r="Q202" s="1" t="s">
        <v>6</v>
      </c>
      <c r="R202" s="3">
        <v>0.47840000000000005</v>
      </c>
      <c r="S202" s="2">
        <v>45634</v>
      </c>
      <c r="T202" s="1">
        <v>346</v>
      </c>
      <c r="U202" s="1" t="s">
        <v>7</v>
      </c>
      <c r="V202" s="1">
        <v>73</v>
      </c>
      <c r="W202" s="1" t="b">
        <v>1</v>
      </c>
      <c r="X202" s="1" t="b">
        <v>0</v>
      </c>
      <c r="Y202" s="1">
        <v>24000</v>
      </c>
    </row>
    <row r="203" spans="1:25" x14ac:dyDescent="0.35">
      <c r="A203" s="1" t="s">
        <v>460</v>
      </c>
      <c r="B203" s="1" t="s">
        <v>1</v>
      </c>
      <c r="C203" s="1" t="s">
        <v>2</v>
      </c>
      <c r="D203" s="1" t="s">
        <v>27</v>
      </c>
      <c r="E203" s="1">
        <v>2711</v>
      </c>
      <c r="F203" s="4">
        <v>10000000</v>
      </c>
      <c r="G203" s="4">
        <v>3688</v>
      </c>
      <c r="H203" s="1">
        <v>5</v>
      </c>
      <c r="I203" s="1">
        <v>3</v>
      </c>
      <c r="J203" s="1">
        <v>11</v>
      </c>
      <c r="K203" s="1" t="s">
        <v>34</v>
      </c>
      <c r="L203" s="1" t="s">
        <v>461</v>
      </c>
      <c r="M203" s="1">
        <v>8</v>
      </c>
      <c r="N203" s="1">
        <v>10</v>
      </c>
      <c r="O203" s="1">
        <v>34318</v>
      </c>
      <c r="P203" s="1">
        <v>4.12</v>
      </c>
      <c r="Q203" s="1" t="s">
        <v>6</v>
      </c>
      <c r="R203" s="3">
        <v>0.45590000000000003</v>
      </c>
      <c r="S203" s="2">
        <v>45560</v>
      </c>
      <c r="T203" s="1">
        <v>116</v>
      </c>
      <c r="U203" s="1" t="s">
        <v>7</v>
      </c>
      <c r="V203" s="1">
        <v>100</v>
      </c>
      <c r="W203" s="1" t="b">
        <v>1</v>
      </c>
      <c r="X203" s="1" t="b">
        <v>0</v>
      </c>
      <c r="Y203" s="1">
        <v>0</v>
      </c>
    </row>
    <row r="204" spans="1:25" x14ac:dyDescent="0.35">
      <c r="A204" s="1" t="s">
        <v>462</v>
      </c>
      <c r="B204" s="1" t="s">
        <v>32</v>
      </c>
      <c r="C204" s="1" t="s">
        <v>33</v>
      </c>
      <c r="D204" s="1" t="s">
        <v>20</v>
      </c>
      <c r="E204" s="1">
        <v>2216</v>
      </c>
      <c r="F204" s="4">
        <v>12000000</v>
      </c>
      <c r="G204" s="4">
        <v>5415</v>
      </c>
      <c r="H204" s="1">
        <v>5</v>
      </c>
      <c r="I204" s="1">
        <v>2</v>
      </c>
      <c r="J204" s="1">
        <v>17</v>
      </c>
      <c r="K204" s="1" t="s">
        <v>58</v>
      </c>
      <c r="L204" s="1" t="s">
        <v>463</v>
      </c>
      <c r="M204" s="1">
        <v>3</v>
      </c>
      <c r="N204" s="1">
        <v>8</v>
      </c>
      <c r="O204" s="1">
        <v>49134</v>
      </c>
      <c r="P204" s="1">
        <v>4.91</v>
      </c>
      <c r="Q204" s="1" t="s">
        <v>6</v>
      </c>
      <c r="R204" s="3">
        <v>0.49570000000000003</v>
      </c>
      <c r="S204" s="2">
        <v>45606</v>
      </c>
      <c r="T204" s="1">
        <v>356</v>
      </c>
      <c r="U204" s="1" t="s">
        <v>30</v>
      </c>
      <c r="V204" s="1">
        <v>94</v>
      </c>
      <c r="W204" s="1" t="b">
        <v>0</v>
      </c>
      <c r="X204" s="1" t="b">
        <v>0</v>
      </c>
      <c r="Y204" s="1">
        <v>0</v>
      </c>
    </row>
    <row r="205" spans="1:25" x14ac:dyDescent="0.35">
      <c r="A205" s="1" t="s">
        <v>464</v>
      </c>
      <c r="B205" s="1" t="s">
        <v>25</v>
      </c>
      <c r="C205" s="1" t="s">
        <v>26</v>
      </c>
      <c r="D205" s="1" t="s">
        <v>11</v>
      </c>
      <c r="E205" s="1">
        <v>598</v>
      </c>
      <c r="F205" s="4">
        <v>30000000</v>
      </c>
      <c r="G205" s="4">
        <v>50167</v>
      </c>
      <c r="H205" s="1">
        <v>1</v>
      </c>
      <c r="I205" s="1">
        <v>1</v>
      </c>
      <c r="J205" s="1">
        <v>15</v>
      </c>
      <c r="K205" s="1" t="s">
        <v>4</v>
      </c>
      <c r="L205" s="1" t="s">
        <v>465</v>
      </c>
      <c r="M205" s="1">
        <v>3</v>
      </c>
      <c r="N205" s="1">
        <v>6</v>
      </c>
      <c r="O205" s="1">
        <v>86496</v>
      </c>
      <c r="P205" s="1">
        <v>3.46</v>
      </c>
      <c r="Q205" s="1" t="s">
        <v>14</v>
      </c>
      <c r="R205" s="3">
        <v>0.42299999999999999</v>
      </c>
      <c r="S205" s="2">
        <v>45833</v>
      </c>
      <c r="T205" s="1">
        <v>275</v>
      </c>
      <c r="U205" s="1" t="s">
        <v>7</v>
      </c>
      <c r="V205" s="1">
        <v>162</v>
      </c>
      <c r="W205" s="1" t="b">
        <v>1</v>
      </c>
      <c r="X205" s="1" t="b">
        <v>0</v>
      </c>
      <c r="Y205" s="1">
        <v>60000</v>
      </c>
    </row>
    <row r="206" spans="1:25" x14ac:dyDescent="0.35">
      <c r="A206" s="1" t="s">
        <v>466</v>
      </c>
      <c r="B206" s="1" t="s">
        <v>54</v>
      </c>
      <c r="C206" s="1" t="s">
        <v>64</v>
      </c>
      <c r="D206" s="1" t="s">
        <v>11</v>
      </c>
      <c r="E206" s="1">
        <v>594</v>
      </c>
      <c r="F206" s="4">
        <v>40000000</v>
      </c>
      <c r="G206" s="4">
        <v>67340</v>
      </c>
      <c r="H206" s="1">
        <v>1</v>
      </c>
      <c r="I206" s="1">
        <v>1</v>
      </c>
      <c r="J206" s="1">
        <v>17</v>
      </c>
      <c r="K206" s="1" t="s">
        <v>34</v>
      </c>
      <c r="L206" s="1" t="s">
        <v>467</v>
      </c>
      <c r="M206" s="1">
        <v>4</v>
      </c>
      <c r="N206" s="1">
        <v>5</v>
      </c>
      <c r="O206" s="1">
        <v>149743</v>
      </c>
      <c r="P206" s="1">
        <v>4.49</v>
      </c>
      <c r="Q206" s="1" t="s">
        <v>14</v>
      </c>
      <c r="R206" s="3">
        <v>0.47460000000000002</v>
      </c>
      <c r="S206" s="2">
        <v>45962</v>
      </c>
      <c r="T206" s="1">
        <v>124</v>
      </c>
      <c r="U206" s="1" t="s">
        <v>7</v>
      </c>
      <c r="V206" s="1">
        <v>90</v>
      </c>
      <c r="W206" s="1" t="b">
        <v>0</v>
      </c>
      <c r="X206" s="1" t="b">
        <v>1</v>
      </c>
      <c r="Y206" s="1">
        <v>80000</v>
      </c>
    </row>
    <row r="207" spans="1:25" x14ac:dyDescent="0.35">
      <c r="A207" s="1" t="s">
        <v>468</v>
      </c>
      <c r="B207" s="1" t="s">
        <v>25</v>
      </c>
      <c r="C207" s="1" t="s">
        <v>82</v>
      </c>
      <c r="D207" s="1" t="s">
        <v>38</v>
      </c>
      <c r="E207" s="1">
        <v>5916</v>
      </c>
      <c r="F207" s="4">
        <v>30000000</v>
      </c>
      <c r="G207" s="4">
        <v>5070</v>
      </c>
      <c r="H207" s="1">
        <v>4</v>
      </c>
      <c r="I207" s="1">
        <v>2</v>
      </c>
      <c r="J207" s="1">
        <v>3</v>
      </c>
      <c r="K207" s="1" t="s">
        <v>42</v>
      </c>
      <c r="L207" s="1" t="s">
        <v>92</v>
      </c>
      <c r="M207" s="1">
        <v>3</v>
      </c>
      <c r="N207" s="1">
        <v>7</v>
      </c>
      <c r="O207" s="1">
        <v>90770</v>
      </c>
      <c r="P207" s="1">
        <v>3.63</v>
      </c>
      <c r="Q207" s="1" t="s">
        <v>14</v>
      </c>
      <c r="R207" s="3">
        <v>0.43149999999999999</v>
      </c>
      <c r="S207" s="2">
        <v>45568</v>
      </c>
      <c r="T207" s="1">
        <v>262</v>
      </c>
      <c r="U207" s="1" t="s">
        <v>23</v>
      </c>
      <c r="V207" s="1">
        <v>76</v>
      </c>
      <c r="W207" s="1" t="b">
        <v>0</v>
      </c>
      <c r="X207" s="1" t="b">
        <v>0</v>
      </c>
      <c r="Y207" s="1">
        <v>60000</v>
      </c>
    </row>
    <row r="208" spans="1:25" x14ac:dyDescent="0.35">
      <c r="A208" s="1" t="s">
        <v>469</v>
      </c>
      <c r="B208" s="1" t="s">
        <v>32</v>
      </c>
      <c r="C208" s="1" t="s">
        <v>41</v>
      </c>
      <c r="D208" s="1" t="s">
        <v>3</v>
      </c>
      <c r="E208" s="1">
        <v>2553</v>
      </c>
      <c r="F208" s="4">
        <v>12000000</v>
      </c>
      <c r="G208" s="4">
        <v>4700</v>
      </c>
      <c r="H208" s="1">
        <v>4</v>
      </c>
      <c r="I208" s="1">
        <v>3</v>
      </c>
      <c r="J208" s="1">
        <v>30</v>
      </c>
      <c r="K208" s="1" t="s">
        <v>58</v>
      </c>
      <c r="L208" s="1" t="s">
        <v>470</v>
      </c>
      <c r="M208" s="1">
        <v>7</v>
      </c>
      <c r="N208" s="1">
        <v>9</v>
      </c>
      <c r="O208" s="1">
        <v>39201</v>
      </c>
      <c r="P208" s="1">
        <v>3.92</v>
      </c>
      <c r="Q208" s="1" t="s">
        <v>6</v>
      </c>
      <c r="R208" s="3">
        <v>0.44600000000000001</v>
      </c>
      <c r="S208" s="2">
        <v>45451</v>
      </c>
      <c r="T208" s="1">
        <v>195</v>
      </c>
      <c r="U208" s="1" t="s">
        <v>7</v>
      </c>
      <c r="V208" s="1">
        <v>83</v>
      </c>
      <c r="W208" s="1" t="b">
        <v>1</v>
      </c>
      <c r="X208" s="1" t="b">
        <v>0</v>
      </c>
      <c r="Y208" s="1">
        <v>0</v>
      </c>
    </row>
    <row r="209" spans="1:25" x14ac:dyDescent="0.35">
      <c r="A209" s="1" t="s">
        <v>471</v>
      </c>
      <c r="B209" s="1" t="s">
        <v>32</v>
      </c>
      <c r="C209" s="1" t="s">
        <v>200</v>
      </c>
      <c r="D209" s="1" t="s">
        <v>27</v>
      </c>
      <c r="E209" s="1">
        <v>6493</v>
      </c>
      <c r="F209" s="4">
        <v>12000000</v>
      </c>
      <c r="G209" s="4">
        <v>1848</v>
      </c>
      <c r="H209" s="1">
        <v>5</v>
      </c>
      <c r="I209" s="1">
        <v>2</v>
      </c>
      <c r="J209" s="1">
        <v>8</v>
      </c>
      <c r="K209" s="1" t="s">
        <v>4</v>
      </c>
      <c r="L209" s="1" t="s">
        <v>472</v>
      </c>
      <c r="M209" s="1">
        <v>6</v>
      </c>
      <c r="N209" s="1">
        <v>6</v>
      </c>
      <c r="O209" s="1">
        <v>45043</v>
      </c>
      <c r="P209" s="1">
        <v>4.5</v>
      </c>
      <c r="Q209" s="1" t="s">
        <v>6</v>
      </c>
      <c r="R209" s="3">
        <v>0.47520000000000001</v>
      </c>
      <c r="S209" s="2">
        <v>45783</v>
      </c>
      <c r="T209" s="1">
        <v>93</v>
      </c>
      <c r="U209" s="1" t="s">
        <v>23</v>
      </c>
      <c r="V209" s="1">
        <v>145</v>
      </c>
      <c r="W209" s="1" t="b">
        <v>1</v>
      </c>
      <c r="X209" s="1" t="b">
        <v>1</v>
      </c>
      <c r="Y209" s="1">
        <v>24000</v>
      </c>
    </row>
    <row r="210" spans="1:25" x14ac:dyDescent="0.35">
      <c r="A210" s="1" t="s">
        <v>473</v>
      </c>
      <c r="B210" s="1" t="s">
        <v>1</v>
      </c>
      <c r="C210" s="1" t="s">
        <v>97</v>
      </c>
      <c r="D210" s="1" t="s">
        <v>27</v>
      </c>
      <c r="E210" s="1">
        <v>6549</v>
      </c>
      <c r="F210" s="4">
        <v>10000000</v>
      </c>
      <c r="G210" s="4">
        <v>1526</v>
      </c>
      <c r="H210" s="1">
        <v>6</v>
      </c>
      <c r="I210" s="1">
        <v>4</v>
      </c>
      <c r="J210" s="1">
        <v>6</v>
      </c>
      <c r="K210" s="1" t="s">
        <v>21</v>
      </c>
      <c r="L210" s="1" t="s">
        <v>474</v>
      </c>
      <c r="M210" s="1">
        <v>4</v>
      </c>
      <c r="N210" s="1">
        <v>9</v>
      </c>
      <c r="O210" s="1">
        <v>41592</v>
      </c>
      <c r="P210" s="1">
        <v>4.99</v>
      </c>
      <c r="Q210" s="1" t="s">
        <v>6</v>
      </c>
      <c r="R210" s="3">
        <v>0.49959999999999999</v>
      </c>
      <c r="S210" s="2">
        <v>45511</v>
      </c>
      <c r="T210" s="1">
        <v>250</v>
      </c>
      <c r="U210" s="1" t="s">
        <v>7</v>
      </c>
      <c r="V210" s="1">
        <v>110</v>
      </c>
      <c r="W210" s="1" t="b">
        <v>0</v>
      </c>
      <c r="X210" s="1" t="b">
        <v>0</v>
      </c>
      <c r="Y210" s="1">
        <v>20000</v>
      </c>
    </row>
    <row r="211" spans="1:25" x14ac:dyDescent="0.35">
      <c r="A211" s="1" t="s">
        <v>475</v>
      </c>
      <c r="B211" s="1" t="s">
        <v>18</v>
      </c>
      <c r="C211" s="1" t="s">
        <v>169</v>
      </c>
      <c r="D211" s="1" t="s">
        <v>27</v>
      </c>
      <c r="E211" s="1">
        <v>2491</v>
      </c>
      <c r="F211" s="4">
        <v>15000000</v>
      </c>
      <c r="G211" s="4">
        <v>6021</v>
      </c>
      <c r="H211" s="1">
        <v>4</v>
      </c>
      <c r="I211" s="1">
        <v>3</v>
      </c>
      <c r="J211" s="1">
        <v>15</v>
      </c>
      <c r="K211" s="1" t="s">
        <v>28</v>
      </c>
      <c r="L211" s="1" t="s">
        <v>476</v>
      </c>
      <c r="M211" s="1">
        <v>8</v>
      </c>
      <c r="N211" s="1">
        <v>5</v>
      </c>
      <c r="O211" s="1">
        <v>46277</v>
      </c>
      <c r="P211" s="1">
        <v>3.7</v>
      </c>
      <c r="Q211" s="1" t="s">
        <v>6</v>
      </c>
      <c r="R211" s="3">
        <v>0.43509999999999999</v>
      </c>
      <c r="S211" s="2">
        <v>45461</v>
      </c>
      <c r="T211" s="1">
        <v>295</v>
      </c>
      <c r="U211" s="1" t="s">
        <v>23</v>
      </c>
      <c r="V211" s="1">
        <v>177</v>
      </c>
      <c r="W211" s="1" t="b">
        <v>1</v>
      </c>
      <c r="X211" s="1" t="b">
        <v>0</v>
      </c>
      <c r="Y211" s="1">
        <v>0</v>
      </c>
    </row>
    <row r="212" spans="1:25" x14ac:dyDescent="0.35">
      <c r="A212" s="1" t="s">
        <v>477</v>
      </c>
      <c r="B212" s="1" t="s">
        <v>54</v>
      </c>
      <c r="C212" s="1" t="s">
        <v>104</v>
      </c>
      <c r="D212" s="1" t="s">
        <v>38</v>
      </c>
      <c r="E212" s="1">
        <v>6993</v>
      </c>
      <c r="F212" s="4">
        <v>40000000</v>
      </c>
      <c r="G212" s="4">
        <v>5720</v>
      </c>
      <c r="H212" s="1">
        <v>6</v>
      </c>
      <c r="I212" s="1">
        <v>4</v>
      </c>
      <c r="J212" s="1">
        <v>28</v>
      </c>
      <c r="K212" s="1" t="s">
        <v>61</v>
      </c>
      <c r="L212" s="1" t="s">
        <v>478</v>
      </c>
      <c r="M212" s="1">
        <v>3</v>
      </c>
      <c r="N212" s="1">
        <v>8</v>
      </c>
      <c r="O212" s="1">
        <v>142705</v>
      </c>
      <c r="P212" s="1">
        <v>4.28</v>
      </c>
      <c r="Q212" s="1" t="s">
        <v>14</v>
      </c>
      <c r="R212" s="3">
        <v>0.46409999999999996</v>
      </c>
      <c r="S212" s="2">
        <v>45811</v>
      </c>
      <c r="T212" s="1">
        <v>208</v>
      </c>
      <c r="U212" s="1" t="s">
        <v>7</v>
      </c>
      <c r="V212" s="1">
        <v>176</v>
      </c>
      <c r="W212" s="1" t="b">
        <v>1</v>
      </c>
      <c r="X212" s="1" t="b">
        <v>1</v>
      </c>
      <c r="Y212" s="1">
        <v>80000</v>
      </c>
    </row>
    <row r="213" spans="1:25" x14ac:dyDescent="0.35">
      <c r="A213" s="1" t="s">
        <v>479</v>
      </c>
      <c r="B213" s="1" t="s">
        <v>54</v>
      </c>
      <c r="C213" s="1" t="s">
        <v>55</v>
      </c>
      <c r="D213" s="1" t="s">
        <v>20</v>
      </c>
      <c r="E213" s="1">
        <v>2797</v>
      </c>
      <c r="F213" s="4">
        <v>40000000</v>
      </c>
      <c r="G213" s="4">
        <v>14301</v>
      </c>
      <c r="H213" s="1">
        <v>4</v>
      </c>
      <c r="I213" s="1">
        <v>3</v>
      </c>
      <c r="J213" s="1">
        <v>19</v>
      </c>
      <c r="K213" s="1" t="s">
        <v>61</v>
      </c>
      <c r="L213" s="1" t="s">
        <v>480</v>
      </c>
      <c r="M213" s="1">
        <v>8</v>
      </c>
      <c r="N213" s="1">
        <v>9</v>
      </c>
      <c r="O213" s="1">
        <v>101540</v>
      </c>
      <c r="P213" s="1">
        <v>3.05</v>
      </c>
      <c r="Q213" s="1" t="s">
        <v>14</v>
      </c>
      <c r="R213" s="3">
        <v>0.40229999999999999</v>
      </c>
      <c r="S213" s="2">
        <v>45916</v>
      </c>
      <c r="T213" s="1">
        <v>108</v>
      </c>
      <c r="U213" s="1" t="s">
        <v>30</v>
      </c>
      <c r="V213" s="1">
        <v>50</v>
      </c>
      <c r="W213" s="1" t="b">
        <v>1</v>
      </c>
      <c r="X213" s="1" t="b">
        <v>0</v>
      </c>
      <c r="Y213" s="1">
        <v>80000</v>
      </c>
    </row>
    <row r="214" spans="1:25" x14ac:dyDescent="0.35">
      <c r="A214" s="1" t="s">
        <v>481</v>
      </c>
      <c r="B214" s="1" t="s">
        <v>9</v>
      </c>
      <c r="C214" s="1" t="s">
        <v>189</v>
      </c>
      <c r="D214" s="1" t="s">
        <v>11</v>
      </c>
      <c r="E214" s="1">
        <v>530</v>
      </c>
      <c r="F214" s="4">
        <v>50000000</v>
      </c>
      <c r="G214" s="4">
        <v>94339</v>
      </c>
      <c r="H214" s="1">
        <v>0</v>
      </c>
      <c r="I214" s="1">
        <v>1</v>
      </c>
      <c r="J214" s="1">
        <v>24</v>
      </c>
      <c r="K214" s="1" t="s">
        <v>58</v>
      </c>
      <c r="L214" s="1" t="s">
        <v>482</v>
      </c>
      <c r="M214" s="1">
        <v>6</v>
      </c>
      <c r="N214" s="1">
        <v>9</v>
      </c>
      <c r="O214" s="1">
        <v>198789</v>
      </c>
      <c r="P214" s="1">
        <v>4.7699999999999996</v>
      </c>
      <c r="Q214" s="1" t="s">
        <v>14</v>
      </c>
      <c r="R214" s="3">
        <v>0.48849999999999999</v>
      </c>
      <c r="S214" s="2">
        <v>45840</v>
      </c>
      <c r="T214" s="1">
        <v>227</v>
      </c>
      <c r="U214" s="1" t="s">
        <v>7</v>
      </c>
      <c r="V214" s="1">
        <v>102</v>
      </c>
      <c r="W214" s="1" t="b">
        <v>1</v>
      </c>
      <c r="X214" s="1" t="b">
        <v>1</v>
      </c>
      <c r="Y214" s="1">
        <v>100000</v>
      </c>
    </row>
    <row r="215" spans="1:25" x14ac:dyDescent="0.35">
      <c r="A215" s="1" t="s">
        <v>483</v>
      </c>
      <c r="B215" s="1" t="s">
        <v>9</v>
      </c>
      <c r="C215" s="1" t="s">
        <v>189</v>
      </c>
      <c r="D215" s="1" t="s">
        <v>20</v>
      </c>
      <c r="E215" s="1">
        <v>2832</v>
      </c>
      <c r="F215" s="4">
        <v>50000000</v>
      </c>
      <c r="G215" s="4">
        <v>17655</v>
      </c>
      <c r="H215" s="1">
        <v>5</v>
      </c>
      <c r="I215" s="1">
        <v>3</v>
      </c>
      <c r="J215" s="1">
        <v>27</v>
      </c>
      <c r="K215" s="1" t="s">
        <v>42</v>
      </c>
      <c r="L215" s="1" t="s">
        <v>484</v>
      </c>
      <c r="M215" s="1">
        <v>7</v>
      </c>
      <c r="N215" s="1">
        <v>9</v>
      </c>
      <c r="O215" s="1">
        <v>177987</v>
      </c>
      <c r="P215" s="1">
        <v>4.2699999999999996</v>
      </c>
      <c r="Q215" s="1" t="s">
        <v>14</v>
      </c>
      <c r="R215" s="3">
        <v>0.46360000000000001</v>
      </c>
      <c r="S215" s="2">
        <v>45579</v>
      </c>
      <c r="T215" s="1">
        <v>159</v>
      </c>
      <c r="U215" s="1" t="s">
        <v>7</v>
      </c>
      <c r="V215" s="1">
        <v>166</v>
      </c>
      <c r="W215" s="1" t="b">
        <v>0</v>
      </c>
      <c r="X215" s="1" t="b">
        <v>0</v>
      </c>
      <c r="Y215" s="1">
        <v>100000</v>
      </c>
    </row>
    <row r="216" spans="1:25" x14ac:dyDescent="0.35">
      <c r="A216" s="1" t="s">
        <v>485</v>
      </c>
      <c r="B216" s="1" t="s">
        <v>9</v>
      </c>
      <c r="C216" s="1" t="s">
        <v>114</v>
      </c>
      <c r="D216" s="1" t="s">
        <v>20</v>
      </c>
      <c r="E216" s="1">
        <v>2998</v>
      </c>
      <c r="F216" s="4">
        <v>50000000</v>
      </c>
      <c r="G216" s="4">
        <v>16677</v>
      </c>
      <c r="H216" s="1">
        <v>5</v>
      </c>
      <c r="I216" s="1">
        <v>3</v>
      </c>
      <c r="J216" s="1">
        <v>4</v>
      </c>
      <c r="K216" s="1" t="s">
        <v>42</v>
      </c>
      <c r="L216" s="1" t="s">
        <v>486</v>
      </c>
      <c r="M216" s="1">
        <v>5</v>
      </c>
      <c r="N216" s="1">
        <v>7</v>
      </c>
      <c r="O216" s="1">
        <v>182314</v>
      </c>
      <c r="P216" s="1">
        <v>4.38</v>
      </c>
      <c r="Q216" s="1" t="s">
        <v>14</v>
      </c>
      <c r="R216" s="3">
        <v>0.46880000000000005</v>
      </c>
      <c r="S216" s="2">
        <v>45653</v>
      </c>
      <c r="T216" s="1">
        <v>5</v>
      </c>
      <c r="U216" s="1" t="s">
        <v>23</v>
      </c>
      <c r="V216" s="1">
        <v>106</v>
      </c>
      <c r="W216" s="1" t="b">
        <v>0</v>
      </c>
      <c r="X216" s="1" t="b">
        <v>0</v>
      </c>
      <c r="Y216" s="1">
        <v>100000</v>
      </c>
    </row>
    <row r="217" spans="1:25" x14ac:dyDescent="0.35">
      <c r="A217" s="1" t="s">
        <v>487</v>
      </c>
      <c r="B217" s="1" t="s">
        <v>9</v>
      </c>
      <c r="C217" s="1" t="s">
        <v>109</v>
      </c>
      <c r="D217" s="1" t="s">
        <v>20</v>
      </c>
      <c r="E217" s="1">
        <v>2272</v>
      </c>
      <c r="F217" s="4">
        <v>50000000</v>
      </c>
      <c r="G217" s="4">
        <v>22007</v>
      </c>
      <c r="H217" s="1">
        <v>5</v>
      </c>
      <c r="I217" s="1">
        <v>3</v>
      </c>
      <c r="J217" s="1">
        <v>12</v>
      </c>
      <c r="K217" s="1" t="s">
        <v>34</v>
      </c>
      <c r="L217" s="1" t="s">
        <v>488</v>
      </c>
      <c r="M217" s="1">
        <v>4</v>
      </c>
      <c r="N217" s="1">
        <v>8</v>
      </c>
      <c r="O217" s="1">
        <v>177110</v>
      </c>
      <c r="P217" s="1">
        <v>4.25</v>
      </c>
      <c r="Q217" s="1" t="s">
        <v>14</v>
      </c>
      <c r="R217" s="3">
        <v>0.46250000000000002</v>
      </c>
      <c r="S217" s="2">
        <v>45627</v>
      </c>
      <c r="T217" s="1">
        <v>146</v>
      </c>
      <c r="U217" s="1" t="s">
        <v>30</v>
      </c>
      <c r="V217" s="1">
        <v>99</v>
      </c>
      <c r="W217" s="1" t="b">
        <v>0</v>
      </c>
      <c r="X217" s="1" t="b">
        <v>0</v>
      </c>
      <c r="Y217" s="1">
        <v>100000</v>
      </c>
    </row>
    <row r="218" spans="1:25" x14ac:dyDescent="0.35">
      <c r="A218" s="1" t="s">
        <v>489</v>
      </c>
      <c r="B218" s="1" t="s">
        <v>9</v>
      </c>
      <c r="C218" s="1" t="s">
        <v>10</v>
      </c>
      <c r="D218" s="1" t="s">
        <v>27</v>
      </c>
      <c r="E218" s="1">
        <v>4372</v>
      </c>
      <c r="F218" s="4">
        <v>50000000</v>
      </c>
      <c r="G218" s="4">
        <v>11436</v>
      </c>
      <c r="H218" s="1">
        <v>3</v>
      </c>
      <c r="I218" s="1">
        <v>2</v>
      </c>
      <c r="J218" s="1">
        <v>19</v>
      </c>
      <c r="K218" s="1" t="s">
        <v>28</v>
      </c>
      <c r="L218" s="1" t="s">
        <v>490</v>
      </c>
      <c r="M218" s="1">
        <v>6</v>
      </c>
      <c r="N218" s="1">
        <v>5</v>
      </c>
      <c r="O218" s="1">
        <v>126844</v>
      </c>
      <c r="P218" s="1">
        <v>3.04</v>
      </c>
      <c r="Q218" s="1" t="s">
        <v>14</v>
      </c>
      <c r="R218" s="3">
        <v>0.4022</v>
      </c>
      <c r="S218" s="2">
        <v>46052</v>
      </c>
      <c r="T218" s="1">
        <v>5</v>
      </c>
      <c r="U218" s="1" t="s">
        <v>7</v>
      </c>
      <c r="V218" s="1">
        <v>142</v>
      </c>
      <c r="W218" s="1" t="b">
        <v>1</v>
      </c>
      <c r="X218" s="1" t="b">
        <v>1</v>
      </c>
      <c r="Y218" s="1">
        <v>100000</v>
      </c>
    </row>
    <row r="219" spans="1:25" x14ac:dyDescent="0.35">
      <c r="A219" s="1" t="s">
        <v>491</v>
      </c>
      <c r="B219" s="1" t="s">
        <v>9</v>
      </c>
      <c r="C219" s="1" t="s">
        <v>114</v>
      </c>
      <c r="D219" s="1" t="s">
        <v>27</v>
      </c>
      <c r="E219" s="1">
        <v>4800</v>
      </c>
      <c r="F219" s="4">
        <v>50000000</v>
      </c>
      <c r="G219" s="4">
        <v>10416</v>
      </c>
      <c r="H219" s="1">
        <v>6</v>
      </c>
      <c r="I219" s="1">
        <v>4</v>
      </c>
      <c r="J219" s="1">
        <v>25</v>
      </c>
      <c r="K219" s="1" t="s">
        <v>28</v>
      </c>
      <c r="L219" s="1" t="s">
        <v>492</v>
      </c>
      <c r="M219" s="1">
        <v>6</v>
      </c>
      <c r="N219" s="1">
        <v>5</v>
      </c>
      <c r="O219" s="1">
        <v>157701</v>
      </c>
      <c r="P219" s="1">
        <v>3.78</v>
      </c>
      <c r="Q219" s="1" t="s">
        <v>14</v>
      </c>
      <c r="R219" s="3">
        <v>0.43920000000000003</v>
      </c>
      <c r="S219" s="2">
        <v>45600</v>
      </c>
      <c r="T219" s="1">
        <v>196</v>
      </c>
      <c r="U219" s="1" t="s">
        <v>7</v>
      </c>
      <c r="V219" s="1">
        <v>94</v>
      </c>
      <c r="W219" s="1" t="b">
        <v>1</v>
      </c>
      <c r="X219" s="1" t="b">
        <v>1</v>
      </c>
      <c r="Y219" s="1">
        <v>100000</v>
      </c>
    </row>
    <row r="220" spans="1:25" x14ac:dyDescent="0.35">
      <c r="A220" s="1" t="s">
        <v>493</v>
      </c>
      <c r="B220" s="1" t="s">
        <v>18</v>
      </c>
      <c r="C220" s="1" t="s">
        <v>19</v>
      </c>
      <c r="D220" s="1" t="s">
        <v>27</v>
      </c>
      <c r="E220" s="1">
        <v>2274</v>
      </c>
      <c r="F220" s="4">
        <v>15000000</v>
      </c>
      <c r="G220" s="4">
        <v>6596</v>
      </c>
      <c r="H220" s="1">
        <v>4</v>
      </c>
      <c r="I220" s="1">
        <v>3</v>
      </c>
      <c r="J220" s="1">
        <v>23</v>
      </c>
      <c r="K220" s="1" t="s">
        <v>21</v>
      </c>
      <c r="L220" s="1" t="s">
        <v>494</v>
      </c>
      <c r="M220" s="1">
        <v>3</v>
      </c>
      <c r="N220" s="1">
        <v>9</v>
      </c>
      <c r="O220" s="1">
        <v>45302</v>
      </c>
      <c r="P220" s="1">
        <v>3.62</v>
      </c>
      <c r="Q220" s="1" t="s">
        <v>6</v>
      </c>
      <c r="R220" s="3">
        <v>0.43119999999999997</v>
      </c>
      <c r="S220" s="2">
        <v>45826</v>
      </c>
      <c r="T220" s="1">
        <v>282</v>
      </c>
      <c r="U220" s="1" t="s">
        <v>7</v>
      </c>
      <c r="V220" s="1">
        <v>40</v>
      </c>
      <c r="W220" s="1" t="b">
        <v>1</v>
      </c>
      <c r="X220" s="1" t="b">
        <v>0</v>
      </c>
      <c r="Y220" s="1">
        <v>0</v>
      </c>
    </row>
    <row r="221" spans="1:25" x14ac:dyDescent="0.35">
      <c r="A221" s="1" t="s">
        <v>495</v>
      </c>
      <c r="B221" s="1" t="s">
        <v>1</v>
      </c>
      <c r="C221" s="1" t="s">
        <v>97</v>
      </c>
      <c r="D221" s="1" t="s">
        <v>27</v>
      </c>
      <c r="E221" s="1">
        <v>4952</v>
      </c>
      <c r="F221" s="4">
        <v>10000000</v>
      </c>
      <c r="G221" s="4">
        <v>2019</v>
      </c>
      <c r="H221" s="1">
        <v>3</v>
      </c>
      <c r="I221" s="1">
        <v>1</v>
      </c>
      <c r="J221" s="1">
        <v>3</v>
      </c>
      <c r="K221" s="1" t="s">
        <v>34</v>
      </c>
      <c r="L221" s="1" t="s">
        <v>496</v>
      </c>
      <c r="M221" s="1">
        <v>4</v>
      </c>
      <c r="N221" s="1">
        <v>4</v>
      </c>
      <c r="O221" s="1">
        <v>31596</v>
      </c>
      <c r="P221" s="1">
        <v>3.79</v>
      </c>
      <c r="Q221" s="1" t="s">
        <v>6</v>
      </c>
      <c r="R221" s="3">
        <v>0.43959999999999999</v>
      </c>
      <c r="S221" s="2">
        <v>45908</v>
      </c>
      <c r="T221" s="1">
        <v>354</v>
      </c>
      <c r="U221" s="1" t="s">
        <v>7</v>
      </c>
      <c r="V221" s="1">
        <v>178</v>
      </c>
      <c r="W221" s="1" t="b">
        <v>0</v>
      </c>
      <c r="X221" s="1" t="b">
        <v>1</v>
      </c>
      <c r="Y221" s="1">
        <v>0</v>
      </c>
    </row>
    <row r="222" spans="1:25" x14ac:dyDescent="0.35">
      <c r="A222" s="1" t="s">
        <v>497</v>
      </c>
      <c r="B222" s="1" t="s">
        <v>9</v>
      </c>
      <c r="C222" s="1" t="s">
        <v>10</v>
      </c>
      <c r="D222" s="1" t="s">
        <v>27</v>
      </c>
      <c r="E222" s="1">
        <v>6095</v>
      </c>
      <c r="F222" s="4">
        <v>50000000</v>
      </c>
      <c r="G222" s="4">
        <v>8203</v>
      </c>
      <c r="H222" s="1">
        <v>3</v>
      </c>
      <c r="I222" s="1">
        <v>2</v>
      </c>
      <c r="J222" s="1">
        <v>29</v>
      </c>
      <c r="K222" s="1" t="s">
        <v>42</v>
      </c>
      <c r="L222" s="1" t="s">
        <v>498</v>
      </c>
      <c r="M222" s="1">
        <v>8</v>
      </c>
      <c r="N222" s="1">
        <v>10</v>
      </c>
      <c r="O222" s="1">
        <v>206806</v>
      </c>
      <c r="P222" s="1">
        <v>4.96</v>
      </c>
      <c r="Q222" s="1" t="s">
        <v>14</v>
      </c>
      <c r="R222" s="3">
        <v>0.49819999999999998</v>
      </c>
      <c r="S222" s="2">
        <v>45496</v>
      </c>
      <c r="T222" s="1">
        <v>99</v>
      </c>
      <c r="U222" s="1" t="s">
        <v>30</v>
      </c>
      <c r="V222" s="1">
        <v>142</v>
      </c>
      <c r="W222" s="1" t="b">
        <v>1</v>
      </c>
      <c r="X222" s="1" t="b">
        <v>0</v>
      </c>
      <c r="Y222" s="1">
        <v>0</v>
      </c>
    </row>
    <row r="223" spans="1:25" x14ac:dyDescent="0.35">
      <c r="A223" s="1" t="s">
        <v>499</v>
      </c>
      <c r="B223" s="1" t="s">
        <v>1</v>
      </c>
      <c r="C223" s="1" t="s">
        <v>303</v>
      </c>
      <c r="D223" s="1" t="s">
        <v>20</v>
      </c>
      <c r="E223" s="1">
        <v>1661</v>
      </c>
      <c r="F223" s="4">
        <v>10000000</v>
      </c>
      <c r="G223" s="4">
        <v>6020</v>
      </c>
      <c r="H223" s="1">
        <v>5</v>
      </c>
      <c r="I223" s="1">
        <v>3</v>
      </c>
      <c r="J223" s="1">
        <v>17</v>
      </c>
      <c r="K223" s="1" t="s">
        <v>12</v>
      </c>
      <c r="L223" s="1" t="s">
        <v>500</v>
      </c>
      <c r="M223" s="1">
        <v>5</v>
      </c>
      <c r="N223" s="1">
        <v>8</v>
      </c>
      <c r="O223" s="1">
        <v>32806</v>
      </c>
      <c r="P223" s="1">
        <v>3.94</v>
      </c>
      <c r="Q223" s="1" t="s">
        <v>6</v>
      </c>
      <c r="R223" s="3">
        <v>0.44679999999999997</v>
      </c>
      <c r="S223" s="2">
        <v>45543</v>
      </c>
      <c r="T223" s="1">
        <v>36</v>
      </c>
      <c r="U223" s="1" t="s">
        <v>23</v>
      </c>
      <c r="V223" s="1">
        <v>71</v>
      </c>
      <c r="W223" s="1" t="b">
        <v>1</v>
      </c>
      <c r="X223" s="1" t="b">
        <v>0</v>
      </c>
      <c r="Y223" s="1">
        <v>0</v>
      </c>
    </row>
    <row r="224" spans="1:25" x14ac:dyDescent="0.35">
      <c r="A224" s="1" t="s">
        <v>501</v>
      </c>
      <c r="B224" s="1" t="s">
        <v>54</v>
      </c>
      <c r="C224" s="1" t="s">
        <v>79</v>
      </c>
      <c r="D224" s="1" t="s">
        <v>20</v>
      </c>
      <c r="E224" s="1">
        <v>3359</v>
      </c>
      <c r="F224" s="4">
        <v>40000000</v>
      </c>
      <c r="G224" s="4">
        <v>11908</v>
      </c>
      <c r="H224" s="1">
        <v>2</v>
      </c>
      <c r="I224" s="1">
        <v>2</v>
      </c>
      <c r="J224" s="1">
        <v>23</v>
      </c>
      <c r="K224" s="1" t="s">
        <v>58</v>
      </c>
      <c r="L224" s="1" t="s">
        <v>502</v>
      </c>
      <c r="M224" s="1">
        <v>4</v>
      </c>
      <c r="N224" s="1">
        <v>9</v>
      </c>
      <c r="O224" s="1">
        <v>135930</v>
      </c>
      <c r="P224" s="1">
        <v>4.08</v>
      </c>
      <c r="Q224" s="1" t="s">
        <v>14</v>
      </c>
      <c r="R224" s="3">
        <v>0.45390000000000003</v>
      </c>
      <c r="S224" s="2">
        <v>45760</v>
      </c>
      <c r="T224" s="1">
        <v>283</v>
      </c>
      <c r="U224" s="1" t="s">
        <v>7</v>
      </c>
      <c r="V224" s="1">
        <v>157</v>
      </c>
      <c r="W224" s="1" t="b">
        <v>1</v>
      </c>
      <c r="X224" s="1" t="b">
        <v>0</v>
      </c>
      <c r="Y224" s="1">
        <v>0</v>
      </c>
    </row>
    <row r="225" spans="1:25" x14ac:dyDescent="0.35">
      <c r="A225" s="1" t="s">
        <v>503</v>
      </c>
      <c r="B225" s="1" t="s">
        <v>18</v>
      </c>
      <c r="C225" s="1" t="s">
        <v>243</v>
      </c>
      <c r="D225" s="1" t="s">
        <v>20</v>
      </c>
      <c r="E225" s="1">
        <v>1952</v>
      </c>
      <c r="F225" s="4">
        <v>15000000</v>
      </c>
      <c r="G225" s="4">
        <v>7684</v>
      </c>
      <c r="H225" s="1">
        <v>2</v>
      </c>
      <c r="I225" s="1">
        <v>1</v>
      </c>
      <c r="J225" s="1">
        <v>1</v>
      </c>
      <c r="K225" s="1" t="s">
        <v>42</v>
      </c>
      <c r="L225" s="1" t="s">
        <v>504</v>
      </c>
      <c r="M225" s="1">
        <v>4</v>
      </c>
      <c r="N225" s="1">
        <v>9</v>
      </c>
      <c r="O225" s="1">
        <v>38295</v>
      </c>
      <c r="P225" s="1">
        <v>3.06</v>
      </c>
      <c r="Q225" s="1" t="s">
        <v>6</v>
      </c>
      <c r="R225" s="3">
        <v>0.4032</v>
      </c>
      <c r="S225" s="2">
        <v>45499</v>
      </c>
      <c r="T225" s="1">
        <v>270</v>
      </c>
      <c r="U225" s="1" t="s">
        <v>30</v>
      </c>
      <c r="V225" s="1">
        <v>155</v>
      </c>
      <c r="W225" s="1" t="b">
        <v>0</v>
      </c>
      <c r="X225" s="1" t="b">
        <v>1</v>
      </c>
      <c r="Y225" s="1">
        <v>0</v>
      </c>
    </row>
    <row r="226" spans="1:25" x14ac:dyDescent="0.35">
      <c r="A226" s="1" t="s">
        <v>505</v>
      </c>
      <c r="B226" s="1" t="s">
        <v>25</v>
      </c>
      <c r="C226" s="1" t="s">
        <v>37</v>
      </c>
      <c r="D226" s="1" t="s">
        <v>3</v>
      </c>
      <c r="E226" s="1">
        <v>453</v>
      </c>
      <c r="F226" s="4">
        <v>30000000</v>
      </c>
      <c r="G226" s="4">
        <v>66225</v>
      </c>
      <c r="H226" s="1">
        <v>2</v>
      </c>
      <c r="I226" s="1">
        <v>2</v>
      </c>
      <c r="J226" s="1">
        <v>29</v>
      </c>
      <c r="K226" s="1" t="s">
        <v>21</v>
      </c>
      <c r="L226" s="1" t="s">
        <v>506</v>
      </c>
      <c r="M226" s="1">
        <v>3</v>
      </c>
      <c r="N226" s="1">
        <v>6</v>
      </c>
      <c r="O226" s="1">
        <v>114712</v>
      </c>
      <c r="P226" s="1">
        <v>4.59</v>
      </c>
      <c r="Q226" s="1" t="s">
        <v>14</v>
      </c>
      <c r="R226" s="3">
        <v>0.47939999999999999</v>
      </c>
      <c r="S226" s="2">
        <v>46097</v>
      </c>
      <c r="T226" s="1">
        <v>21</v>
      </c>
      <c r="U226" s="1" t="s">
        <v>30</v>
      </c>
      <c r="V226" s="1">
        <v>165</v>
      </c>
      <c r="W226" s="1" t="b">
        <v>1</v>
      </c>
      <c r="X226" s="1" t="b">
        <v>0</v>
      </c>
      <c r="Y226" s="1">
        <v>60000</v>
      </c>
    </row>
    <row r="227" spans="1:25" x14ac:dyDescent="0.35">
      <c r="A227" s="1" t="s">
        <v>507</v>
      </c>
      <c r="B227" s="1" t="s">
        <v>25</v>
      </c>
      <c r="C227" s="1" t="s">
        <v>37</v>
      </c>
      <c r="D227" s="1" t="s">
        <v>3</v>
      </c>
      <c r="E227" s="1">
        <v>814</v>
      </c>
      <c r="F227" s="4">
        <v>30000000</v>
      </c>
      <c r="G227" s="4">
        <v>36855</v>
      </c>
      <c r="H227" s="1">
        <v>2</v>
      </c>
      <c r="I227" s="1">
        <v>2</v>
      </c>
      <c r="J227" s="1">
        <v>6</v>
      </c>
      <c r="K227" s="1" t="s">
        <v>21</v>
      </c>
      <c r="L227" s="1" t="s">
        <v>508</v>
      </c>
      <c r="M227" s="1">
        <v>4</v>
      </c>
      <c r="N227" s="1">
        <v>7</v>
      </c>
      <c r="O227" s="1">
        <v>113314</v>
      </c>
      <c r="P227" s="1">
        <v>4.53</v>
      </c>
      <c r="Q227" s="1" t="s">
        <v>14</v>
      </c>
      <c r="R227" s="3">
        <v>0.47659999999999997</v>
      </c>
      <c r="S227" s="2">
        <v>45566</v>
      </c>
      <c r="T227" s="1">
        <v>54</v>
      </c>
      <c r="U227" s="1" t="s">
        <v>7</v>
      </c>
      <c r="V227" s="1">
        <v>139</v>
      </c>
      <c r="W227" s="1" t="b">
        <v>1</v>
      </c>
      <c r="X227" s="1" t="b">
        <v>1</v>
      </c>
      <c r="Y227" s="1">
        <v>0</v>
      </c>
    </row>
    <row r="228" spans="1:25" x14ac:dyDescent="0.35">
      <c r="A228" s="1" t="s">
        <v>509</v>
      </c>
      <c r="B228" s="1" t="s">
        <v>32</v>
      </c>
      <c r="C228" s="1" t="s">
        <v>200</v>
      </c>
      <c r="D228" s="1" t="s">
        <v>27</v>
      </c>
      <c r="E228" s="1">
        <v>6373</v>
      </c>
      <c r="F228" s="4">
        <v>12000000</v>
      </c>
      <c r="G228" s="4">
        <v>1882</v>
      </c>
      <c r="H228" s="1">
        <v>6</v>
      </c>
      <c r="I228" s="1">
        <v>4</v>
      </c>
      <c r="J228" s="1">
        <v>28</v>
      </c>
      <c r="K228" s="1" t="s">
        <v>21</v>
      </c>
      <c r="L228" s="1" t="s">
        <v>510</v>
      </c>
      <c r="M228" s="1">
        <v>5</v>
      </c>
      <c r="N228" s="1">
        <v>5</v>
      </c>
      <c r="O228" s="1">
        <v>36469</v>
      </c>
      <c r="P228" s="1">
        <v>3.65</v>
      </c>
      <c r="Q228" s="1" t="s">
        <v>6</v>
      </c>
      <c r="R228" s="3">
        <v>0.43229999999999996</v>
      </c>
      <c r="S228" s="2">
        <v>45910</v>
      </c>
      <c r="T228" s="1">
        <v>282</v>
      </c>
      <c r="U228" s="1" t="s">
        <v>7</v>
      </c>
      <c r="V228" s="1">
        <v>126</v>
      </c>
      <c r="W228" s="1" t="b">
        <v>0</v>
      </c>
      <c r="X228" s="1" t="b">
        <v>0</v>
      </c>
      <c r="Y228" s="1">
        <v>0</v>
      </c>
    </row>
    <row r="229" spans="1:25" x14ac:dyDescent="0.35">
      <c r="A229" s="1" t="s">
        <v>511</v>
      </c>
      <c r="B229" s="1" t="s">
        <v>18</v>
      </c>
      <c r="C229" s="1" t="s">
        <v>19</v>
      </c>
      <c r="D229" s="1" t="s">
        <v>3</v>
      </c>
      <c r="E229" s="1">
        <v>541</v>
      </c>
      <c r="F229" s="4">
        <v>15000000</v>
      </c>
      <c r="G229" s="4">
        <v>27726</v>
      </c>
      <c r="H229" s="1">
        <v>3</v>
      </c>
      <c r="I229" s="1">
        <v>1</v>
      </c>
      <c r="J229" s="1">
        <v>16</v>
      </c>
      <c r="K229" s="1" t="s">
        <v>4</v>
      </c>
      <c r="L229" s="1" t="s">
        <v>512</v>
      </c>
      <c r="M229" s="1">
        <v>4</v>
      </c>
      <c r="N229" s="1">
        <v>8</v>
      </c>
      <c r="O229" s="1">
        <v>38042</v>
      </c>
      <c r="P229" s="1">
        <v>3.04</v>
      </c>
      <c r="Q229" s="1" t="s">
        <v>6</v>
      </c>
      <c r="R229" s="3">
        <v>0.4022</v>
      </c>
      <c r="S229" s="2">
        <v>45450</v>
      </c>
      <c r="T229" s="1">
        <v>285</v>
      </c>
      <c r="U229" s="1" t="s">
        <v>30</v>
      </c>
      <c r="V229" s="1">
        <v>160</v>
      </c>
      <c r="W229" s="1" t="b">
        <v>1</v>
      </c>
      <c r="X229" s="1" t="b">
        <v>1</v>
      </c>
      <c r="Y229" s="1">
        <v>30000</v>
      </c>
    </row>
    <row r="230" spans="1:25" x14ac:dyDescent="0.35">
      <c r="A230" s="1" t="s">
        <v>513</v>
      </c>
      <c r="B230" s="1" t="s">
        <v>18</v>
      </c>
      <c r="C230" s="1" t="s">
        <v>139</v>
      </c>
      <c r="D230" s="1" t="s">
        <v>27</v>
      </c>
      <c r="E230" s="1">
        <v>3133</v>
      </c>
      <c r="F230" s="4">
        <v>15000000</v>
      </c>
      <c r="G230" s="4">
        <v>4787</v>
      </c>
      <c r="H230" s="1">
        <v>5</v>
      </c>
      <c r="I230" s="1">
        <v>3</v>
      </c>
      <c r="J230" s="1">
        <v>28</v>
      </c>
      <c r="K230" s="1" t="s">
        <v>4</v>
      </c>
      <c r="L230" s="1" t="s">
        <v>514</v>
      </c>
      <c r="M230" s="1">
        <v>7</v>
      </c>
      <c r="N230" s="1">
        <v>10</v>
      </c>
      <c r="O230" s="1">
        <v>55589</v>
      </c>
      <c r="P230" s="1">
        <v>4.45</v>
      </c>
      <c r="Q230" s="1" t="s">
        <v>6</v>
      </c>
      <c r="R230" s="3">
        <v>0.47240000000000004</v>
      </c>
      <c r="S230" s="2">
        <v>45662</v>
      </c>
      <c r="T230" s="1">
        <v>49</v>
      </c>
      <c r="U230" s="1" t="s">
        <v>7</v>
      </c>
      <c r="V230" s="1">
        <v>177</v>
      </c>
      <c r="W230" s="1" t="b">
        <v>0</v>
      </c>
      <c r="X230" s="1" t="b">
        <v>1</v>
      </c>
      <c r="Y230" s="1">
        <v>0</v>
      </c>
    </row>
    <row r="231" spans="1:25" x14ac:dyDescent="0.35">
      <c r="A231" s="1" t="s">
        <v>515</v>
      </c>
      <c r="B231" s="1" t="s">
        <v>9</v>
      </c>
      <c r="C231" s="1" t="s">
        <v>189</v>
      </c>
      <c r="D231" s="1" t="s">
        <v>20</v>
      </c>
      <c r="E231" s="1">
        <v>2925</v>
      </c>
      <c r="F231" s="4">
        <v>50000000</v>
      </c>
      <c r="G231" s="4">
        <v>17094</v>
      </c>
      <c r="H231" s="1">
        <v>5</v>
      </c>
      <c r="I231" s="1">
        <v>3</v>
      </c>
      <c r="J231" s="1">
        <v>29</v>
      </c>
      <c r="K231" s="1" t="s">
        <v>28</v>
      </c>
      <c r="L231" s="1" t="s">
        <v>516</v>
      </c>
      <c r="M231" s="1">
        <v>3</v>
      </c>
      <c r="N231" s="1">
        <v>6</v>
      </c>
      <c r="O231" s="1">
        <v>128431</v>
      </c>
      <c r="P231" s="1">
        <v>3.08</v>
      </c>
      <c r="Q231" s="1" t="s">
        <v>14</v>
      </c>
      <c r="R231" s="3">
        <v>0.40409999999999996</v>
      </c>
      <c r="S231" s="2">
        <v>45604</v>
      </c>
      <c r="T231" s="1">
        <v>358</v>
      </c>
      <c r="U231" s="1" t="s">
        <v>7</v>
      </c>
      <c r="V231" s="1">
        <v>158</v>
      </c>
      <c r="W231" s="1" t="b">
        <v>1</v>
      </c>
      <c r="X231" s="1" t="b">
        <v>1</v>
      </c>
      <c r="Y231" s="1">
        <v>100000</v>
      </c>
    </row>
    <row r="232" spans="1:25" x14ac:dyDescent="0.35">
      <c r="A232" s="1" t="s">
        <v>517</v>
      </c>
      <c r="B232" s="1" t="s">
        <v>1</v>
      </c>
      <c r="C232" s="1" t="s">
        <v>45</v>
      </c>
      <c r="D232" s="1" t="s">
        <v>11</v>
      </c>
      <c r="E232" s="1">
        <v>478</v>
      </c>
      <c r="F232" s="4">
        <v>10000000</v>
      </c>
      <c r="G232" s="4">
        <v>20920</v>
      </c>
      <c r="H232" s="1">
        <v>0</v>
      </c>
      <c r="I232" s="1">
        <v>1</v>
      </c>
      <c r="J232" s="1">
        <v>13</v>
      </c>
      <c r="K232" s="1" t="s">
        <v>42</v>
      </c>
      <c r="L232" s="1" t="s">
        <v>518</v>
      </c>
      <c r="M232" s="1">
        <v>5</v>
      </c>
      <c r="N232" s="1">
        <v>7</v>
      </c>
      <c r="O232" s="1">
        <v>25821</v>
      </c>
      <c r="P232" s="1">
        <v>3.1</v>
      </c>
      <c r="Q232" s="1" t="s">
        <v>6</v>
      </c>
      <c r="R232" s="3">
        <v>0.40490000000000004</v>
      </c>
      <c r="S232" s="2">
        <v>45748</v>
      </c>
      <c r="T232" s="1">
        <v>223</v>
      </c>
      <c r="U232" s="1" t="s">
        <v>7</v>
      </c>
      <c r="V232" s="1">
        <v>158</v>
      </c>
      <c r="W232" s="1" t="b">
        <v>1</v>
      </c>
      <c r="X232" s="1" t="b">
        <v>1</v>
      </c>
      <c r="Y232" s="1">
        <v>0</v>
      </c>
    </row>
    <row r="233" spans="1:25" x14ac:dyDescent="0.35">
      <c r="A233" s="1" t="s">
        <v>519</v>
      </c>
      <c r="B233" s="1" t="s">
        <v>32</v>
      </c>
      <c r="C233" s="1" t="s">
        <v>41</v>
      </c>
      <c r="D233" s="1" t="s">
        <v>11</v>
      </c>
      <c r="E233" s="1">
        <v>452</v>
      </c>
      <c r="F233" s="4">
        <v>12000000</v>
      </c>
      <c r="G233" s="4">
        <v>26548</v>
      </c>
      <c r="H233" s="1">
        <v>0</v>
      </c>
      <c r="I233" s="1">
        <v>1</v>
      </c>
      <c r="J233" s="1">
        <v>7</v>
      </c>
      <c r="K233" s="1" t="s">
        <v>58</v>
      </c>
      <c r="L233" s="1" t="s">
        <v>520</v>
      </c>
      <c r="M233" s="1">
        <v>3</v>
      </c>
      <c r="N233" s="1">
        <v>6</v>
      </c>
      <c r="O233" s="1">
        <v>38271</v>
      </c>
      <c r="P233" s="1">
        <v>3.83</v>
      </c>
      <c r="Q233" s="1" t="s">
        <v>6</v>
      </c>
      <c r="R233" s="3">
        <v>0.44140000000000001</v>
      </c>
      <c r="S233" s="2">
        <v>45782</v>
      </c>
      <c r="T233" s="1">
        <v>305</v>
      </c>
      <c r="U233" s="1" t="s">
        <v>7</v>
      </c>
      <c r="V233" s="1">
        <v>118</v>
      </c>
      <c r="W233" s="1" t="b">
        <v>1</v>
      </c>
      <c r="X233" s="1" t="b">
        <v>0</v>
      </c>
      <c r="Y233" s="1">
        <v>24000</v>
      </c>
    </row>
    <row r="234" spans="1:25" x14ac:dyDescent="0.35">
      <c r="A234" s="1" t="s">
        <v>521</v>
      </c>
      <c r="B234" s="1" t="s">
        <v>54</v>
      </c>
      <c r="C234" s="1" t="s">
        <v>79</v>
      </c>
      <c r="D234" s="1" t="s">
        <v>11</v>
      </c>
      <c r="E234" s="1">
        <v>569</v>
      </c>
      <c r="F234" s="4">
        <v>40000000</v>
      </c>
      <c r="G234" s="4">
        <v>70298</v>
      </c>
      <c r="H234" s="1">
        <v>0</v>
      </c>
      <c r="I234" s="1">
        <v>2</v>
      </c>
      <c r="J234" s="1">
        <v>1</v>
      </c>
      <c r="K234" s="1" t="s">
        <v>58</v>
      </c>
      <c r="L234" s="1" t="s">
        <v>522</v>
      </c>
      <c r="M234" s="1">
        <v>4</v>
      </c>
      <c r="N234" s="1">
        <v>10</v>
      </c>
      <c r="O234" s="1">
        <v>103635</v>
      </c>
      <c r="P234" s="1">
        <v>3.11</v>
      </c>
      <c r="Q234" s="1" t="s">
        <v>14</v>
      </c>
      <c r="R234" s="3">
        <v>0.40549999999999997</v>
      </c>
      <c r="S234" s="2">
        <v>45521</v>
      </c>
      <c r="T234" s="1">
        <v>8</v>
      </c>
      <c r="U234" s="1" t="s">
        <v>23</v>
      </c>
      <c r="V234" s="1">
        <v>103</v>
      </c>
      <c r="W234" s="1" t="b">
        <v>0</v>
      </c>
      <c r="X234" s="1" t="b">
        <v>1</v>
      </c>
      <c r="Y234" s="1">
        <v>0</v>
      </c>
    </row>
    <row r="235" spans="1:25" x14ac:dyDescent="0.35">
      <c r="A235" s="1" t="s">
        <v>523</v>
      </c>
      <c r="B235" s="1" t="s">
        <v>18</v>
      </c>
      <c r="C235" s="1" t="s">
        <v>19</v>
      </c>
      <c r="D235" s="1" t="s">
        <v>3</v>
      </c>
      <c r="E235" s="1">
        <v>1759</v>
      </c>
      <c r="F235" s="4">
        <v>15000000</v>
      </c>
      <c r="G235" s="4">
        <v>8527</v>
      </c>
      <c r="H235" s="1">
        <v>2</v>
      </c>
      <c r="I235" s="1">
        <v>1</v>
      </c>
      <c r="J235" s="1">
        <v>6</v>
      </c>
      <c r="K235" s="1" t="s">
        <v>21</v>
      </c>
      <c r="L235" s="1" t="s">
        <v>524</v>
      </c>
      <c r="M235" s="1">
        <v>7</v>
      </c>
      <c r="N235" s="1">
        <v>4</v>
      </c>
      <c r="O235" s="1">
        <v>54088</v>
      </c>
      <c r="P235" s="1">
        <v>4.33</v>
      </c>
      <c r="Q235" s="1" t="s">
        <v>6</v>
      </c>
      <c r="R235" s="3">
        <v>0.46639999999999998</v>
      </c>
      <c r="S235" s="2">
        <v>46112</v>
      </c>
      <c r="T235" s="1">
        <v>103</v>
      </c>
      <c r="U235" s="1" t="s">
        <v>7</v>
      </c>
      <c r="V235" s="1">
        <v>102</v>
      </c>
      <c r="W235" s="1" t="b">
        <v>0</v>
      </c>
      <c r="X235" s="1" t="b">
        <v>1</v>
      </c>
      <c r="Y235" s="1">
        <v>0</v>
      </c>
    </row>
    <row r="236" spans="1:25" x14ac:dyDescent="0.35">
      <c r="A236" s="1" t="s">
        <v>525</v>
      </c>
      <c r="B236" s="1" t="s">
        <v>1</v>
      </c>
      <c r="C236" s="1" t="s">
        <v>2</v>
      </c>
      <c r="D236" s="1" t="s">
        <v>3</v>
      </c>
      <c r="E236" s="1">
        <v>1991</v>
      </c>
      <c r="F236" s="4">
        <v>10000000</v>
      </c>
      <c r="G236" s="4">
        <v>5022</v>
      </c>
      <c r="H236" s="1">
        <v>3</v>
      </c>
      <c r="I236" s="1">
        <v>2</v>
      </c>
      <c r="J236" s="1">
        <v>27</v>
      </c>
      <c r="K236" s="1" t="s">
        <v>4</v>
      </c>
      <c r="L236" s="1" t="s">
        <v>526</v>
      </c>
      <c r="M236" s="1">
        <v>3</v>
      </c>
      <c r="N236" s="1">
        <v>6</v>
      </c>
      <c r="O236" s="1">
        <v>33475</v>
      </c>
      <c r="P236" s="1">
        <v>4.0199999999999996</v>
      </c>
      <c r="Q236" s="1" t="s">
        <v>6</v>
      </c>
      <c r="R236" s="3">
        <v>0.45079999999999998</v>
      </c>
      <c r="S236" s="2">
        <v>45430</v>
      </c>
      <c r="T236" s="1">
        <v>306</v>
      </c>
      <c r="U236" s="1" t="s">
        <v>7</v>
      </c>
      <c r="V236" s="1">
        <v>154</v>
      </c>
      <c r="W236" s="1" t="b">
        <v>1</v>
      </c>
      <c r="X236" s="1" t="b">
        <v>1</v>
      </c>
      <c r="Y236" s="1">
        <v>20000</v>
      </c>
    </row>
    <row r="237" spans="1:25" x14ac:dyDescent="0.35">
      <c r="A237" s="1" t="s">
        <v>527</v>
      </c>
      <c r="B237" s="1" t="s">
        <v>32</v>
      </c>
      <c r="C237" s="1" t="s">
        <v>197</v>
      </c>
      <c r="D237" s="1" t="s">
        <v>38</v>
      </c>
      <c r="E237" s="1">
        <v>8836</v>
      </c>
      <c r="F237" s="4">
        <v>12000000</v>
      </c>
      <c r="G237" s="4">
        <v>1358</v>
      </c>
      <c r="H237" s="1">
        <v>4</v>
      </c>
      <c r="I237" s="1">
        <v>2</v>
      </c>
      <c r="J237" s="1">
        <v>7</v>
      </c>
      <c r="K237" s="1" t="s">
        <v>12</v>
      </c>
      <c r="L237" s="1" t="s">
        <v>528</v>
      </c>
      <c r="M237" s="1">
        <v>7</v>
      </c>
      <c r="N237" s="1">
        <v>8</v>
      </c>
      <c r="O237" s="1">
        <v>37107</v>
      </c>
      <c r="P237" s="1">
        <v>3.71</v>
      </c>
      <c r="Q237" s="1" t="s">
        <v>6</v>
      </c>
      <c r="R237" s="3">
        <v>0.4355</v>
      </c>
      <c r="S237" s="2">
        <v>45847</v>
      </c>
      <c r="T237" s="1">
        <v>32</v>
      </c>
      <c r="U237" s="1" t="s">
        <v>7</v>
      </c>
      <c r="V237" s="1">
        <v>100</v>
      </c>
      <c r="W237" s="1" t="b">
        <v>0</v>
      </c>
      <c r="X237" s="1" t="b">
        <v>0</v>
      </c>
      <c r="Y237" s="1">
        <v>24000</v>
      </c>
    </row>
    <row r="238" spans="1:25" x14ac:dyDescent="0.35">
      <c r="A238" s="1" t="s">
        <v>529</v>
      </c>
      <c r="B238" s="1" t="s">
        <v>32</v>
      </c>
      <c r="C238" s="1" t="s">
        <v>200</v>
      </c>
      <c r="D238" s="1" t="s">
        <v>27</v>
      </c>
      <c r="E238" s="1">
        <v>3242</v>
      </c>
      <c r="F238" s="4">
        <v>12000000</v>
      </c>
      <c r="G238" s="4">
        <v>3701</v>
      </c>
      <c r="H238" s="1">
        <v>5</v>
      </c>
      <c r="I238" s="1">
        <v>3</v>
      </c>
      <c r="J238" s="1">
        <v>21</v>
      </c>
      <c r="K238" s="1" t="s">
        <v>4</v>
      </c>
      <c r="L238" s="1" t="s">
        <v>530</v>
      </c>
      <c r="M238" s="1">
        <v>4</v>
      </c>
      <c r="N238" s="1">
        <v>6</v>
      </c>
      <c r="O238" s="1">
        <v>38529</v>
      </c>
      <c r="P238" s="1">
        <v>3.85</v>
      </c>
      <c r="Q238" s="1" t="s">
        <v>6</v>
      </c>
      <c r="R238" s="3">
        <v>0.44259999999999999</v>
      </c>
      <c r="S238" s="2">
        <v>45837</v>
      </c>
      <c r="T238" s="1">
        <v>278</v>
      </c>
      <c r="U238" s="1" t="s">
        <v>23</v>
      </c>
      <c r="V238" s="1">
        <v>144</v>
      </c>
      <c r="W238" s="1" t="b">
        <v>1</v>
      </c>
      <c r="X238" s="1" t="b">
        <v>1</v>
      </c>
      <c r="Y238" s="1">
        <v>24000</v>
      </c>
    </row>
    <row r="239" spans="1:25" x14ac:dyDescent="0.35">
      <c r="A239" s="1" t="s">
        <v>531</v>
      </c>
      <c r="B239" s="1" t="s">
        <v>32</v>
      </c>
      <c r="C239" s="1" t="s">
        <v>67</v>
      </c>
      <c r="D239" s="1" t="s">
        <v>27</v>
      </c>
      <c r="E239" s="1">
        <v>3131</v>
      </c>
      <c r="F239" s="4">
        <v>12000000</v>
      </c>
      <c r="G239" s="4">
        <v>3832</v>
      </c>
      <c r="H239" s="1">
        <v>5</v>
      </c>
      <c r="I239" s="1">
        <v>2</v>
      </c>
      <c r="J239" s="1">
        <v>13</v>
      </c>
      <c r="K239" s="1" t="s">
        <v>58</v>
      </c>
      <c r="L239" s="1" t="s">
        <v>532</v>
      </c>
      <c r="M239" s="1">
        <v>4</v>
      </c>
      <c r="N239" s="1">
        <v>10</v>
      </c>
      <c r="O239" s="1">
        <v>46790</v>
      </c>
      <c r="P239" s="1">
        <v>4.68</v>
      </c>
      <c r="Q239" s="1" t="s">
        <v>6</v>
      </c>
      <c r="R239" s="3">
        <v>0.4839</v>
      </c>
      <c r="S239" s="2">
        <v>46007</v>
      </c>
      <c r="T239" s="1">
        <v>212</v>
      </c>
      <c r="U239" s="1" t="s">
        <v>30</v>
      </c>
      <c r="V239" s="1">
        <v>111</v>
      </c>
      <c r="W239" s="1" t="b">
        <v>0</v>
      </c>
      <c r="X239" s="1" t="b">
        <v>0</v>
      </c>
      <c r="Y239" s="1">
        <v>0</v>
      </c>
    </row>
    <row r="240" spans="1:25" x14ac:dyDescent="0.35">
      <c r="A240" s="1" t="s">
        <v>533</v>
      </c>
      <c r="B240" s="1" t="s">
        <v>1</v>
      </c>
      <c r="C240" s="1" t="s">
        <v>45</v>
      </c>
      <c r="D240" s="1" t="s">
        <v>20</v>
      </c>
      <c r="E240" s="1">
        <v>2122</v>
      </c>
      <c r="F240" s="4">
        <v>10000000</v>
      </c>
      <c r="G240" s="4">
        <v>4712</v>
      </c>
      <c r="H240" s="1">
        <v>3</v>
      </c>
      <c r="I240" s="1">
        <v>1</v>
      </c>
      <c r="J240" s="1">
        <v>4</v>
      </c>
      <c r="K240" s="1" t="s">
        <v>4</v>
      </c>
      <c r="L240" s="1" t="s">
        <v>534</v>
      </c>
      <c r="M240" s="1">
        <v>4</v>
      </c>
      <c r="N240" s="1">
        <v>7</v>
      </c>
      <c r="O240" s="1">
        <v>25434</v>
      </c>
      <c r="P240" s="1">
        <v>3.05</v>
      </c>
      <c r="Q240" s="1" t="s">
        <v>6</v>
      </c>
      <c r="R240" s="3">
        <v>0.40259999999999996</v>
      </c>
      <c r="S240" s="2">
        <v>46075</v>
      </c>
      <c r="T240" s="1">
        <v>258</v>
      </c>
      <c r="U240" s="1" t="s">
        <v>30</v>
      </c>
      <c r="V240" s="1">
        <v>64</v>
      </c>
      <c r="W240" s="1" t="b">
        <v>0</v>
      </c>
      <c r="X240" s="1" t="b">
        <v>0</v>
      </c>
      <c r="Y240" s="1">
        <v>20000</v>
      </c>
    </row>
    <row r="241" spans="1:25" x14ac:dyDescent="0.35">
      <c r="A241" s="1" t="s">
        <v>535</v>
      </c>
      <c r="B241" s="1" t="s">
        <v>18</v>
      </c>
      <c r="C241" s="1" t="s">
        <v>19</v>
      </c>
      <c r="D241" s="1" t="s">
        <v>11</v>
      </c>
      <c r="E241" s="1">
        <v>320</v>
      </c>
      <c r="F241" s="4">
        <v>15000000</v>
      </c>
      <c r="G241" s="4">
        <v>46875</v>
      </c>
      <c r="H241" s="1">
        <v>0</v>
      </c>
      <c r="I241" s="1">
        <v>1</v>
      </c>
      <c r="J241" s="1">
        <v>7</v>
      </c>
      <c r="K241" s="1" t="s">
        <v>21</v>
      </c>
      <c r="L241" s="1" t="s">
        <v>536</v>
      </c>
      <c r="M241" s="1">
        <v>3</v>
      </c>
      <c r="N241" s="1">
        <v>4</v>
      </c>
      <c r="O241" s="1">
        <v>54283</v>
      </c>
      <c r="P241" s="1">
        <v>4.34</v>
      </c>
      <c r="Q241" s="1" t="s">
        <v>6</v>
      </c>
      <c r="R241" s="3">
        <v>0.46710000000000002</v>
      </c>
      <c r="S241" s="2">
        <v>45949</v>
      </c>
      <c r="T241" s="1">
        <v>225</v>
      </c>
      <c r="U241" s="1" t="s">
        <v>30</v>
      </c>
      <c r="V241" s="1">
        <v>75</v>
      </c>
      <c r="W241" s="1" t="b">
        <v>0</v>
      </c>
      <c r="X241" s="1" t="b">
        <v>0</v>
      </c>
      <c r="Y241" s="1">
        <v>0</v>
      </c>
    </row>
    <row r="242" spans="1:25" x14ac:dyDescent="0.35">
      <c r="A242" s="1" t="s">
        <v>537</v>
      </c>
      <c r="B242" s="1" t="s">
        <v>25</v>
      </c>
      <c r="C242" s="1" t="s">
        <v>94</v>
      </c>
      <c r="D242" s="1" t="s">
        <v>11</v>
      </c>
      <c r="E242" s="1">
        <v>271</v>
      </c>
      <c r="F242" s="4">
        <v>28198675</v>
      </c>
      <c r="G242" s="4">
        <v>104054</v>
      </c>
      <c r="H242" s="1">
        <v>1</v>
      </c>
      <c r="I242" s="1">
        <v>2</v>
      </c>
      <c r="J242" s="1">
        <v>12</v>
      </c>
      <c r="K242" s="1" t="s">
        <v>28</v>
      </c>
      <c r="L242" s="1" t="s">
        <v>538</v>
      </c>
      <c r="M242" s="1">
        <v>7</v>
      </c>
      <c r="N242" s="1">
        <v>9</v>
      </c>
      <c r="O242" s="1">
        <v>82045</v>
      </c>
      <c r="P242" s="1">
        <v>3.49</v>
      </c>
      <c r="Q242" s="1" t="s">
        <v>14</v>
      </c>
      <c r="R242" s="3">
        <v>0.42460000000000003</v>
      </c>
      <c r="S242" s="2">
        <v>45606</v>
      </c>
      <c r="T242" s="1">
        <v>286</v>
      </c>
      <c r="U242" s="1" t="s">
        <v>7</v>
      </c>
      <c r="V242" s="1">
        <v>40</v>
      </c>
      <c r="W242" s="1" t="b">
        <v>0</v>
      </c>
      <c r="X242" s="1" t="b">
        <v>1</v>
      </c>
      <c r="Y242" s="1">
        <v>56397</v>
      </c>
    </row>
    <row r="243" spans="1:25" x14ac:dyDescent="0.35">
      <c r="A243" s="1" t="s">
        <v>539</v>
      </c>
      <c r="B243" s="1" t="s">
        <v>54</v>
      </c>
      <c r="C243" s="1" t="s">
        <v>89</v>
      </c>
      <c r="D243" s="1" t="s">
        <v>11</v>
      </c>
      <c r="E243" s="1">
        <v>405</v>
      </c>
      <c r="F243" s="4">
        <v>40000000</v>
      </c>
      <c r="G243" s="4">
        <v>98765</v>
      </c>
      <c r="H243" s="1">
        <v>1</v>
      </c>
      <c r="I243" s="1">
        <v>2</v>
      </c>
      <c r="J243" s="1">
        <v>5</v>
      </c>
      <c r="K243" s="1" t="s">
        <v>58</v>
      </c>
      <c r="L243" s="1" t="s">
        <v>540</v>
      </c>
      <c r="M243" s="1">
        <v>6</v>
      </c>
      <c r="N243" s="1">
        <v>9</v>
      </c>
      <c r="O243" s="1">
        <v>107544</v>
      </c>
      <c r="P243" s="1">
        <v>3.23</v>
      </c>
      <c r="Q243" s="1" t="s">
        <v>14</v>
      </c>
      <c r="R243" s="3">
        <v>0.4113</v>
      </c>
      <c r="S243" s="2">
        <v>45557</v>
      </c>
      <c r="T243" s="1">
        <v>70</v>
      </c>
      <c r="U243" s="1" t="s">
        <v>23</v>
      </c>
      <c r="V243" s="1">
        <v>169</v>
      </c>
      <c r="W243" s="1" t="b">
        <v>0</v>
      </c>
      <c r="X243" s="1" t="b">
        <v>0</v>
      </c>
      <c r="Y243" s="1">
        <v>0</v>
      </c>
    </row>
    <row r="244" spans="1:25" x14ac:dyDescent="0.35">
      <c r="A244" s="1" t="s">
        <v>541</v>
      </c>
      <c r="B244" s="1" t="s">
        <v>18</v>
      </c>
      <c r="C244" s="1" t="s">
        <v>169</v>
      </c>
      <c r="D244" s="1" t="s">
        <v>27</v>
      </c>
      <c r="E244" s="1">
        <v>5716</v>
      </c>
      <c r="F244" s="4">
        <v>15000000</v>
      </c>
      <c r="G244" s="4">
        <v>2624</v>
      </c>
      <c r="H244" s="1">
        <v>4</v>
      </c>
      <c r="I244" s="1">
        <v>3</v>
      </c>
      <c r="J244" s="1">
        <v>2</v>
      </c>
      <c r="K244" s="1" t="s">
        <v>42</v>
      </c>
      <c r="L244" s="1" t="s">
        <v>542</v>
      </c>
      <c r="M244" s="1">
        <v>5</v>
      </c>
      <c r="N244" s="1">
        <v>10</v>
      </c>
      <c r="O244" s="1">
        <v>39632</v>
      </c>
      <c r="P244" s="1">
        <v>3.17</v>
      </c>
      <c r="Q244" s="1" t="s">
        <v>6</v>
      </c>
      <c r="R244" s="3">
        <v>0.40850000000000003</v>
      </c>
      <c r="S244" s="2">
        <v>45432</v>
      </c>
      <c r="T244" s="1">
        <v>314</v>
      </c>
      <c r="U244" s="1" t="s">
        <v>7</v>
      </c>
      <c r="V244" s="1">
        <v>160</v>
      </c>
      <c r="W244" s="1" t="b">
        <v>1</v>
      </c>
      <c r="X244" s="1" t="b">
        <v>0</v>
      </c>
      <c r="Y244" s="1">
        <v>0</v>
      </c>
    </row>
    <row r="245" spans="1:25" x14ac:dyDescent="0.35">
      <c r="A245" s="1" t="s">
        <v>543</v>
      </c>
      <c r="B245" s="1" t="s">
        <v>9</v>
      </c>
      <c r="C245" s="1" t="s">
        <v>10</v>
      </c>
      <c r="D245" s="1" t="s">
        <v>20</v>
      </c>
      <c r="E245" s="1">
        <v>3816</v>
      </c>
      <c r="F245" s="4">
        <v>50000000</v>
      </c>
      <c r="G245" s="4">
        <v>13102</v>
      </c>
      <c r="H245" s="1">
        <v>3</v>
      </c>
      <c r="I245" s="1">
        <v>1</v>
      </c>
      <c r="J245" s="1">
        <v>27</v>
      </c>
      <c r="K245" s="1" t="s">
        <v>34</v>
      </c>
      <c r="L245" s="1" t="s">
        <v>544</v>
      </c>
      <c r="M245" s="1">
        <v>4</v>
      </c>
      <c r="N245" s="1">
        <v>4</v>
      </c>
      <c r="O245" s="1">
        <v>205080</v>
      </c>
      <c r="P245" s="1">
        <v>4.92</v>
      </c>
      <c r="Q245" s="1" t="s">
        <v>14</v>
      </c>
      <c r="R245" s="3">
        <v>0.49609999999999999</v>
      </c>
      <c r="S245" s="2">
        <v>45861</v>
      </c>
      <c r="T245" s="1">
        <v>104</v>
      </c>
      <c r="U245" s="1" t="s">
        <v>30</v>
      </c>
      <c r="V245" s="1">
        <v>63</v>
      </c>
      <c r="W245" s="1" t="b">
        <v>1</v>
      </c>
      <c r="X245" s="1" t="b">
        <v>0</v>
      </c>
      <c r="Y245" s="1">
        <v>100000</v>
      </c>
    </row>
    <row r="246" spans="1:25" x14ac:dyDescent="0.35">
      <c r="A246" s="1" t="s">
        <v>545</v>
      </c>
      <c r="B246" s="1" t="s">
        <v>18</v>
      </c>
      <c r="C246" s="1" t="s">
        <v>19</v>
      </c>
      <c r="D246" s="1" t="s">
        <v>11</v>
      </c>
      <c r="E246" s="1">
        <v>528</v>
      </c>
      <c r="F246" s="4">
        <v>15000000</v>
      </c>
      <c r="G246" s="4">
        <v>28409</v>
      </c>
      <c r="H246" s="1">
        <v>0</v>
      </c>
      <c r="I246" s="1">
        <v>2</v>
      </c>
      <c r="J246" s="1">
        <v>7</v>
      </c>
      <c r="K246" s="1" t="s">
        <v>42</v>
      </c>
      <c r="L246" s="1" t="s">
        <v>546</v>
      </c>
      <c r="M246" s="1">
        <v>4</v>
      </c>
      <c r="N246" s="1">
        <v>6</v>
      </c>
      <c r="O246" s="1">
        <v>52502</v>
      </c>
      <c r="P246" s="1">
        <v>4.2</v>
      </c>
      <c r="Q246" s="1" t="s">
        <v>6</v>
      </c>
      <c r="R246" s="3">
        <v>0.46</v>
      </c>
      <c r="S246" s="2">
        <v>45906</v>
      </c>
      <c r="T246" s="1">
        <v>107</v>
      </c>
      <c r="U246" s="1" t="s">
        <v>23</v>
      </c>
      <c r="V246" s="1">
        <v>172</v>
      </c>
      <c r="W246" s="1" t="b">
        <v>1</v>
      </c>
      <c r="X246" s="1" t="b">
        <v>1</v>
      </c>
      <c r="Y246" s="1">
        <v>30000</v>
      </c>
    </row>
    <row r="247" spans="1:25" x14ac:dyDescent="0.35">
      <c r="A247" s="1" t="s">
        <v>547</v>
      </c>
      <c r="B247" s="1" t="s">
        <v>9</v>
      </c>
      <c r="C247" s="1" t="s">
        <v>142</v>
      </c>
      <c r="D247" s="1" t="s">
        <v>20</v>
      </c>
      <c r="E247" s="1">
        <v>1650</v>
      </c>
      <c r="F247" s="4">
        <v>50000000</v>
      </c>
      <c r="G247" s="4">
        <v>30303</v>
      </c>
      <c r="H247" s="1">
        <v>3</v>
      </c>
      <c r="I247" s="1">
        <v>1</v>
      </c>
      <c r="J247" s="1">
        <v>21</v>
      </c>
      <c r="K247" s="1" t="s">
        <v>61</v>
      </c>
      <c r="L247" s="1" t="s">
        <v>548</v>
      </c>
      <c r="M247" s="1">
        <v>7</v>
      </c>
      <c r="N247" s="1">
        <v>8</v>
      </c>
      <c r="O247" s="1">
        <v>148698</v>
      </c>
      <c r="P247" s="1">
        <v>3.57</v>
      </c>
      <c r="Q247" s="1" t="s">
        <v>14</v>
      </c>
      <c r="R247" s="3">
        <v>0.42840000000000006</v>
      </c>
      <c r="S247" s="2">
        <v>45480</v>
      </c>
      <c r="T247" s="1">
        <v>288</v>
      </c>
      <c r="U247" s="1" t="s">
        <v>30</v>
      </c>
      <c r="V247" s="1">
        <v>176</v>
      </c>
      <c r="W247" s="1" t="b">
        <v>1</v>
      </c>
      <c r="X247" s="1" t="b">
        <v>0</v>
      </c>
      <c r="Y247" s="1">
        <v>0</v>
      </c>
    </row>
    <row r="248" spans="1:25" x14ac:dyDescent="0.35">
      <c r="A248" s="1" t="s">
        <v>549</v>
      </c>
      <c r="B248" s="1" t="s">
        <v>9</v>
      </c>
      <c r="C248" s="1" t="s">
        <v>189</v>
      </c>
      <c r="D248" s="1" t="s">
        <v>20</v>
      </c>
      <c r="E248" s="1">
        <v>2822</v>
      </c>
      <c r="F248" s="4">
        <v>50000000</v>
      </c>
      <c r="G248" s="4">
        <v>17717</v>
      </c>
      <c r="H248" s="1">
        <v>4</v>
      </c>
      <c r="I248" s="1">
        <v>3</v>
      </c>
      <c r="J248" s="1">
        <v>26</v>
      </c>
      <c r="K248" s="1" t="s">
        <v>34</v>
      </c>
      <c r="L248" s="1" t="s">
        <v>550</v>
      </c>
      <c r="M248" s="1">
        <v>3</v>
      </c>
      <c r="N248" s="1">
        <v>7</v>
      </c>
      <c r="O248" s="1">
        <v>135168</v>
      </c>
      <c r="P248" s="1">
        <v>3.24</v>
      </c>
      <c r="Q248" s="1" t="s">
        <v>14</v>
      </c>
      <c r="R248" s="3">
        <v>0.41220000000000001</v>
      </c>
      <c r="S248" s="2">
        <v>45875</v>
      </c>
      <c r="T248" s="1">
        <v>108</v>
      </c>
      <c r="U248" s="1" t="s">
        <v>7</v>
      </c>
      <c r="V248" s="1">
        <v>164</v>
      </c>
      <c r="W248" s="1" t="b">
        <v>1</v>
      </c>
      <c r="X248" s="1" t="b">
        <v>1</v>
      </c>
      <c r="Y248" s="1">
        <v>100000</v>
      </c>
    </row>
    <row r="249" spans="1:25" x14ac:dyDescent="0.35">
      <c r="A249" s="1" t="s">
        <v>551</v>
      </c>
      <c r="B249" s="1" t="s">
        <v>32</v>
      </c>
      <c r="C249" s="1" t="s">
        <v>194</v>
      </c>
      <c r="D249" s="1" t="s">
        <v>38</v>
      </c>
      <c r="E249" s="1">
        <v>3718</v>
      </c>
      <c r="F249" s="4">
        <v>12000000</v>
      </c>
      <c r="G249" s="4">
        <v>3227</v>
      </c>
      <c r="H249" s="1">
        <v>5</v>
      </c>
      <c r="I249" s="1">
        <v>3</v>
      </c>
      <c r="J249" s="1">
        <v>13</v>
      </c>
      <c r="K249" s="1" t="s">
        <v>42</v>
      </c>
      <c r="L249" s="1" t="s">
        <v>552</v>
      </c>
      <c r="M249" s="1">
        <v>7</v>
      </c>
      <c r="N249" s="1">
        <v>6</v>
      </c>
      <c r="O249" s="1">
        <v>33598</v>
      </c>
      <c r="P249" s="1">
        <v>3.36</v>
      </c>
      <c r="Q249" s="1" t="s">
        <v>6</v>
      </c>
      <c r="R249" s="3">
        <v>0.41799999999999998</v>
      </c>
      <c r="S249" s="2">
        <v>45532</v>
      </c>
      <c r="T249" s="1">
        <v>1</v>
      </c>
      <c r="U249" s="1" t="s">
        <v>7</v>
      </c>
      <c r="V249" s="1">
        <v>79</v>
      </c>
      <c r="W249" s="1" t="b">
        <v>1</v>
      </c>
      <c r="X249" s="1" t="b">
        <v>1</v>
      </c>
      <c r="Y249" s="1">
        <v>0</v>
      </c>
    </row>
    <row r="250" spans="1:25" x14ac:dyDescent="0.35">
      <c r="A250" s="1" t="s">
        <v>553</v>
      </c>
      <c r="B250" s="1" t="s">
        <v>1</v>
      </c>
      <c r="C250" s="1" t="s">
        <v>2</v>
      </c>
      <c r="D250" s="1" t="s">
        <v>27</v>
      </c>
      <c r="E250" s="1">
        <v>7040</v>
      </c>
      <c r="F250" s="4">
        <v>10000000</v>
      </c>
      <c r="G250" s="4">
        <v>1420</v>
      </c>
      <c r="H250" s="1">
        <v>6</v>
      </c>
      <c r="I250" s="1">
        <v>4</v>
      </c>
      <c r="J250" s="1">
        <v>1</v>
      </c>
      <c r="K250" s="1" t="s">
        <v>4</v>
      </c>
      <c r="L250" s="1" t="s">
        <v>554</v>
      </c>
      <c r="M250" s="1">
        <v>5</v>
      </c>
      <c r="N250" s="1">
        <v>8</v>
      </c>
      <c r="O250" s="1">
        <v>29240</v>
      </c>
      <c r="P250" s="1">
        <v>3.51</v>
      </c>
      <c r="Q250" s="1" t="s">
        <v>6</v>
      </c>
      <c r="R250" s="3">
        <v>0.4254</v>
      </c>
      <c r="S250" s="2">
        <v>46087</v>
      </c>
      <c r="T250" s="1">
        <v>166</v>
      </c>
      <c r="U250" s="1" t="s">
        <v>7</v>
      </c>
      <c r="V250" s="1">
        <v>170</v>
      </c>
      <c r="W250" s="1" t="b">
        <v>1</v>
      </c>
      <c r="X250" s="1" t="b">
        <v>1</v>
      </c>
      <c r="Y250" s="1">
        <v>0</v>
      </c>
    </row>
    <row r="251" spans="1:25" x14ac:dyDescent="0.35">
      <c r="A251" s="1" t="s">
        <v>555</v>
      </c>
      <c r="B251" s="1" t="s">
        <v>54</v>
      </c>
      <c r="C251" s="1" t="s">
        <v>89</v>
      </c>
      <c r="D251" s="1" t="s">
        <v>38</v>
      </c>
      <c r="E251" s="1">
        <v>8046</v>
      </c>
      <c r="F251" s="4">
        <v>40000000</v>
      </c>
      <c r="G251" s="4">
        <v>4971</v>
      </c>
      <c r="H251" s="1">
        <v>4</v>
      </c>
      <c r="I251" s="1">
        <v>2</v>
      </c>
      <c r="J251" s="1">
        <v>6</v>
      </c>
      <c r="K251" s="1" t="s">
        <v>61</v>
      </c>
      <c r="L251" s="1" t="s">
        <v>556</v>
      </c>
      <c r="M251" s="1">
        <v>5</v>
      </c>
      <c r="N251" s="1">
        <v>7</v>
      </c>
      <c r="O251" s="1">
        <v>141813</v>
      </c>
      <c r="P251" s="1">
        <v>4.25</v>
      </c>
      <c r="Q251" s="1" t="s">
        <v>14</v>
      </c>
      <c r="R251" s="3">
        <v>0.46270000000000006</v>
      </c>
      <c r="S251" s="2">
        <v>45607</v>
      </c>
      <c r="T251" s="1">
        <v>29</v>
      </c>
      <c r="U251" s="1" t="s">
        <v>23</v>
      </c>
      <c r="V251" s="1">
        <v>135</v>
      </c>
      <c r="W251" s="1" t="b">
        <v>0</v>
      </c>
      <c r="X251" s="1" t="b">
        <v>0</v>
      </c>
      <c r="Y251" s="1">
        <v>80000</v>
      </c>
    </row>
    <row r="252" spans="1:25" x14ac:dyDescent="0.35">
      <c r="A252" s="1" t="s">
        <v>557</v>
      </c>
      <c r="B252" s="1" t="s">
        <v>25</v>
      </c>
      <c r="C252" s="1" t="s">
        <v>37</v>
      </c>
      <c r="D252" s="1" t="s">
        <v>20</v>
      </c>
      <c r="E252" s="1">
        <v>4774</v>
      </c>
      <c r="F252" s="4">
        <v>30000000</v>
      </c>
      <c r="G252" s="4">
        <v>6284</v>
      </c>
      <c r="H252" s="1">
        <v>4</v>
      </c>
      <c r="I252" s="1">
        <v>2</v>
      </c>
      <c r="J252" s="1">
        <v>4</v>
      </c>
      <c r="K252" s="1" t="s">
        <v>61</v>
      </c>
      <c r="L252" s="1" t="s">
        <v>558</v>
      </c>
      <c r="M252" s="1">
        <v>5</v>
      </c>
      <c r="N252" s="1">
        <v>10</v>
      </c>
      <c r="O252" s="1">
        <v>94478</v>
      </c>
      <c r="P252" s="1">
        <v>3.78</v>
      </c>
      <c r="Q252" s="1" t="s">
        <v>14</v>
      </c>
      <c r="R252" s="3">
        <v>0.439</v>
      </c>
      <c r="S252" s="2">
        <v>45547</v>
      </c>
      <c r="T252" s="1">
        <v>362</v>
      </c>
      <c r="U252" s="1" t="s">
        <v>7</v>
      </c>
      <c r="V252" s="1">
        <v>108</v>
      </c>
      <c r="W252" s="1" t="b">
        <v>0</v>
      </c>
      <c r="X252" s="1" t="b">
        <v>1</v>
      </c>
      <c r="Y252" s="1">
        <v>0</v>
      </c>
    </row>
    <row r="253" spans="1:25" x14ac:dyDescent="0.35">
      <c r="A253" s="1" t="s">
        <v>559</v>
      </c>
      <c r="B253" s="1" t="s">
        <v>18</v>
      </c>
      <c r="C253" s="1" t="s">
        <v>169</v>
      </c>
      <c r="D253" s="1" t="s">
        <v>11</v>
      </c>
      <c r="E253" s="1">
        <v>371</v>
      </c>
      <c r="F253" s="4">
        <v>15000000</v>
      </c>
      <c r="G253" s="4">
        <v>40431</v>
      </c>
      <c r="H253" s="1">
        <v>1</v>
      </c>
      <c r="I253" s="1">
        <v>2</v>
      </c>
      <c r="J253" s="1">
        <v>26</v>
      </c>
      <c r="K253" s="1" t="s">
        <v>12</v>
      </c>
      <c r="L253" s="1" t="s">
        <v>560</v>
      </c>
      <c r="M253" s="1">
        <v>5</v>
      </c>
      <c r="N253" s="1">
        <v>4</v>
      </c>
      <c r="O253" s="1">
        <v>56944</v>
      </c>
      <c r="P253" s="1">
        <v>4.5599999999999996</v>
      </c>
      <c r="Q253" s="1" t="s">
        <v>6</v>
      </c>
      <c r="R253" s="3">
        <v>0.4778</v>
      </c>
      <c r="S253" s="2">
        <v>46062</v>
      </c>
      <c r="T253" s="1">
        <v>257</v>
      </c>
      <c r="U253" s="1" t="s">
        <v>7</v>
      </c>
      <c r="V253" s="1">
        <v>153</v>
      </c>
      <c r="W253" s="1" t="b">
        <v>1</v>
      </c>
      <c r="X253" s="1" t="b">
        <v>1</v>
      </c>
      <c r="Y253" s="1">
        <v>0</v>
      </c>
    </row>
    <row r="254" spans="1:25" x14ac:dyDescent="0.35">
      <c r="A254" s="1" t="s">
        <v>561</v>
      </c>
      <c r="B254" s="1" t="s">
        <v>18</v>
      </c>
      <c r="C254" s="1" t="s">
        <v>243</v>
      </c>
      <c r="D254" s="1" t="s">
        <v>38</v>
      </c>
      <c r="E254" s="1">
        <v>5542</v>
      </c>
      <c r="F254" s="4">
        <v>15000000</v>
      </c>
      <c r="G254" s="4">
        <v>2706</v>
      </c>
      <c r="H254" s="1">
        <v>5</v>
      </c>
      <c r="I254" s="1">
        <v>2</v>
      </c>
      <c r="J254" s="1">
        <v>24</v>
      </c>
      <c r="K254" s="1" t="s">
        <v>28</v>
      </c>
      <c r="L254" s="1" t="s">
        <v>562</v>
      </c>
      <c r="M254" s="1">
        <v>3</v>
      </c>
      <c r="N254" s="1">
        <v>6</v>
      </c>
      <c r="O254" s="1">
        <v>55341</v>
      </c>
      <c r="P254" s="1">
        <v>4.43</v>
      </c>
      <c r="Q254" s="1" t="s">
        <v>6</v>
      </c>
      <c r="R254" s="3">
        <v>0.47139999999999999</v>
      </c>
      <c r="S254" s="2">
        <v>45622</v>
      </c>
      <c r="T254" s="1">
        <v>352</v>
      </c>
      <c r="U254" s="1" t="s">
        <v>7</v>
      </c>
      <c r="V254" s="1">
        <v>41</v>
      </c>
      <c r="W254" s="1" t="b">
        <v>1</v>
      </c>
      <c r="X254" s="1" t="b">
        <v>0</v>
      </c>
      <c r="Y254" s="1">
        <v>0</v>
      </c>
    </row>
    <row r="255" spans="1:25" x14ac:dyDescent="0.35">
      <c r="A255" s="1" t="s">
        <v>563</v>
      </c>
      <c r="B255" s="1" t="s">
        <v>9</v>
      </c>
      <c r="C255" s="1" t="s">
        <v>189</v>
      </c>
      <c r="D255" s="1" t="s">
        <v>38</v>
      </c>
      <c r="E255" s="1">
        <v>9276</v>
      </c>
      <c r="F255" s="4">
        <v>50000000</v>
      </c>
      <c r="G255" s="4">
        <v>5390</v>
      </c>
      <c r="H255" s="1">
        <v>6</v>
      </c>
      <c r="I255" s="1">
        <v>4</v>
      </c>
      <c r="J255" s="1">
        <v>0</v>
      </c>
      <c r="K255" s="1" t="s">
        <v>12</v>
      </c>
      <c r="L255" s="1" t="s">
        <v>564</v>
      </c>
      <c r="M255" s="1">
        <v>7</v>
      </c>
      <c r="N255" s="1">
        <v>6</v>
      </c>
      <c r="O255" s="1">
        <v>180927</v>
      </c>
      <c r="P255" s="1">
        <v>4.34</v>
      </c>
      <c r="Q255" s="1" t="s">
        <v>14</v>
      </c>
      <c r="R255" s="3">
        <v>0.46710000000000002</v>
      </c>
      <c r="S255" s="2">
        <v>45877</v>
      </c>
      <c r="T255" s="1">
        <v>8</v>
      </c>
      <c r="U255" s="1" t="s">
        <v>7</v>
      </c>
      <c r="V255" s="1">
        <v>59</v>
      </c>
      <c r="W255" s="1" t="b">
        <v>1</v>
      </c>
      <c r="X255" s="1" t="b">
        <v>1</v>
      </c>
      <c r="Y255" s="1">
        <v>0</v>
      </c>
    </row>
    <row r="256" spans="1:25" x14ac:dyDescent="0.35">
      <c r="A256" s="1" t="s">
        <v>565</v>
      </c>
      <c r="B256" s="1" t="s">
        <v>32</v>
      </c>
      <c r="C256" s="1" t="s">
        <v>200</v>
      </c>
      <c r="D256" s="1" t="s">
        <v>20</v>
      </c>
      <c r="E256" s="1">
        <v>2079</v>
      </c>
      <c r="F256" s="4">
        <v>12000000</v>
      </c>
      <c r="G256" s="4">
        <v>5772</v>
      </c>
      <c r="H256" s="1">
        <v>4</v>
      </c>
      <c r="I256" s="1">
        <v>2</v>
      </c>
      <c r="J256" s="1">
        <v>5</v>
      </c>
      <c r="K256" s="1" t="s">
        <v>28</v>
      </c>
      <c r="L256" s="1" t="s">
        <v>566</v>
      </c>
      <c r="M256" s="1">
        <v>3</v>
      </c>
      <c r="N256" s="1">
        <v>7</v>
      </c>
      <c r="O256" s="1">
        <v>39414</v>
      </c>
      <c r="P256" s="1">
        <v>3.94</v>
      </c>
      <c r="Q256" s="1" t="s">
        <v>6</v>
      </c>
      <c r="R256" s="3">
        <v>0.4471</v>
      </c>
      <c r="S256" s="2">
        <v>45465</v>
      </c>
      <c r="T256" s="1">
        <v>45</v>
      </c>
      <c r="U256" s="1" t="s">
        <v>7</v>
      </c>
      <c r="V256" s="1">
        <v>43</v>
      </c>
      <c r="W256" s="1" t="b">
        <v>0</v>
      </c>
      <c r="X256" s="1" t="b">
        <v>0</v>
      </c>
      <c r="Y256" s="1">
        <v>24000</v>
      </c>
    </row>
    <row r="257" spans="1:25" x14ac:dyDescent="0.35">
      <c r="A257" s="1" t="s">
        <v>567</v>
      </c>
      <c r="B257" s="1" t="s">
        <v>1</v>
      </c>
      <c r="C257" s="1" t="s">
        <v>51</v>
      </c>
      <c r="D257" s="1" t="s">
        <v>38</v>
      </c>
      <c r="E257" s="1">
        <v>8156</v>
      </c>
      <c r="F257" s="4">
        <v>10000000</v>
      </c>
      <c r="G257" s="4">
        <v>1226</v>
      </c>
      <c r="H257" s="1">
        <v>6</v>
      </c>
      <c r="I257" s="1">
        <v>4</v>
      </c>
      <c r="J257" s="1">
        <v>19</v>
      </c>
      <c r="K257" s="1" t="s">
        <v>58</v>
      </c>
      <c r="L257" s="1" t="s">
        <v>568</v>
      </c>
      <c r="M257" s="1">
        <v>5</v>
      </c>
      <c r="N257" s="1">
        <v>4</v>
      </c>
      <c r="O257" s="1">
        <v>37595</v>
      </c>
      <c r="P257" s="1">
        <v>4.51</v>
      </c>
      <c r="Q257" s="1" t="s">
        <v>6</v>
      </c>
      <c r="R257" s="3">
        <v>0.47560000000000002</v>
      </c>
      <c r="S257" s="2">
        <v>45680</v>
      </c>
      <c r="T257" s="1">
        <v>50</v>
      </c>
      <c r="U257" s="1" t="s">
        <v>7</v>
      </c>
      <c r="V257" s="1">
        <v>149</v>
      </c>
      <c r="W257" s="1" t="b">
        <v>0</v>
      </c>
      <c r="X257" s="1" t="b">
        <v>0</v>
      </c>
      <c r="Y257" s="1">
        <v>0</v>
      </c>
    </row>
    <row r="258" spans="1:25" x14ac:dyDescent="0.35">
      <c r="A258" s="1" t="s">
        <v>569</v>
      </c>
      <c r="B258" s="1" t="s">
        <v>18</v>
      </c>
      <c r="C258" s="1" t="s">
        <v>217</v>
      </c>
      <c r="D258" s="1" t="s">
        <v>27</v>
      </c>
      <c r="E258" s="1">
        <v>3177</v>
      </c>
      <c r="F258" s="4">
        <v>15000000</v>
      </c>
      <c r="G258" s="4">
        <v>4721</v>
      </c>
      <c r="H258" s="1">
        <v>5</v>
      </c>
      <c r="I258" s="1">
        <v>3</v>
      </c>
      <c r="J258" s="1">
        <v>12</v>
      </c>
      <c r="K258" s="1" t="s">
        <v>28</v>
      </c>
      <c r="L258" s="1" t="s">
        <v>570</v>
      </c>
      <c r="M258" s="1">
        <v>4</v>
      </c>
      <c r="N258" s="1">
        <v>5</v>
      </c>
      <c r="O258" s="1">
        <v>40322</v>
      </c>
      <c r="P258" s="1">
        <v>3.23</v>
      </c>
      <c r="Q258" s="1" t="s">
        <v>6</v>
      </c>
      <c r="R258" s="3">
        <v>0.4113</v>
      </c>
      <c r="S258" s="2">
        <v>45666</v>
      </c>
      <c r="T258" s="1">
        <v>179</v>
      </c>
      <c r="U258" s="1" t="s">
        <v>7</v>
      </c>
      <c r="V258" s="1">
        <v>102</v>
      </c>
      <c r="W258" s="1" t="b">
        <v>1</v>
      </c>
      <c r="X258" s="1" t="b">
        <v>1</v>
      </c>
      <c r="Y258" s="1">
        <v>0</v>
      </c>
    </row>
    <row r="259" spans="1:25" x14ac:dyDescent="0.35">
      <c r="A259" s="1" t="s">
        <v>571</v>
      </c>
      <c r="B259" s="1" t="s">
        <v>1</v>
      </c>
      <c r="C259" s="1" t="s">
        <v>2</v>
      </c>
      <c r="D259" s="1" t="s">
        <v>20</v>
      </c>
      <c r="E259" s="1">
        <v>3777</v>
      </c>
      <c r="F259" s="4">
        <v>10000000</v>
      </c>
      <c r="G259" s="4">
        <v>2647</v>
      </c>
      <c r="H259" s="1">
        <v>2</v>
      </c>
      <c r="I259" s="1">
        <v>2</v>
      </c>
      <c r="J259" s="1">
        <v>17</v>
      </c>
      <c r="K259" s="1" t="s">
        <v>61</v>
      </c>
      <c r="L259" s="1" t="s">
        <v>572</v>
      </c>
      <c r="M259" s="1">
        <v>6</v>
      </c>
      <c r="N259" s="1">
        <v>9</v>
      </c>
      <c r="O259" s="1">
        <v>31396</v>
      </c>
      <c r="P259" s="1">
        <v>3.77</v>
      </c>
      <c r="Q259" s="1" t="s">
        <v>6</v>
      </c>
      <c r="R259" s="3">
        <v>0.43840000000000001</v>
      </c>
      <c r="S259" s="2">
        <v>45808</v>
      </c>
      <c r="T259" s="1">
        <v>223</v>
      </c>
      <c r="U259" s="1" t="s">
        <v>7</v>
      </c>
      <c r="V259" s="1">
        <v>140</v>
      </c>
      <c r="W259" s="1" t="b">
        <v>0</v>
      </c>
      <c r="X259" s="1" t="b">
        <v>1</v>
      </c>
      <c r="Y259" s="1">
        <v>20000</v>
      </c>
    </row>
    <row r="260" spans="1:25" x14ac:dyDescent="0.35">
      <c r="A260" s="1" t="s">
        <v>573</v>
      </c>
      <c r="B260" s="1" t="s">
        <v>1</v>
      </c>
      <c r="C260" s="1" t="s">
        <v>45</v>
      </c>
      <c r="D260" s="1" t="s">
        <v>3</v>
      </c>
      <c r="E260" s="1">
        <v>2751</v>
      </c>
      <c r="F260" s="4">
        <v>10000000</v>
      </c>
      <c r="G260" s="4">
        <v>3635</v>
      </c>
      <c r="H260" s="1">
        <v>4</v>
      </c>
      <c r="I260" s="1">
        <v>2</v>
      </c>
      <c r="J260" s="1">
        <v>18</v>
      </c>
      <c r="K260" s="1" t="s">
        <v>21</v>
      </c>
      <c r="L260" s="1" t="s">
        <v>574</v>
      </c>
      <c r="M260" s="1">
        <v>7</v>
      </c>
      <c r="N260" s="1">
        <v>7</v>
      </c>
      <c r="O260" s="1">
        <v>26812</v>
      </c>
      <c r="P260" s="1">
        <v>3.22</v>
      </c>
      <c r="Q260" s="1" t="s">
        <v>6</v>
      </c>
      <c r="R260" s="3">
        <v>0.41090000000000004</v>
      </c>
      <c r="S260" s="2">
        <v>45546</v>
      </c>
      <c r="T260" s="1">
        <v>254</v>
      </c>
      <c r="U260" s="1" t="s">
        <v>30</v>
      </c>
      <c r="V260" s="1">
        <v>113</v>
      </c>
      <c r="W260" s="1" t="b">
        <v>1</v>
      </c>
      <c r="X260" s="1" t="b">
        <v>1</v>
      </c>
      <c r="Y260" s="1">
        <v>20000</v>
      </c>
    </row>
    <row r="261" spans="1:25" x14ac:dyDescent="0.35">
      <c r="A261" s="1" t="s">
        <v>575</v>
      </c>
      <c r="B261" s="1" t="s">
        <v>25</v>
      </c>
      <c r="C261" s="1" t="s">
        <v>37</v>
      </c>
      <c r="D261" s="1" t="s">
        <v>3</v>
      </c>
      <c r="E261" s="1">
        <v>1000</v>
      </c>
      <c r="F261" s="4">
        <v>30000000</v>
      </c>
      <c r="G261" s="4">
        <v>30000</v>
      </c>
      <c r="H261" s="1">
        <v>2</v>
      </c>
      <c r="I261" s="1">
        <v>2</v>
      </c>
      <c r="J261" s="1">
        <v>17</v>
      </c>
      <c r="K261" s="1" t="s">
        <v>12</v>
      </c>
      <c r="L261" s="1" t="s">
        <v>576</v>
      </c>
      <c r="M261" s="1">
        <v>5</v>
      </c>
      <c r="N261" s="1">
        <v>7</v>
      </c>
      <c r="O261" s="1">
        <v>114717</v>
      </c>
      <c r="P261" s="1">
        <v>4.59</v>
      </c>
      <c r="Q261" s="1" t="s">
        <v>14</v>
      </c>
      <c r="R261" s="3">
        <v>0.47939999999999999</v>
      </c>
      <c r="S261" s="2">
        <v>45461</v>
      </c>
      <c r="T261" s="1">
        <v>46</v>
      </c>
      <c r="U261" s="1" t="s">
        <v>7</v>
      </c>
      <c r="V261" s="1">
        <v>118</v>
      </c>
      <c r="W261" s="1" t="b">
        <v>1</v>
      </c>
      <c r="X261" s="1" t="b">
        <v>0</v>
      </c>
      <c r="Y261" s="1">
        <v>60000</v>
      </c>
    </row>
    <row r="262" spans="1:25" x14ac:dyDescent="0.35">
      <c r="A262" s="1" t="s">
        <v>577</v>
      </c>
      <c r="B262" s="1" t="s">
        <v>54</v>
      </c>
      <c r="C262" s="1" t="s">
        <v>64</v>
      </c>
      <c r="D262" s="1" t="s">
        <v>20</v>
      </c>
      <c r="E262" s="1">
        <v>3748</v>
      </c>
      <c r="F262" s="4">
        <v>40000000</v>
      </c>
      <c r="G262" s="4">
        <v>10672</v>
      </c>
      <c r="H262" s="1">
        <v>2</v>
      </c>
      <c r="I262" s="1">
        <v>1</v>
      </c>
      <c r="J262" s="1">
        <v>22</v>
      </c>
      <c r="K262" s="1" t="s">
        <v>21</v>
      </c>
      <c r="L262" s="1" t="s">
        <v>578</v>
      </c>
      <c r="M262" s="1">
        <v>7</v>
      </c>
      <c r="N262" s="1">
        <v>8</v>
      </c>
      <c r="O262" s="1">
        <v>147451</v>
      </c>
      <c r="P262" s="1">
        <v>4.42</v>
      </c>
      <c r="Q262" s="1" t="s">
        <v>14</v>
      </c>
      <c r="R262" s="3">
        <v>0.47119999999999995</v>
      </c>
      <c r="S262" s="2">
        <v>45741</v>
      </c>
      <c r="T262" s="1">
        <v>340</v>
      </c>
      <c r="U262" s="1" t="s">
        <v>7</v>
      </c>
      <c r="V262" s="1">
        <v>84</v>
      </c>
      <c r="W262" s="1" t="b">
        <v>1</v>
      </c>
      <c r="X262" s="1" t="b">
        <v>0</v>
      </c>
      <c r="Y262" s="1">
        <v>80000</v>
      </c>
    </row>
    <row r="263" spans="1:25" x14ac:dyDescent="0.35">
      <c r="A263" s="1" t="s">
        <v>579</v>
      </c>
      <c r="B263" s="1" t="s">
        <v>25</v>
      </c>
      <c r="C263" s="1" t="s">
        <v>37</v>
      </c>
      <c r="D263" s="1" t="s">
        <v>11</v>
      </c>
      <c r="E263" s="1">
        <v>434</v>
      </c>
      <c r="F263" s="4">
        <v>30000000</v>
      </c>
      <c r="G263" s="4">
        <v>69124</v>
      </c>
      <c r="H263" s="1">
        <v>1</v>
      </c>
      <c r="I263" s="1">
        <v>1</v>
      </c>
      <c r="J263" s="1">
        <v>9</v>
      </c>
      <c r="K263" s="1" t="s">
        <v>42</v>
      </c>
      <c r="L263" s="1" t="s">
        <v>580</v>
      </c>
      <c r="M263" s="1">
        <v>8</v>
      </c>
      <c r="N263" s="1">
        <v>9</v>
      </c>
      <c r="O263" s="1">
        <v>123748</v>
      </c>
      <c r="P263" s="1">
        <v>4.95</v>
      </c>
      <c r="Q263" s="1" t="s">
        <v>14</v>
      </c>
      <c r="R263" s="3">
        <v>0.4975</v>
      </c>
      <c r="S263" s="2">
        <v>46017</v>
      </c>
      <c r="T263" s="1">
        <v>234</v>
      </c>
      <c r="U263" s="1" t="s">
        <v>7</v>
      </c>
      <c r="V263" s="1">
        <v>136</v>
      </c>
      <c r="W263" s="1" t="b">
        <v>0</v>
      </c>
      <c r="X263" s="1" t="b">
        <v>1</v>
      </c>
      <c r="Y263" s="1">
        <v>0</v>
      </c>
    </row>
    <row r="264" spans="1:25" x14ac:dyDescent="0.35">
      <c r="A264" s="1" t="s">
        <v>581</v>
      </c>
      <c r="B264" s="1" t="s">
        <v>32</v>
      </c>
      <c r="C264" s="1" t="s">
        <v>197</v>
      </c>
      <c r="D264" s="1" t="s">
        <v>38</v>
      </c>
      <c r="E264" s="1">
        <v>9718</v>
      </c>
      <c r="F264" s="4">
        <v>12000000</v>
      </c>
      <c r="G264" s="4">
        <v>1234</v>
      </c>
      <c r="H264" s="1">
        <v>5</v>
      </c>
      <c r="I264" s="1">
        <v>3</v>
      </c>
      <c r="J264" s="1">
        <v>11</v>
      </c>
      <c r="K264" s="1" t="s">
        <v>42</v>
      </c>
      <c r="L264" s="1" t="s">
        <v>582</v>
      </c>
      <c r="M264" s="1">
        <v>4</v>
      </c>
      <c r="N264" s="1">
        <v>8</v>
      </c>
      <c r="O264" s="1">
        <v>34734</v>
      </c>
      <c r="P264" s="1">
        <v>3.47</v>
      </c>
      <c r="Q264" s="1" t="s">
        <v>6</v>
      </c>
      <c r="R264" s="3">
        <v>0.42369999999999997</v>
      </c>
      <c r="S264" s="2">
        <v>45643</v>
      </c>
      <c r="T264" s="1">
        <v>188</v>
      </c>
      <c r="U264" s="1" t="s">
        <v>7</v>
      </c>
      <c r="V264" s="1">
        <v>177</v>
      </c>
      <c r="W264" s="1" t="b">
        <v>1</v>
      </c>
      <c r="X264" s="1" t="b">
        <v>1</v>
      </c>
      <c r="Y264" s="1">
        <v>0</v>
      </c>
    </row>
    <row r="265" spans="1:25" x14ac:dyDescent="0.35">
      <c r="A265" s="1" t="s">
        <v>583</v>
      </c>
      <c r="B265" s="1" t="s">
        <v>1</v>
      </c>
      <c r="C265" s="1" t="s">
        <v>97</v>
      </c>
      <c r="D265" s="1" t="s">
        <v>3</v>
      </c>
      <c r="E265" s="1">
        <v>2776</v>
      </c>
      <c r="F265" s="4">
        <v>10000000</v>
      </c>
      <c r="G265" s="4">
        <v>3602</v>
      </c>
      <c r="H265" s="1">
        <v>4</v>
      </c>
      <c r="I265" s="1">
        <v>2</v>
      </c>
      <c r="J265" s="1">
        <v>4</v>
      </c>
      <c r="K265" s="1" t="s">
        <v>42</v>
      </c>
      <c r="L265" s="1" t="s">
        <v>584</v>
      </c>
      <c r="M265" s="1">
        <v>8</v>
      </c>
      <c r="N265" s="1">
        <v>9</v>
      </c>
      <c r="O265" s="1">
        <v>36062</v>
      </c>
      <c r="P265" s="1">
        <v>4.33</v>
      </c>
      <c r="Q265" s="1" t="s">
        <v>6</v>
      </c>
      <c r="R265" s="3">
        <v>0.46639999999999998</v>
      </c>
      <c r="S265" s="2">
        <v>45472</v>
      </c>
      <c r="T265" s="1">
        <v>297</v>
      </c>
      <c r="U265" s="1" t="s">
        <v>7</v>
      </c>
      <c r="V265" s="1">
        <v>168</v>
      </c>
      <c r="W265" s="1" t="b">
        <v>0</v>
      </c>
      <c r="X265" s="1" t="b">
        <v>1</v>
      </c>
      <c r="Y265" s="1">
        <v>0</v>
      </c>
    </row>
    <row r="266" spans="1:25" x14ac:dyDescent="0.35">
      <c r="A266" s="1" t="s">
        <v>585</v>
      </c>
      <c r="B266" s="1" t="s">
        <v>32</v>
      </c>
      <c r="C266" s="1" t="s">
        <v>33</v>
      </c>
      <c r="D266" s="1" t="s">
        <v>11</v>
      </c>
      <c r="E266" s="1">
        <v>482</v>
      </c>
      <c r="F266" s="4">
        <v>12000000</v>
      </c>
      <c r="G266" s="4">
        <v>24896</v>
      </c>
      <c r="H266" s="1">
        <v>1</v>
      </c>
      <c r="I266" s="1">
        <v>2</v>
      </c>
      <c r="J266" s="1">
        <v>13</v>
      </c>
      <c r="K266" s="1" t="s">
        <v>34</v>
      </c>
      <c r="L266" s="1" t="s">
        <v>586</v>
      </c>
      <c r="M266" s="1">
        <v>5</v>
      </c>
      <c r="N266" s="1">
        <v>8</v>
      </c>
      <c r="O266" s="1">
        <v>41274</v>
      </c>
      <c r="P266" s="1">
        <v>4.13</v>
      </c>
      <c r="Q266" s="1" t="s">
        <v>6</v>
      </c>
      <c r="R266" s="3">
        <v>0.45640000000000003</v>
      </c>
      <c r="S266" s="2">
        <v>46094</v>
      </c>
      <c r="T266" s="1">
        <v>294</v>
      </c>
      <c r="U266" s="1" t="s">
        <v>30</v>
      </c>
      <c r="V266" s="1">
        <v>73</v>
      </c>
      <c r="W266" s="1" t="b">
        <v>1</v>
      </c>
      <c r="X266" s="1" t="b">
        <v>0</v>
      </c>
      <c r="Y266" s="1">
        <v>24000</v>
      </c>
    </row>
    <row r="267" spans="1:25" x14ac:dyDescent="0.35">
      <c r="A267" s="1" t="s">
        <v>587</v>
      </c>
      <c r="B267" s="1" t="s">
        <v>54</v>
      </c>
      <c r="C267" s="1" t="s">
        <v>89</v>
      </c>
      <c r="D267" s="1" t="s">
        <v>3</v>
      </c>
      <c r="E267" s="1">
        <v>919</v>
      </c>
      <c r="F267" s="4">
        <v>40000000</v>
      </c>
      <c r="G267" s="4">
        <v>43525</v>
      </c>
      <c r="H267" s="1">
        <v>1</v>
      </c>
      <c r="I267" s="1">
        <v>2</v>
      </c>
      <c r="J267" s="1">
        <v>8</v>
      </c>
      <c r="K267" s="1" t="s">
        <v>34</v>
      </c>
      <c r="L267" s="1" t="s">
        <v>588</v>
      </c>
      <c r="M267" s="1">
        <v>4</v>
      </c>
      <c r="N267" s="1">
        <v>9</v>
      </c>
      <c r="O267" s="1">
        <v>107436</v>
      </c>
      <c r="P267" s="1">
        <v>3.22</v>
      </c>
      <c r="Q267" s="1" t="s">
        <v>14</v>
      </c>
      <c r="R267" s="3">
        <v>0.41119999999999995</v>
      </c>
      <c r="S267" s="2">
        <v>45978</v>
      </c>
      <c r="T267" s="1">
        <v>338</v>
      </c>
      <c r="U267" s="1" t="s">
        <v>23</v>
      </c>
      <c r="V267" s="1">
        <v>68</v>
      </c>
      <c r="W267" s="1" t="b">
        <v>0</v>
      </c>
      <c r="X267" s="1" t="b">
        <v>0</v>
      </c>
      <c r="Y267" s="1">
        <v>80000</v>
      </c>
    </row>
    <row r="268" spans="1:25" x14ac:dyDescent="0.35">
      <c r="A268" s="1" t="s">
        <v>589</v>
      </c>
      <c r="B268" s="1" t="s">
        <v>54</v>
      </c>
      <c r="C268" s="1" t="s">
        <v>104</v>
      </c>
      <c r="D268" s="1" t="s">
        <v>27</v>
      </c>
      <c r="E268" s="1">
        <v>5972</v>
      </c>
      <c r="F268" s="4">
        <v>40000000</v>
      </c>
      <c r="G268" s="4">
        <v>6697</v>
      </c>
      <c r="H268" s="1">
        <v>4</v>
      </c>
      <c r="I268" s="1">
        <v>2</v>
      </c>
      <c r="J268" s="1">
        <v>10</v>
      </c>
      <c r="K268" s="1" t="s">
        <v>21</v>
      </c>
      <c r="L268" s="1" t="s">
        <v>590</v>
      </c>
      <c r="M268" s="1">
        <v>3</v>
      </c>
      <c r="N268" s="1">
        <v>5</v>
      </c>
      <c r="O268" s="1">
        <v>115863</v>
      </c>
      <c r="P268" s="1">
        <v>3.48</v>
      </c>
      <c r="Q268" s="1" t="s">
        <v>14</v>
      </c>
      <c r="R268" s="3">
        <v>0.42380000000000001</v>
      </c>
      <c r="S268" s="2">
        <v>45706</v>
      </c>
      <c r="T268" s="1">
        <v>296</v>
      </c>
      <c r="U268" s="1" t="s">
        <v>30</v>
      </c>
      <c r="V268" s="1">
        <v>83</v>
      </c>
      <c r="W268" s="1" t="b">
        <v>0</v>
      </c>
      <c r="X268" s="1" t="b">
        <v>1</v>
      </c>
      <c r="Y268" s="1">
        <v>0</v>
      </c>
    </row>
    <row r="269" spans="1:25" x14ac:dyDescent="0.35">
      <c r="A269" s="1" t="s">
        <v>591</v>
      </c>
      <c r="B269" s="1" t="s">
        <v>9</v>
      </c>
      <c r="C269" s="1" t="s">
        <v>189</v>
      </c>
      <c r="D269" s="1" t="s">
        <v>27</v>
      </c>
      <c r="E269" s="1">
        <v>5801</v>
      </c>
      <c r="F269" s="4">
        <v>50000000</v>
      </c>
      <c r="G269" s="4">
        <v>8619</v>
      </c>
      <c r="H269" s="1">
        <v>6</v>
      </c>
      <c r="I269" s="1">
        <v>4</v>
      </c>
      <c r="J269" s="1">
        <v>9</v>
      </c>
      <c r="K269" s="1" t="s">
        <v>42</v>
      </c>
      <c r="L269" s="1" t="s">
        <v>592</v>
      </c>
      <c r="M269" s="1">
        <v>6</v>
      </c>
      <c r="N269" s="1">
        <v>10</v>
      </c>
      <c r="O269" s="1">
        <v>169203</v>
      </c>
      <c r="P269" s="1">
        <v>4.0599999999999996</v>
      </c>
      <c r="Q269" s="1" t="s">
        <v>14</v>
      </c>
      <c r="R269" s="3">
        <v>0.45299999999999996</v>
      </c>
      <c r="S269" s="2">
        <v>45711</v>
      </c>
      <c r="T269" s="1">
        <v>196</v>
      </c>
      <c r="U269" s="1" t="s">
        <v>7</v>
      </c>
      <c r="V269" s="1">
        <v>144</v>
      </c>
      <c r="W269" s="1" t="b">
        <v>0</v>
      </c>
      <c r="X269" s="1" t="b">
        <v>1</v>
      </c>
      <c r="Y269" s="1">
        <v>100000</v>
      </c>
    </row>
    <row r="270" spans="1:25" x14ac:dyDescent="0.35">
      <c r="A270" s="1" t="s">
        <v>593</v>
      </c>
      <c r="B270" s="1" t="s">
        <v>32</v>
      </c>
      <c r="C270" s="1" t="s">
        <v>194</v>
      </c>
      <c r="D270" s="1" t="s">
        <v>20</v>
      </c>
      <c r="E270" s="1">
        <v>4958</v>
      </c>
      <c r="F270" s="4">
        <v>12000000</v>
      </c>
      <c r="G270" s="4">
        <v>2420</v>
      </c>
      <c r="H270" s="1">
        <v>5</v>
      </c>
      <c r="I270" s="1">
        <v>3</v>
      </c>
      <c r="J270" s="1">
        <v>10</v>
      </c>
      <c r="K270" s="1" t="s">
        <v>21</v>
      </c>
      <c r="L270" s="1" t="s">
        <v>594</v>
      </c>
      <c r="M270" s="1">
        <v>5</v>
      </c>
      <c r="N270" s="1">
        <v>8</v>
      </c>
      <c r="O270" s="1">
        <v>43505</v>
      </c>
      <c r="P270" s="1">
        <v>4.3499999999999996</v>
      </c>
      <c r="Q270" s="1" t="s">
        <v>6</v>
      </c>
      <c r="R270" s="3">
        <v>0.46750000000000003</v>
      </c>
      <c r="S270" s="2">
        <v>45909</v>
      </c>
      <c r="T270" s="1">
        <v>267</v>
      </c>
      <c r="U270" s="1" t="s">
        <v>30</v>
      </c>
      <c r="V270" s="1">
        <v>79</v>
      </c>
      <c r="W270" s="1" t="b">
        <v>0</v>
      </c>
      <c r="X270" s="1" t="b">
        <v>1</v>
      </c>
      <c r="Y270" s="1">
        <v>0</v>
      </c>
    </row>
    <row r="271" spans="1:25" x14ac:dyDescent="0.35">
      <c r="A271" s="1" t="s">
        <v>595</v>
      </c>
      <c r="B271" s="1" t="s">
        <v>32</v>
      </c>
      <c r="C271" s="1" t="s">
        <v>33</v>
      </c>
      <c r="D271" s="1" t="s">
        <v>3</v>
      </c>
      <c r="E271" s="1">
        <v>678</v>
      </c>
      <c r="F271" s="4">
        <v>12000000</v>
      </c>
      <c r="G271" s="4">
        <v>17699</v>
      </c>
      <c r="H271" s="1">
        <v>1</v>
      </c>
      <c r="I271" s="1">
        <v>2</v>
      </c>
      <c r="J271" s="1">
        <v>3</v>
      </c>
      <c r="K271" s="1" t="s">
        <v>4</v>
      </c>
      <c r="L271" s="1" t="s">
        <v>596</v>
      </c>
      <c r="M271" s="1">
        <v>7</v>
      </c>
      <c r="N271" s="1">
        <v>9</v>
      </c>
      <c r="O271" s="1">
        <v>42387</v>
      </c>
      <c r="P271" s="1">
        <v>4.24</v>
      </c>
      <c r="Q271" s="1" t="s">
        <v>6</v>
      </c>
      <c r="R271" s="3">
        <v>0.46189999999999998</v>
      </c>
      <c r="S271" s="2">
        <v>46098</v>
      </c>
      <c r="T271" s="1">
        <v>307</v>
      </c>
      <c r="U271" s="1" t="s">
        <v>23</v>
      </c>
      <c r="V271" s="1">
        <v>85</v>
      </c>
      <c r="W271" s="1" t="b">
        <v>1</v>
      </c>
      <c r="X271" s="1" t="b">
        <v>1</v>
      </c>
      <c r="Y271" s="1">
        <v>24000</v>
      </c>
    </row>
    <row r="272" spans="1:25" x14ac:dyDescent="0.35">
      <c r="A272" s="1" t="s">
        <v>597</v>
      </c>
      <c r="B272" s="1" t="s">
        <v>32</v>
      </c>
      <c r="C272" s="1" t="s">
        <v>41</v>
      </c>
      <c r="D272" s="1" t="s">
        <v>11</v>
      </c>
      <c r="E272" s="1">
        <v>586</v>
      </c>
      <c r="F272" s="4">
        <v>12000000</v>
      </c>
      <c r="G272" s="4">
        <v>20477</v>
      </c>
      <c r="H272" s="1">
        <v>0</v>
      </c>
      <c r="I272" s="1">
        <v>1</v>
      </c>
      <c r="J272" s="1">
        <v>22</v>
      </c>
      <c r="K272" s="1" t="s">
        <v>58</v>
      </c>
      <c r="L272" s="1" t="s">
        <v>598</v>
      </c>
      <c r="M272" s="1">
        <v>4</v>
      </c>
      <c r="N272" s="1">
        <v>9</v>
      </c>
      <c r="O272" s="1">
        <v>48453</v>
      </c>
      <c r="P272" s="1">
        <v>4.8499999999999996</v>
      </c>
      <c r="Q272" s="1" t="s">
        <v>6</v>
      </c>
      <c r="R272" s="3">
        <v>0.49229999999999996</v>
      </c>
      <c r="S272" s="2">
        <v>45873</v>
      </c>
      <c r="T272" s="1">
        <v>132</v>
      </c>
      <c r="U272" s="1" t="s">
        <v>30</v>
      </c>
      <c r="V272" s="1">
        <v>112</v>
      </c>
      <c r="W272" s="1" t="b">
        <v>1</v>
      </c>
      <c r="X272" s="1" t="b">
        <v>1</v>
      </c>
      <c r="Y272" s="1">
        <v>0</v>
      </c>
    </row>
    <row r="273" spans="1:25" x14ac:dyDescent="0.35">
      <c r="A273" s="1" t="s">
        <v>599</v>
      </c>
      <c r="B273" s="1" t="s">
        <v>9</v>
      </c>
      <c r="C273" s="1" t="s">
        <v>114</v>
      </c>
      <c r="D273" s="1" t="s">
        <v>11</v>
      </c>
      <c r="E273" s="1">
        <v>420</v>
      </c>
      <c r="F273" s="4">
        <v>50000000</v>
      </c>
      <c r="G273" s="4">
        <v>119047</v>
      </c>
      <c r="H273" s="1">
        <v>0</v>
      </c>
      <c r="I273" s="1">
        <v>2</v>
      </c>
      <c r="J273" s="1">
        <v>30</v>
      </c>
      <c r="K273" s="1" t="s">
        <v>21</v>
      </c>
      <c r="L273" s="1" t="s">
        <v>600</v>
      </c>
      <c r="M273" s="1">
        <v>5</v>
      </c>
      <c r="N273" s="1">
        <v>7</v>
      </c>
      <c r="O273" s="1">
        <v>166004</v>
      </c>
      <c r="P273" s="1">
        <v>3.98</v>
      </c>
      <c r="Q273" s="1" t="s">
        <v>14</v>
      </c>
      <c r="R273" s="3">
        <v>0.44920000000000004</v>
      </c>
      <c r="S273" s="2">
        <v>46009</v>
      </c>
      <c r="T273" s="1">
        <v>315</v>
      </c>
      <c r="U273" s="1" t="s">
        <v>7</v>
      </c>
      <c r="V273" s="1">
        <v>85</v>
      </c>
      <c r="W273" s="1" t="b">
        <v>1</v>
      </c>
      <c r="X273" s="1" t="b">
        <v>0</v>
      </c>
      <c r="Y273" s="1">
        <v>0</v>
      </c>
    </row>
    <row r="274" spans="1:25" x14ac:dyDescent="0.35">
      <c r="A274" s="1" t="s">
        <v>601</v>
      </c>
      <c r="B274" s="1" t="s">
        <v>9</v>
      </c>
      <c r="C274" s="1" t="s">
        <v>189</v>
      </c>
      <c r="D274" s="1" t="s">
        <v>3</v>
      </c>
      <c r="E274" s="1">
        <v>688</v>
      </c>
      <c r="F274" s="4">
        <v>50000000</v>
      </c>
      <c r="G274" s="4">
        <v>72674</v>
      </c>
      <c r="H274" s="1">
        <v>3</v>
      </c>
      <c r="I274" s="1">
        <v>2</v>
      </c>
      <c r="J274" s="1">
        <v>0</v>
      </c>
      <c r="K274" s="1" t="s">
        <v>61</v>
      </c>
      <c r="L274" s="1" t="s">
        <v>602</v>
      </c>
      <c r="M274" s="1">
        <v>6</v>
      </c>
      <c r="N274" s="1">
        <v>9</v>
      </c>
      <c r="O274" s="1">
        <v>200384</v>
      </c>
      <c r="P274" s="1">
        <v>4.8099999999999996</v>
      </c>
      <c r="Q274" s="1" t="s">
        <v>14</v>
      </c>
      <c r="R274" s="3">
        <v>0.49049999999999999</v>
      </c>
      <c r="S274" s="2">
        <v>45568</v>
      </c>
      <c r="T274" s="1">
        <v>245</v>
      </c>
      <c r="U274" s="1" t="s">
        <v>7</v>
      </c>
      <c r="V274" s="1">
        <v>155</v>
      </c>
      <c r="W274" s="1" t="b">
        <v>0</v>
      </c>
      <c r="X274" s="1" t="b">
        <v>0</v>
      </c>
      <c r="Y274" s="1">
        <v>100000</v>
      </c>
    </row>
    <row r="275" spans="1:25" x14ac:dyDescent="0.35">
      <c r="A275" s="1" t="s">
        <v>603</v>
      </c>
      <c r="B275" s="1" t="s">
        <v>32</v>
      </c>
      <c r="C275" s="1" t="s">
        <v>41</v>
      </c>
      <c r="D275" s="1" t="s">
        <v>3</v>
      </c>
      <c r="E275" s="1">
        <v>1974</v>
      </c>
      <c r="F275" s="4">
        <v>12000000</v>
      </c>
      <c r="G275" s="4">
        <v>6079</v>
      </c>
      <c r="H275" s="1">
        <v>4</v>
      </c>
      <c r="I275" s="1">
        <v>2</v>
      </c>
      <c r="J275" s="1">
        <v>18</v>
      </c>
      <c r="K275" s="1" t="s">
        <v>12</v>
      </c>
      <c r="L275" s="1" t="s">
        <v>604</v>
      </c>
      <c r="M275" s="1">
        <v>7</v>
      </c>
      <c r="N275" s="1">
        <v>5</v>
      </c>
      <c r="O275" s="1">
        <v>39192</v>
      </c>
      <c r="P275" s="1">
        <v>3.92</v>
      </c>
      <c r="Q275" s="1" t="s">
        <v>6</v>
      </c>
      <c r="R275" s="3">
        <v>0.44600000000000001</v>
      </c>
      <c r="S275" s="2">
        <v>45860</v>
      </c>
      <c r="T275" s="1">
        <v>21</v>
      </c>
      <c r="U275" s="1" t="s">
        <v>30</v>
      </c>
      <c r="V275" s="1">
        <v>171</v>
      </c>
      <c r="W275" s="1" t="b">
        <v>0</v>
      </c>
      <c r="X275" s="1" t="b">
        <v>1</v>
      </c>
      <c r="Y275" s="1">
        <v>0</v>
      </c>
    </row>
    <row r="276" spans="1:25" x14ac:dyDescent="0.35">
      <c r="A276" s="1" t="s">
        <v>605</v>
      </c>
      <c r="B276" s="1" t="s">
        <v>1</v>
      </c>
      <c r="C276" s="1" t="s">
        <v>48</v>
      </c>
      <c r="D276" s="1" t="s">
        <v>3</v>
      </c>
      <c r="E276" s="1">
        <v>2983</v>
      </c>
      <c r="F276" s="4">
        <v>10000000</v>
      </c>
      <c r="G276" s="4">
        <v>3352</v>
      </c>
      <c r="H276" s="1">
        <v>3</v>
      </c>
      <c r="I276" s="1">
        <v>2</v>
      </c>
      <c r="J276" s="1">
        <v>2</v>
      </c>
      <c r="K276" s="1" t="s">
        <v>21</v>
      </c>
      <c r="L276" s="1" t="s">
        <v>606</v>
      </c>
      <c r="M276" s="1">
        <v>8</v>
      </c>
      <c r="N276" s="1">
        <v>10</v>
      </c>
      <c r="O276" s="1">
        <v>34009</v>
      </c>
      <c r="P276" s="1">
        <v>4.08</v>
      </c>
      <c r="Q276" s="1" t="s">
        <v>6</v>
      </c>
      <c r="R276" s="3">
        <v>0.45409999999999995</v>
      </c>
      <c r="S276" s="2">
        <v>45841</v>
      </c>
      <c r="T276" s="1">
        <v>9</v>
      </c>
      <c r="U276" s="1" t="s">
        <v>7</v>
      </c>
      <c r="V276" s="1">
        <v>145</v>
      </c>
      <c r="W276" s="1" t="b">
        <v>1</v>
      </c>
      <c r="X276" s="1" t="b">
        <v>0</v>
      </c>
      <c r="Y276" s="1">
        <v>20000</v>
      </c>
    </row>
    <row r="277" spans="1:25" x14ac:dyDescent="0.35">
      <c r="A277" s="1" t="s">
        <v>607</v>
      </c>
      <c r="B277" s="1" t="s">
        <v>54</v>
      </c>
      <c r="C277" s="1" t="s">
        <v>104</v>
      </c>
      <c r="D277" s="1" t="s">
        <v>3</v>
      </c>
      <c r="E277" s="1">
        <v>2060</v>
      </c>
      <c r="F277" s="4">
        <v>40000000</v>
      </c>
      <c r="G277" s="4">
        <v>19417</v>
      </c>
      <c r="H277" s="1">
        <v>1</v>
      </c>
      <c r="I277" s="1">
        <v>1</v>
      </c>
      <c r="J277" s="1">
        <v>25</v>
      </c>
      <c r="K277" s="1" t="s">
        <v>61</v>
      </c>
      <c r="L277" s="1" t="s">
        <v>608</v>
      </c>
      <c r="M277" s="1">
        <v>8</v>
      </c>
      <c r="N277" s="1">
        <v>9</v>
      </c>
      <c r="O277" s="1">
        <v>101270</v>
      </c>
      <c r="P277" s="1">
        <v>3.04</v>
      </c>
      <c r="Q277" s="1" t="s">
        <v>14</v>
      </c>
      <c r="R277" s="3">
        <v>0.40189999999999998</v>
      </c>
      <c r="S277" s="2">
        <v>45523</v>
      </c>
      <c r="T277" s="1">
        <v>8</v>
      </c>
      <c r="U277" s="1" t="s">
        <v>7</v>
      </c>
      <c r="V277" s="1">
        <v>63</v>
      </c>
      <c r="W277" s="1" t="b">
        <v>1</v>
      </c>
      <c r="X277" s="1" t="b">
        <v>1</v>
      </c>
      <c r="Y277" s="1">
        <v>0</v>
      </c>
    </row>
    <row r="278" spans="1:25" x14ac:dyDescent="0.35">
      <c r="A278" s="1" t="s">
        <v>609</v>
      </c>
      <c r="B278" s="1" t="s">
        <v>9</v>
      </c>
      <c r="C278" s="1" t="s">
        <v>114</v>
      </c>
      <c r="D278" s="1" t="s">
        <v>38</v>
      </c>
      <c r="E278" s="1">
        <v>4398</v>
      </c>
      <c r="F278" s="4">
        <v>50000000</v>
      </c>
      <c r="G278" s="4">
        <v>11368</v>
      </c>
      <c r="H278" s="1">
        <v>6</v>
      </c>
      <c r="I278" s="1">
        <v>3</v>
      </c>
      <c r="J278" s="1">
        <v>26</v>
      </c>
      <c r="K278" s="1" t="s">
        <v>58</v>
      </c>
      <c r="L278" s="1" t="s">
        <v>610</v>
      </c>
      <c r="M278" s="1">
        <v>3</v>
      </c>
      <c r="N278" s="1">
        <v>4</v>
      </c>
      <c r="O278" s="1">
        <v>160517</v>
      </c>
      <c r="P278" s="1">
        <v>3.85</v>
      </c>
      <c r="Q278" s="1" t="s">
        <v>14</v>
      </c>
      <c r="R278" s="3">
        <v>0.44259999999999999</v>
      </c>
      <c r="S278" s="2">
        <v>45462</v>
      </c>
      <c r="T278" s="1">
        <v>280</v>
      </c>
      <c r="U278" s="1" t="s">
        <v>7</v>
      </c>
      <c r="V278" s="1">
        <v>177</v>
      </c>
      <c r="W278" s="1" t="b">
        <v>1</v>
      </c>
      <c r="X278" s="1" t="b">
        <v>0</v>
      </c>
      <c r="Y278" s="1">
        <v>100000</v>
      </c>
    </row>
    <row r="279" spans="1:25" x14ac:dyDescent="0.35">
      <c r="A279" s="1" t="s">
        <v>611</v>
      </c>
      <c r="B279" s="1" t="s">
        <v>9</v>
      </c>
      <c r="C279" s="1" t="s">
        <v>109</v>
      </c>
      <c r="D279" s="1" t="s">
        <v>27</v>
      </c>
      <c r="E279" s="1">
        <v>4748</v>
      </c>
      <c r="F279" s="4">
        <v>50000000</v>
      </c>
      <c r="G279" s="4">
        <v>10530</v>
      </c>
      <c r="H279" s="1">
        <v>3</v>
      </c>
      <c r="I279" s="1">
        <v>1</v>
      </c>
      <c r="J279" s="1">
        <v>8</v>
      </c>
      <c r="K279" s="1" t="s">
        <v>61</v>
      </c>
      <c r="L279" s="1" t="s">
        <v>612</v>
      </c>
      <c r="M279" s="1">
        <v>4</v>
      </c>
      <c r="N279" s="1">
        <v>10</v>
      </c>
      <c r="O279" s="1">
        <v>202139</v>
      </c>
      <c r="P279" s="1">
        <v>4.8499999999999996</v>
      </c>
      <c r="Q279" s="1" t="s">
        <v>14</v>
      </c>
      <c r="R279" s="3">
        <v>0.49259999999999998</v>
      </c>
      <c r="S279" s="2">
        <v>46115</v>
      </c>
      <c r="T279" s="1">
        <v>81</v>
      </c>
      <c r="U279" s="1" t="s">
        <v>7</v>
      </c>
      <c r="V279" s="1">
        <v>126</v>
      </c>
      <c r="W279" s="1" t="b">
        <v>1</v>
      </c>
      <c r="X279" s="1" t="b">
        <v>0</v>
      </c>
      <c r="Y279" s="1">
        <v>100000</v>
      </c>
    </row>
    <row r="280" spans="1:25" x14ac:dyDescent="0.35">
      <c r="A280" s="1" t="s">
        <v>613</v>
      </c>
      <c r="B280" s="1" t="s">
        <v>9</v>
      </c>
      <c r="C280" s="1" t="s">
        <v>189</v>
      </c>
      <c r="D280" s="1" t="s">
        <v>27</v>
      </c>
      <c r="E280" s="1">
        <v>2730</v>
      </c>
      <c r="F280" s="4">
        <v>50000000</v>
      </c>
      <c r="G280" s="4">
        <v>18315</v>
      </c>
      <c r="H280" s="1">
        <v>5</v>
      </c>
      <c r="I280" s="1">
        <v>3</v>
      </c>
      <c r="J280" s="1">
        <v>22</v>
      </c>
      <c r="K280" s="1" t="s">
        <v>42</v>
      </c>
      <c r="L280" s="1" t="s">
        <v>614</v>
      </c>
      <c r="M280" s="1">
        <v>6</v>
      </c>
      <c r="N280" s="1">
        <v>8</v>
      </c>
      <c r="O280" s="1">
        <v>203174</v>
      </c>
      <c r="P280" s="1">
        <v>4.88</v>
      </c>
      <c r="Q280" s="1" t="s">
        <v>14</v>
      </c>
      <c r="R280" s="3">
        <v>0.49380000000000002</v>
      </c>
      <c r="S280" s="2">
        <v>45531</v>
      </c>
      <c r="T280" s="1">
        <v>256</v>
      </c>
      <c r="U280" s="1" t="s">
        <v>30</v>
      </c>
      <c r="V280" s="1">
        <v>76</v>
      </c>
      <c r="W280" s="1" t="b">
        <v>1</v>
      </c>
      <c r="X280" s="1" t="b">
        <v>0</v>
      </c>
      <c r="Y280" s="1">
        <v>0</v>
      </c>
    </row>
    <row r="281" spans="1:25" x14ac:dyDescent="0.35">
      <c r="A281" s="1" t="s">
        <v>615</v>
      </c>
      <c r="B281" s="1" t="s">
        <v>18</v>
      </c>
      <c r="C281" s="1" t="s">
        <v>169</v>
      </c>
      <c r="D281" s="1" t="s">
        <v>38</v>
      </c>
      <c r="E281" s="1">
        <v>4930</v>
      </c>
      <c r="F281" s="4">
        <v>15000000</v>
      </c>
      <c r="G281" s="4">
        <v>3042</v>
      </c>
      <c r="H281" s="1">
        <v>4</v>
      </c>
      <c r="I281" s="1">
        <v>2</v>
      </c>
      <c r="J281" s="1">
        <v>16</v>
      </c>
      <c r="K281" s="1" t="s">
        <v>42</v>
      </c>
      <c r="L281" s="1" t="s">
        <v>616</v>
      </c>
      <c r="M281" s="1">
        <v>3</v>
      </c>
      <c r="N281" s="1">
        <v>4</v>
      </c>
      <c r="O281" s="1">
        <v>53983</v>
      </c>
      <c r="P281" s="1">
        <v>4.32</v>
      </c>
      <c r="Q281" s="1" t="s">
        <v>6</v>
      </c>
      <c r="R281" s="3">
        <v>0.46590000000000004</v>
      </c>
      <c r="S281" s="2">
        <v>45873</v>
      </c>
      <c r="T281" s="1">
        <v>351</v>
      </c>
      <c r="U281" s="1" t="s">
        <v>7</v>
      </c>
      <c r="V281" s="1">
        <v>68</v>
      </c>
      <c r="W281" s="1" t="b">
        <v>0</v>
      </c>
      <c r="X281" s="1" t="b">
        <v>0</v>
      </c>
      <c r="Y281" s="1">
        <v>30000</v>
      </c>
    </row>
    <row r="282" spans="1:25" x14ac:dyDescent="0.35">
      <c r="A282" s="1" t="s">
        <v>617</v>
      </c>
      <c r="B282" s="1" t="s">
        <v>25</v>
      </c>
      <c r="C282" s="1" t="s">
        <v>182</v>
      </c>
      <c r="D282" s="1" t="s">
        <v>3</v>
      </c>
      <c r="E282" s="1">
        <v>621</v>
      </c>
      <c r="F282" s="4">
        <v>30000000</v>
      </c>
      <c r="G282" s="4">
        <v>48309</v>
      </c>
      <c r="H282" s="1">
        <v>3</v>
      </c>
      <c r="I282" s="1">
        <v>2</v>
      </c>
      <c r="J282" s="1">
        <v>6</v>
      </c>
      <c r="K282" s="1" t="s">
        <v>61</v>
      </c>
      <c r="L282" s="1" t="s">
        <v>618</v>
      </c>
      <c r="M282" s="1">
        <v>6</v>
      </c>
      <c r="N282" s="1">
        <v>5</v>
      </c>
      <c r="O282" s="1">
        <v>76453</v>
      </c>
      <c r="P282" s="1">
        <v>3.06</v>
      </c>
      <c r="Q282" s="1" t="s">
        <v>14</v>
      </c>
      <c r="R282" s="3">
        <v>0.40289999999999998</v>
      </c>
      <c r="S282" s="2">
        <v>45629</v>
      </c>
      <c r="T282" s="1">
        <v>304</v>
      </c>
      <c r="U282" s="1" t="s">
        <v>7</v>
      </c>
      <c r="V282" s="1">
        <v>143</v>
      </c>
      <c r="W282" s="1" t="b">
        <v>0</v>
      </c>
      <c r="X282" s="1" t="b">
        <v>0</v>
      </c>
      <c r="Y282" s="1">
        <v>60000</v>
      </c>
    </row>
    <row r="283" spans="1:25" x14ac:dyDescent="0.35">
      <c r="A283" s="1" t="s">
        <v>619</v>
      </c>
      <c r="B283" s="1" t="s">
        <v>1</v>
      </c>
      <c r="C283" s="1" t="s">
        <v>45</v>
      </c>
      <c r="D283" s="1" t="s">
        <v>20</v>
      </c>
      <c r="E283" s="1">
        <v>2442</v>
      </c>
      <c r="F283" s="4">
        <v>10000000</v>
      </c>
      <c r="G283" s="4">
        <v>4095</v>
      </c>
      <c r="H283" s="1">
        <v>2</v>
      </c>
      <c r="I283" s="1">
        <v>2</v>
      </c>
      <c r="J283" s="1">
        <v>7</v>
      </c>
      <c r="K283" s="1" t="s">
        <v>21</v>
      </c>
      <c r="L283" s="1" t="s">
        <v>620</v>
      </c>
      <c r="M283" s="1">
        <v>3</v>
      </c>
      <c r="N283" s="1">
        <v>7</v>
      </c>
      <c r="O283" s="1">
        <v>26225</v>
      </c>
      <c r="P283" s="1">
        <v>3.15</v>
      </c>
      <c r="Q283" s="1" t="s">
        <v>6</v>
      </c>
      <c r="R283" s="3">
        <v>0.4073</v>
      </c>
      <c r="S283" s="2">
        <v>45557</v>
      </c>
      <c r="T283" s="1">
        <v>111</v>
      </c>
      <c r="U283" s="1" t="s">
        <v>7</v>
      </c>
      <c r="V283" s="1">
        <v>67</v>
      </c>
      <c r="W283" s="1" t="b">
        <v>0</v>
      </c>
      <c r="X283" s="1" t="b">
        <v>1</v>
      </c>
      <c r="Y283" s="1">
        <v>0</v>
      </c>
    </row>
    <row r="284" spans="1:25" x14ac:dyDescent="0.35">
      <c r="A284" s="1" t="s">
        <v>621</v>
      </c>
      <c r="B284" s="1" t="s">
        <v>54</v>
      </c>
      <c r="C284" s="1" t="s">
        <v>55</v>
      </c>
      <c r="D284" s="1" t="s">
        <v>11</v>
      </c>
      <c r="E284" s="1">
        <v>349</v>
      </c>
      <c r="F284" s="4">
        <v>40000000</v>
      </c>
      <c r="G284" s="4">
        <v>114613</v>
      </c>
      <c r="H284" s="1">
        <v>1</v>
      </c>
      <c r="I284" s="1">
        <v>2</v>
      </c>
      <c r="J284" s="1">
        <v>6</v>
      </c>
      <c r="K284" s="1" t="s">
        <v>58</v>
      </c>
      <c r="L284" s="1" t="s">
        <v>622</v>
      </c>
      <c r="M284" s="1">
        <v>5</v>
      </c>
      <c r="N284" s="1">
        <v>5</v>
      </c>
      <c r="O284" s="1">
        <v>130571</v>
      </c>
      <c r="P284" s="1">
        <v>3.92</v>
      </c>
      <c r="Q284" s="1" t="s">
        <v>14</v>
      </c>
      <c r="R284" s="3">
        <v>0.44590000000000002</v>
      </c>
      <c r="S284" s="2">
        <v>45981</v>
      </c>
      <c r="T284" s="1">
        <v>310</v>
      </c>
      <c r="U284" s="1" t="s">
        <v>30</v>
      </c>
      <c r="V284" s="1">
        <v>105</v>
      </c>
      <c r="W284" s="1" t="b">
        <v>1</v>
      </c>
      <c r="X284" s="1" t="b">
        <v>1</v>
      </c>
      <c r="Y284" s="1">
        <v>80000</v>
      </c>
    </row>
    <row r="285" spans="1:25" x14ac:dyDescent="0.35">
      <c r="A285" s="1" t="s">
        <v>623</v>
      </c>
      <c r="B285" s="1" t="s">
        <v>9</v>
      </c>
      <c r="C285" s="1" t="s">
        <v>114</v>
      </c>
      <c r="D285" s="1" t="s">
        <v>38</v>
      </c>
      <c r="E285" s="1">
        <v>7007</v>
      </c>
      <c r="F285" s="4">
        <v>50000000</v>
      </c>
      <c r="G285" s="4">
        <v>7135</v>
      </c>
      <c r="H285" s="1">
        <v>4</v>
      </c>
      <c r="I285" s="1">
        <v>3</v>
      </c>
      <c r="J285" s="1">
        <v>26</v>
      </c>
      <c r="K285" s="1" t="s">
        <v>12</v>
      </c>
      <c r="L285" s="1" t="s">
        <v>624</v>
      </c>
      <c r="M285" s="1">
        <v>6</v>
      </c>
      <c r="N285" s="1">
        <v>8</v>
      </c>
      <c r="O285" s="1">
        <v>143533</v>
      </c>
      <c r="P285" s="1">
        <v>3.44</v>
      </c>
      <c r="Q285" s="1" t="s">
        <v>14</v>
      </c>
      <c r="R285" s="3">
        <v>0.42219999999999996</v>
      </c>
      <c r="S285" s="2">
        <v>45551</v>
      </c>
      <c r="T285" s="1">
        <v>214</v>
      </c>
      <c r="U285" s="1" t="s">
        <v>23</v>
      </c>
      <c r="V285" s="1">
        <v>31</v>
      </c>
      <c r="W285" s="1" t="b">
        <v>1</v>
      </c>
      <c r="X285" s="1" t="b">
        <v>1</v>
      </c>
      <c r="Y285" s="1">
        <v>0</v>
      </c>
    </row>
    <row r="286" spans="1:25" x14ac:dyDescent="0.35">
      <c r="A286" s="1" t="s">
        <v>625</v>
      </c>
      <c r="B286" s="1" t="s">
        <v>1</v>
      </c>
      <c r="C286" s="1" t="s">
        <v>51</v>
      </c>
      <c r="D286" s="1" t="s">
        <v>3</v>
      </c>
      <c r="E286" s="1">
        <v>2143</v>
      </c>
      <c r="F286" s="4">
        <v>10000000</v>
      </c>
      <c r="G286" s="4">
        <v>4666</v>
      </c>
      <c r="H286" s="1">
        <v>4</v>
      </c>
      <c r="I286" s="1">
        <v>3</v>
      </c>
      <c r="J286" s="1">
        <v>25</v>
      </c>
      <c r="K286" s="1" t="s">
        <v>21</v>
      </c>
      <c r="L286" s="1" t="s">
        <v>626</v>
      </c>
      <c r="M286" s="1">
        <v>8</v>
      </c>
      <c r="N286" s="1">
        <v>4</v>
      </c>
      <c r="O286" s="1">
        <v>27211</v>
      </c>
      <c r="P286" s="1">
        <v>3.27</v>
      </c>
      <c r="Q286" s="1" t="s">
        <v>6</v>
      </c>
      <c r="R286" s="3">
        <v>0.4133</v>
      </c>
      <c r="S286" s="2">
        <v>45854</v>
      </c>
      <c r="T286" s="1">
        <v>246</v>
      </c>
      <c r="U286" s="1" t="s">
        <v>7</v>
      </c>
      <c r="V286" s="1">
        <v>34</v>
      </c>
      <c r="W286" s="1" t="b">
        <v>0</v>
      </c>
      <c r="X286" s="1" t="b">
        <v>1</v>
      </c>
      <c r="Y286" s="1">
        <v>0</v>
      </c>
    </row>
    <row r="287" spans="1:25" x14ac:dyDescent="0.35">
      <c r="A287" s="1" t="s">
        <v>627</v>
      </c>
      <c r="B287" s="1" t="s">
        <v>32</v>
      </c>
      <c r="C287" s="1" t="s">
        <v>194</v>
      </c>
      <c r="D287" s="1" t="s">
        <v>38</v>
      </c>
      <c r="E287" s="1">
        <v>3199</v>
      </c>
      <c r="F287" s="4">
        <v>12000000</v>
      </c>
      <c r="G287" s="4">
        <v>3751</v>
      </c>
      <c r="H287" s="1">
        <v>5</v>
      </c>
      <c r="I287" s="1">
        <v>3</v>
      </c>
      <c r="J287" s="1">
        <v>24</v>
      </c>
      <c r="K287" s="1" t="s">
        <v>42</v>
      </c>
      <c r="L287" s="1" t="s">
        <v>628</v>
      </c>
      <c r="M287" s="1">
        <v>4</v>
      </c>
      <c r="N287" s="1">
        <v>9</v>
      </c>
      <c r="O287" s="1">
        <v>30027</v>
      </c>
      <c r="P287" s="1">
        <v>3</v>
      </c>
      <c r="Q287" s="1" t="s">
        <v>6</v>
      </c>
      <c r="R287" s="3">
        <v>0.40009999999999996</v>
      </c>
      <c r="S287" s="2">
        <v>45514</v>
      </c>
      <c r="T287" s="1">
        <v>272</v>
      </c>
      <c r="U287" s="1" t="s">
        <v>7</v>
      </c>
      <c r="V287" s="1">
        <v>115</v>
      </c>
      <c r="W287" s="1" t="b">
        <v>1</v>
      </c>
      <c r="X287" s="1" t="b">
        <v>0</v>
      </c>
      <c r="Y287" s="1">
        <v>0</v>
      </c>
    </row>
    <row r="288" spans="1:25" x14ac:dyDescent="0.35">
      <c r="A288" s="1" t="s">
        <v>629</v>
      </c>
      <c r="B288" s="1" t="s">
        <v>54</v>
      </c>
      <c r="C288" s="1" t="s">
        <v>104</v>
      </c>
      <c r="D288" s="1" t="s">
        <v>38</v>
      </c>
      <c r="E288" s="1">
        <v>7443</v>
      </c>
      <c r="F288" s="4">
        <v>40000000</v>
      </c>
      <c r="G288" s="4">
        <v>5374</v>
      </c>
      <c r="H288" s="1">
        <v>6</v>
      </c>
      <c r="I288" s="1">
        <v>3</v>
      </c>
      <c r="J288" s="1">
        <v>25</v>
      </c>
      <c r="K288" s="1" t="s">
        <v>21</v>
      </c>
      <c r="L288" s="1" t="s">
        <v>630</v>
      </c>
      <c r="M288" s="1">
        <v>8</v>
      </c>
      <c r="N288" s="1">
        <v>9</v>
      </c>
      <c r="O288" s="1">
        <v>141275</v>
      </c>
      <c r="P288" s="1">
        <v>4.24</v>
      </c>
      <c r="Q288" s="1" t="s">
        <v>14</v>
      </c>
      <c r="R288" s="3">
        <v>0.46189999999999998</v>
      </c>
      <c r="S288" s="2">
        <v>45782</v>
      </c>
      <c r="T288" s="1">
        <v>361</v>
      </c>
      <c r="U288" s="1" t="s">
        <v>7</v>
      </c>
      <c r="V288" s="1">
        <v>173</v>
      </c>
      <c r="W288" s="1" t="b">
        <v>1</v>
      </c>
      <c r="X288" s="1" t="b">
        <v>1</v>
      </c>
      <c r="Y288" s="1">
        <v>80000</v>
      </c>
    </row>
    <row r="289" spans="1:25" x14ac:dyDescent="0.35">
      <c r="A289" s="1" t="s">
        <v>631</v>
      </c>
      <c r="B289" s="1" t="s">
        <v>54</v>
      </c>
      <c r="C289" s="1" t="s">
        <v>55</v>
      </c>
      <c r="D289" s="1" t="s">
        <v>38</v>
      </c>
      <c r="E289" s="1">
        <v>3930</v>
      </c>
      <c r="F289" s="4">
        <v>40000000</v>
      </c>
      <c r="G289" s="4">
        <v>10178</v>
      </c>
      <c r="H289" s="1">
        <v>6</v>
      </c>
      <c r="I289" s="1">
        <v>4</v>
      </c>
      <c r="J289" s="1">
        <v>23</v>
      </c>
      <c r="K289" s="1" t="s">
        <v>34</v>
      </c>
      <c r="L289" s="1" t="s">
        <v>632</v>
      </c>
      <c r="M289" s="1">
        <v>7</v>
      </c>
      <c r="N289" s="1">
        <v>8</v>
      </c>
      <c r="O289" s="1">
        <v>124854</v>
      </c>
      <c r="P289" s="1">
        <v>3.75</v>
      </c>
      <c r="Q289" s="1" t="s">
        <v>14</v>
      </c>
      <c r="R289" s="3">
        <v>0.43729999999999997</v>
      </c>
      <c r="S289" s="2">
        <v>45693</v>
      </c>
      <c r="T289" s="1">
        <v>241</v>
      </c>
      <c r="U289" s="1" t="s">
        <v>7</v>
      </c>
      <c r="V289" s="1">
        <v>61</v>
      </c>
      <c r="W289" s="1" t="b">
        <v>0</v>
      </c>
      <c r="X289" s="1" t="b">
        <v>0</v>
      </c>
      <c r="Y289" s="1">
        <v>0</v>
      </c>
    </row>
    <row r="290" spans="1:25" x14ac:dyDescent="0.35">
      <c r="A290" s="1" t="s">
        <v>633</v>
      </c>
      <c r="B290" s="1" t="s">
        <v>1</v>
      </c>
      <c r="C290" s="1" t="s">
        <v>45</v>
      </c>
      <c r="D290" s="1" t="s">
        <v>3</v>
      </c>
      <c r="E290" s="1">
        <v>1171</v>
      </c>
      <c r="F290" s="4">
        <v>10000000</v>
      </c>
      <c r="G290" s="4">
        <v>8539</v>
      </c>
      <c r="H290" s="1">
        <v>4</v>
      </c>
      <c r="I290" s="1">
        <v>2</v>
      </c>
      <c r="J290" s="1">
        <v>2</v>
      </c>
      <c r="K290" s="1" t="s">
        <v>58</v>
      </c>
      <c r="L290" s="1" t="s">
        <v>634</v>
      </c>
      <c r="M290" s="1">
        <v>6</v>
      </c>
      <c r="N290" s="1">
        <v>9</v>
      </c>
      <c r="O290" s="1">
        <v>33272</v>
      </c>
      <c r="P290" s="1">
        <v>3.99</v>
      </c>
      <c r="Q290" s="1" t="s">
        <v>6</v>
      </c>
      <c r="R290" s="3">
        <v>0.4496</v>
      </c>
      <c r="S290" s="2">
        <v>45947</v>
      </c>
      <c r="T290" s="1">
        <v>151</v>
      </c>
      <c r="U290" s="1" t="s">
        <v>7</v>
      </c>
      <c r="V290" s="1">
        <v>35</v>
      </c>
      <c r="W290" s="1" t="b">
        <v>0</v>
      </c>
      <c r="X290" s="1" t="b">
        <v>1</v>
      </c>
      <c r="Y290" s="1">
        <v>0</v>
      </c>
    </row>
    <row r="291" spans="1:25" x14ac:dyDescent="0.35">
      <c r="A291" s="1" t="s">
        <v>635</v>
      </c>
      <c r="B291" s="1" t="s">
        <v>54</v>
      </c>
      <c r="C291" s="1" t="s">
        <v>89</v>
      </c>
      <c r="D291" s="1" t="s">
        <v>11</v>
      </c>
      <c r="E291" s="1">
        <v>580</v>
      </c>
      <c r="F291" s="4">
        <v>40000000</v>
      </c>
      <c r="G291" s="4">
        <v>68965</v>
      </c>
      <c r="H291" s="1">
        <v>0</v>
      </c>
      <c r="I291" s="1">
        <v>2</v>
      </c>
      <c r="J291" s="1">
        <v>6</v>
      </c>
      <c r="K291" s="1" t="s">
        <v>21</v>
      </c>
      <c r="L291" s="1" t="s">
        <v>636</v>
      </c>
      <c r="M291" s="1">
        <v>3</v>
      </c>
      <c r="N291" s="1">
        <v>9</v>
      </c>
      <c r="O291" s="1">
        <v>143717</v>
      </c>
      <c r="P291" s="1">
        <v>4.3099999999999996</v>
      </c>
      <c r="Q291" s="1" t="s">
        <v>14</v>
      </c>
      <c r="R291" s="3">
        <v>0.46560000000000001</v>
      </c>
      <c r="S291" s="2">
        <v>45822</v>
      </c>
      <c r="T291" s="1">
        <v>281</v>
      </c>
      <c r="U291" s="1" t="s">
        <v>7</v>
      </c>
      <c r="V291" s="1">
        <v>165</v>
      </c>
      <c r="W291" s="1" t="b">
        <v>0</v>
      </c>
      <c r="X291" s="1" t="b">
        <v>0</v>
      </c>
      <c r="Y291" s="1">
        <v>0</v>
      </c>
    </row>
    <row r="292" spans="1:25" x14ac:dyDescent="0.35">
      <c r="A292" s="1" t="s">
        <v>637</v>
      </c>
      <c r="B292" s="1" t="s">
        <v>32</v>
      </c>
      <c r="C292" s="1" t="s">
        <v>41</v>
      </c>
      <c r="D292" s="1" t="s">
        <v>20</v>
      </c>
      <c r="E292" s="1">
        <v>2203</v>
      </c>
      <c r="F292" s="4">
        <v>12000000</v>
      </c>
      <c r="G292" s="4">
        <v>5447</v>
      </c>
      <c r="H292" s="1">
        <v>4</v>
      </c>
      <c r="I292" s="1">
        <v>2</v>
      </c>
      <c r="J292" s="1">
        <v>15</v>
      </c>
      <c r="K292" s="1" t="s">
        <v>42</v>
      </c>
      <c r="L292" s="1" t="s">
        <v>638</v>
      </c>
      <c r="M292" s="1">
        <v>5</v>
      </c>
      <c r="N292" s="1">
        <v>6</v>
      </c>
      <c r="O292" s="1">
        <v>42372</v>
      </c>
      <c r="P292" s="1">
        <v>4.24</v>
      </c>
      <c r="Q292" s="1" t="s">
        <v>6</v>
      </c>
      <c r="R292" s="3">
        <v>0.46189999999999998</v>
      </c>
      <c r="S292" s="2">
        <v>45992</v>
      </c>
      <c r="T292" s="1">
        <v>90</v>
      </c>
      <c r="U292" s="1" t="s">
        <v>30</v>
      </c>
      <c r="V292" s="1">
        <v>76</v>
      </c>
      <c r="W292" s="1" t="b">
        <v>1</v>
      </c>
      <c r="X292" s="1" t="b">
        <v>1</v>
      </c>
      <c r="Y292" s="1">
        <v>24000</v>
      </c>
    </row>
    <row r="293" spans="1:25" x14ac:dyDescent="0.35">
      <c r="A293" s="1" t="s">
        <v>639</v>
      </c>
      <c r="B293" s="1" t="s">
        <v>9</v>
      </c>
      <c r="C293" s="1" t="s">
        <v>189</v>
      </c>
      <c r="D293" s="1" t="s">
        <v>20</v>
      </c>
      <c r="E293" s="1">
        <v>3853</v>
      </c>
      <c r="F293" s="4">
        <v>50000000</v>
      </c>
      <c r="G293" s="4">
        <v>12976</v>
      </c>
      <c r="H293" s="1">
        <v>3</v>
      </c>
      <c r="I293" s="1">
        <v>2</v>
      </c>
      <c r="J293" s="1">
        <v>8</v>
      </c>
      <c r="K293" s="1" t="s">
        <v>12</v>
      </c>
      <c r="L293" s="1" t="s">
        <v>640</v>
      </c>
      <c r="M293" s="1">
        <v>5</v>
      </c>
      <c r="N293" s="1">
        <v>4</v>
      </c>
      <c r="O293" s="1">
        <v>162369</v>
      </c>
      <c r="P293" s="1">
        <v>3.9</v>
      </c>
      <c r="Q293" s="1" t="s">
        <v>14</v>
      </c>
      <c r="R293" s="3">
        <v>0.44479999999999997</v>
      </c>
      <c r="S293" s="2">
        <v>45990</v>
      </c>
      <c r="T293" s="1">
        <v>208</v>
      </c>
      <c r="U293" s="1" t="s">
        <v>7</v>
      </c>
      <c r="V293" s="1">
        <v>36</v>
      </c>
      <c r="W293" s="1" t="b">
        <v>0</v>
      </c>
      <c r="X293" s="1" t="b">
        <v>1</v>
      </c>
      <c r="Y293" s="1">
        <v>0</v>
      </c>
    </row>
    <row r="294" spans="1:25" x14ac:dyDescent="0.35">
      <c r="A294" s="1" t="s">
        <v>641</v>
      </c>
      <c r="B294" s="1" t="s">
        <v>54</v>
      </c>
      <c r="C294" s="1" t="s">
        <v>55</v>
      </c>
      <c r="D294" s="1" t="s">
        <v>3</v>
      </c>
      <c r="E294" s="1">
        <v>2637</v>
      </c>
      <c r="F294" s="4">
        <v>40000000</v>
      </c>
      <c r="G294" s="4">
        <v>15168</v>
      </c>
      <c r="H294" s="1">
        <v>3</v>
      </c>
      <c r="I294" s="1">
        <v>2</v>
      </c>
      <c r="J294" s="1">
        <v>15</v>
      </c>
      <c r="K294" s="1" t="s">
        <v>58</v>
      </c>
      <c r="L294" s="1" t="s">
        <v>642</v>
      </c>
      <c r="M294" s="1">
        <v>5</v>
      </c>
      <c r="N294" s="1">
        <v>4</v>
      </c>
      <c r="O294" s="1">
        <v>160011</v>
      </c>
      <c r="P294" s="1">
        <v>4.8</v>
      </c>
      <c r="Q294" s="1" t="s">
        <v>14</v>
      </c>
      <c r="R294" s="3">
        <v>0.49</v>
      </c>
      <c r="S294" s="2">
        <v>46014</v>
      </c>
      <c r="T294" s="1">
        <v>13</v>
      </c>
      <c r="U294" s="1" t="s">
        <v>30</v>
      </c>
      <c r="V294" s="1">
        <v>108</v>
      </c>
      <c r="W294" s="1" t="b">
        <v>0</v>
      </c>
      <c r="X294" s="1" t="b">
        <v>1</v>
      </c>
      <c r="Y294" s="1">
        <v>0</v>
      </c>
    </row>
    <row r="295" spans="1:25" x14ac:dyDescent="0.35">
      <c r="A295" s="1" t="s">
        <v>643</v>
      </c>
      <c r="B295" s="1" t="s">
        <v>54</v>
      </c>
      <c r="C295" s="1" t="s">
        <v>64</v>
      </c>
      <c r="D295" s="1" t="s">
        <v>20</v>
      </c>
      <c r="E295" s="1">
        <v>1725</v>
      </c>
      <c r="F295" s="4">
        <v>40000000</v>
      </c>
      <c r="G295" s="4">
        <v>23188</v>
      </c>
      <c r="H295" s="1">
        <v>3</v>
      </c>
      <c r="I295" s="1">
        <v>1</v>
      </c>
      <c r="J295" s="1">
        <v>25</v>
      </c>
      <c r="K295" s="1" t="s">
        <v>58</v>
      </c>
      <c r="L295" s="1" t="s">
        <v>644</v>
      </c>
      <c r="M295" s="1">
        <v>5</v>
      </c>
      <c r="N295" s="1">
        <v>8</v>
      </c>
      <c r="O295" s="1">
        <v>126294</v>
      </c>
      <c r="P295" s="1">
        <v>3.79</v>
      </c>
      <c r="Q295" s="1" t="s">
        <v>14</v>
      </c>
      <c r="R295" s="3">
        <v>0.43939999999999996</v>
      </c>
      <c r="S295" s="2">
        <v>45654</v>
      </c>
      <c r="T295" s="1">
        <v>29</v>
      </c>
      <c r="U295" s="1" t="s">
        <v>7</v>
      </c>
      <c r="V295" s="1">
        <v>160</v>
      </c>
      <c r="W295" s="1" t="b">
        <v>0</v>
      </c>
      <c r="X295" s="1" t="b">
        <v>0</v>
      </c>
      <c r="Y295" s="1">
        <v>80000</v>
      </c>
    </row>
    <row r="296" spans="1:25" x14ac:dyDescent="0.35">
      <c r="A296" s="1" t="s">
        <v>645</v>
      </c>
      <c r="B296" s="1" t="s">
        <v>1</v>
      </c>
      <c r="C296" s="1" t="s">
        <v>48</v>
      </c>
      <c r="D296" s="1" t="s">
        <v>20</v>
      </c>
      <c r="E296" s="1">
        <v>3081</v>
      </c>
      <c r="F296" s="4">
        <v>10000000</v>
      </c>
      <c r="G296" s="4">
        <v>3245</v>
      </c>
      <c r="H296" s="1">
        <v>4</v>
      </c>
      <c r="I296" s="1">
        <v>2</v>
      </c>
      <c r="J296" s="1">
        <v>9</v>
      </c>
      <c r="K296" s="1" t="s">
        <v>58</v>
      </c>
      <c r="L296" s="1" t="s">
        <v>646</v>
      </c>
      <c r="M296" s="1">
        <v>5</v>
      </c>
      <c r="N296" s="1">
        <v>6</v>
      </c>
      <c r="O296" s="1">
        <v>39796</v>
      </c>
      <c r="P296" s="1">
        <v>4.78</v>
      </c>
      <c r="Q296" s="1" t="s">
        <v>6</v>
      </c>
      <c r="R296" s="3">
        <v>0.48880000000000001</v>
      </c>
      <c r="S296" s="2">
        <v>45731</v>
      </c>
      <c r="T296" s="1">
        <v>218</v>
      </c>
      <c r="U296" s="1" t="s">
        <v>30</v>
      </c>
      <c r="V296" s="1">
        <v>71</v>
      </c>
      <c r="W296" s="1" t="b">
        <v>0</v>
      </c>
      <c r="X296" s="1" t="b">
        <v>1</v>
      </c>
      <c r="Y296" s="1">
        <v>20000</v>
      </c>
    </row>
    <row r="297" spans="1:25" x14ac:dyDescent="0.35">
      <c r="A297" s="1" t="s">
        <v>647</v>
      </c>
      <c r="B297" s="1" t="s">
        <v>25</v>
      </c>
      <c r="C297" s="1" t="s">
        <v>82</v>
      </c>
      <c r="D297" s="1" t="s">
        <v>20</v>
      </c>
      <c r="E297" s="1">
        <v>3444</v>
      </c>
      <c r="F297" s="4">
        <v>30000000</v>
      </c>
      <c r="G297" s="4">
        <v>8710</v>
      </c>
      <c r="H297" s="1">
        <v>4</v>
      </c>
      <c r="I297" s="1">
        <v>2</v>
      </c>
      <c r="J297" s="1">
        <v>29</v>
      </c>
      <c r="K297" s="1" t="s">
        <v>61</v>
      </c>
      <c r="L297" s="1" t="s">
        <v>648</v>
      </c>
      <c r="M297" s="1">
        <v>7</v>
      </c>
      <c r="N297" s="1">
        <v>10</v>
      </c>
      <c r="O297" s="1">
        <v>110512</v>
      </c>
      <c r="P297" s="1">
        <v>4.42</v>
      </c>
      <c r="Q297" s="1" t="s">
        <v>14</v>
      </c>
      <c r="R297" s="3">
        <v>0.47100000000000003</v>
      </c>
      <c r="S297" s="2">
        <v>46016</v>
      </c>
      <c r="T297" s="1">
        <v>149</v>
      </c>
      <c r="U297" s="1" t="s">
        <v>7</v>
      </c>
      <c r="V297" s="1">
        <v>127</v>
      </c>
      <c r="W297" s="1" t="b">
        <v>0</v>
      </c>
      <c r="X297" s="1" t="b">
        <v>1</v>
      </c>
      <c r="Y297" s="1">
        <v>0</v>
      </c>
    </row>
    <row r="298" spans="1:25" x14ac:dyDescent="0.35">
      <c r="A298" s="1" t="s">
        <v>649</v>
      </c>
      <c r="B298" s="1" t="s">
        <v>32</v>
      </c>
      <c r="C298" s="1" t="s">
        <v>200</v>
      </c>
      <c r="D298" s="1" t="s">
        <v>11</v>
      </c>
      <c r="E298" s="1">
        <v>536</v>
      </c>
      <c r="F298" s="4">
        <v>12000000</v>
      </c>
      <c r="G298" s="4">
        <v>22388</v>
      </c>
      <c r="H298" s="1">
        <v>1</v>
      </c>
      <c r="I298" s="1">
        <v>1</v>
      </c>
      <c r="J298" s="1">
        <v>0</v>
      </c>
      <c r="K298" s="1" t="s">
        <v>42</v>
      </c>
      <c r="L298" s="1" t="s">
        <v>650</v>
      </c>
      <c r="M298" s="1">
        <v>3</v>
      </c>
      <c r="N298" s="1">
        <v>7</v>
      </c>
      <c r="O298" s="1">
        <v>43318</v>
      </c>
      <c r="P298" s="1">
        <v>4.33</v>
      </c>
      <c r="Q298" s="1" t="s">
        <v>6</v>
      </c>
      <c r="R298" s="3">
        <v>0.46659999999999996</v>
      </c>
      <c r="S298" s="2">
        <v>45862</v>
      </c>
      <c r="T298" s="1">
        <v>15</v>
      </c>
      <c r="U298" s="1" t="s">
        <v>7</v>
      </c>
      <c r="V298" s="1">
        <v>92</v>
      </c>
      <c r="W298" s="1" t="b">
        <v>1</v>
      </c>
      <c r="X298" s="1" t="b">
        <v>0</v>
      </c>
      <c r="Y298" s="1">
        <v>0</v>
      </c>
    </row>
    <row r="299" spans="1:25" x14ac:dyDescent="0.35">
      <c r="A299" s="1" t="s">
        <v>651</v>
      </c>
      <c r="B299" s="1" t="s">
        <v>9</v>
      </c>
      <c r="C299" s="1" t="s">
        <v>109</v>
      </c>
      <c r="D299" s="1" t="s">
        <v>20</v>
      </c>
      <c r="E299" s="1">
        <v>3880</v>
      </c>
      <c r="F299" s="4">
        <v>50000000</v>
      </c>
      <c r="G299" s="4">
        <v>12886</v>
      </c>
      <c r="H299" s="1">
        <v>5</v>
      </c>
      <c r="I299" s="1">
        <v>3</v>
      </c>
      <c r="J299" s="1">
        <v>27</v>
      </c>
      <c r="K299" s="1" t="s">
        <v>28</v>
      </c>
      <c r="L299" s="1" t="s">
        <v>652</v>
      </c>
      <c r="M299" s="1">
        <v>5</v>
      </c>
      <c r="N299" s="1">
        <v>7</v>
      </c>
      <c r="O299" s="1">
        <v>138570</v>
      </c>
      <c r="P299" s="1">
        <v>3.33</v>
      </c>
      <c r="Q299" s="1" t="s">
        <v>14</v>
      </c>
      <c r="R299" s="3">
        <v>0.4163</v>
      </c>
      <c r="S299" s="2">
        <v>46097</v>
      </c>
      <c r="T299" s="1">
        <v>183</v>
      </c>
      <c r="U299" s="1" t="s">
        <v>7</v>
      </c>
      <c r="V299" s="1">
        <v>64</v>
      </c>
      <c r="W299" s="1" t="b">
        <v>1</v>
      </c>
      <c r="X299" s="1" t="b">
        <v>1</v>
      </c>
      <c r="Y299" s="1">
        <v>0</v>
      </c>
    </row>
    <row r="300" spans="1:25" x14ac:dyDescent="0.35">
      <c r="A300" s="1" t="s">
        <v>653</v>
      </c>
      <c r="B300" s="1" t="s">
        <v>54</v>
      </c>
      <c r="C300" s="1" t="s">
        <v>89</v>
      </c>
      <c r="D300" s="1" t="s">
        <v>20</v>
      </c>
      <c r="E300" s="1">
        <v>1699</v>
      </c>
      <c r="F300" s="4">
        <v>40000000</v>
      </c>
      <c r="G300" s="4">
        <v>23543</v>
      </c>
      <c r="H300" s="1">
        <v>4</v>
      </c>
      <c r="I300" s="1">
        <v>3</v>
      </c>
      <c r="J300" s="1">
        <v>16</v>
      </c>
      <c r="K300" s="1" t="s">
        <v>61</v>
      </c>
      <c r="L300" s="1" t="s">
        <v>654</v>
      </c>
      <c r="M300" s="1">
        <v>8</v>
      </c>
      <c r="N300" s="1">
        <v>6</v>
      </c>
      <c r="O300" s="1">
        <v>158162</v>
      </c>
      <c r="P300" s="1">
        <v>4.74</v>
      </c>
      <c r="Q300" s="1" t="s">
        <v>14</v>
      </c>
      <c r="R300" s="3">
        <v>0.48719999999999997</v>
      </c>
      <c r="S300" s="2">
        <v>45455</v>
      </c>
      <c r="T300" s="1">
        <v>50</v>
      </c>
      <c r="U300" s="1" t="s">
        <v>30</v>
      </c>
      <c r="V300" s="1">
        <v>122</v>
      </c>
      <c r="W300" s="1" t="b">
        <v>0</v>
      </c>
      <c r="X300" s="1" t="b">
        <v>1</v>
      </c>
      <c r="Y300" s="1">
        <v>80000</v>
      </c>
    </row>
    <row r="301" spans="1:25" x14ac:dyDescent="0.35">
      <c r="A301" s="1" t="s">
        <v>655</v>
      </c>
      <c r="B301" s="1" t="s">
        <v>25</v>
      </c>
      <c r="C301" s="1" t="s">
        <v>37</v>
      </c>
      <c r="D301" s="1" t="s">
        <v>20</v>
      </c>
      <c r="E301" s="1">
        <v>3027</v>
      </c>
      <c r="F301" s="4">
        <v>30000000</v>
      </c>
      <c r="G301" s="4">
        <v>9910</v>
      </c>
      <c r="H301" s="1">
        <v>5</v>
      </c>
      <c r="I301" s="1">
        <v>3</v>
      </c>
      <c r="J301" s="1">
        <v>10</v>
      </c>
      <c r="K301" s="1" t="s">
        <v>4</v>
      </c>
      <c r="L301" s="1" t="s">
        <v>656</v>
      </c>
      <c r="M301" s="1">
        <v>4</v>
      </c>
      <c r="N301" s="1">
        <v>10</v>
      </c>
      <c r="O301" s="1">
        <v>114755</v>
      </c>
      <c r="P301" s="1">
        <v>4.59</v>
      </c>
      <c r="Q301" s="1" t="s">
        <v>14</v>
      </c>
      <c r="R301" s="3">
        <v>0.47950000000000004</v>
      </c>
      <c r="S301" s="2">
        <v>45584</v>
      </c>
      <c r="T301" s="1">
        <v>273</v>
      </c>
      <c r="U301" s="1" t="s">
        <v>30</v>
      </c>
      <c r="V301" s="1">
        <v>164</v>
      </c>
      <c r="W301" s="1" t="b">
        <v>1</v>
      </c>
      <c r="X301" s="1" t="b">
        <v>0</v>
      </c>
      <c r="Y301" s="1">
        <v>0</v>
      </c>
    </row>
    <row r="302" spans="1:25" x14ac:dyDescent="0.35">
      <c r="A302" s="1" t="s">
        <v>657</v>
      </c>
      <c r="B302" s="1" t="s">
        <v>9</v>
      </c>
      <c r="C302" s="1" t="s">
        <v>189</v>
      </c>
      <c r="D302" s="1" t="s">
        <v>27</v>
      </c>
      <c r="E302" s="1">
        <v>2142</v>
      </c>
      <c r="F302" s="4">
        <v>50000000</v>
      </c>
      <c r="G302" s="4">
        <v>23342</v>
      </c>
      <c r="H302" s="1">
        <v>6</v>
      </c>
      <c r="I302" s="1">
        <v>4</v>
      </c>
      <c r="J302" s="1">
        <v>9</v>
      </c>
      <c r="K302" s="1" t="s">
        <v>34</v>
      </c>
      <c r="L302" s="1" t="s">
        <v>658</v>
      </c>
      <c r="M302" s="1">
        <v>8</v>
      </c>
      <c r="N302" s="1">
        <v>9</v>
      </c>
      <c r="O302" s="1">
        <v>192881</v>
      </c>
      <c r="P302" s="1">
        <v>4.63</v>
      </c>
      <c r="Q302" s="1" t="s">
        <v>14</v>
      </c>
      <c r="R302" s="3">
        <v>0.48149999999999998</v>
      </c>
      <c r="S302" s="2">
        <v>45929</v>
      </c>
      <c r="T302" s="1">
        <v>353</v>
      </c>
      <c r="U302" s="1" t="s">
        <v>7</v>
      </c>
      <c r="V302" s="1">
        <v>66</v>
      </c>
      <c r="W302" s="1" t="b">
        <v>1</v>
      </c>
      <c r="X302" s="1" t="b">
        <v>0</v>
      </c>
      <c r="Y302" s="1">
        <v>100000</v>
      </c>
    </row>
    <row r="303" spans="1:25" x14ac:dyDescent="0.35">
      <c r="A303" s="1" t="s">
        <v>659</v>
      </c>
      <c r="B303" s="1" t="s">
        <v>25</v>
      </c>
      <c r="C303" s="1" t="s">
        <v>82</v>
      </c>
      <c r="D303" s="1" t="s">
        <v>3</v>
      </c>
      <c r="E303" s="1">
        <v>2140</v>
      </c>
      <c r="F303" s="4">
        <v>30000000</v>
      </c>
      <c r="G303" s="4">
        <v>14018</v>
      </c>
      <c r="H303" s="1">
        <v>1</v>
      </c>
      <c r="I303" s="1">
        <v>1</v>
      </c>
      <c r="J303" s="1">
        <v>0</v>
      </c>
      <c r="K303" s="1" t="s">
        <v>28</v>
      </c>
      <c r="L303" s="1" t="s">
        <v>660</v>
      </c>
      <c r="M303" s="1">
        <v>6</v>
      </c>
      <c r="N303" s="1">
        <v>9</v>
      </c>
      <c r="O303" s="1">
        <v>120426</v>
      </c>
      <c r="P303" s="1">
        <v>4.82</v>
      </c>
      <c r="Q303" s="1" t="s">
        <v>14</v>
      </c>
      <c r="R303" s="3">
        <v>0.49090000000000006</v>
      </c>
      <c r="S303" s="2">
        <v>46112</v>
      </c>
      <c r="T303" s="1">
        <v>50</v>
      </c>
      <c r="U303" s="1" t="s">
        <v>7</v>
      </c>
      <c r="V303" s="1">
        <v>32</v>
      </c>
      <c r="W303" s="1" t="b">
        <v>1</v>
      </c>
      <c r="X303" s="1" t="b">
        <v>1</v>
      </c>
      <c r="Y303" s="1">
        <v>60000</v>
      </c>
    </row>
    <row r="304" spans="1:25" x14ac:dyDescent="0.35">
      <c r="A304" s="1" t="s">
        <v>661</v>
      </c>
      <c r="B304" s="1" t="s">
        <v>25</v>
      </c>
      <c r="C304" s="1" t="s">
        <v>182</v>
      </c>
      <c r="D304" s="1" t="s">
        <v>20</v>
      </c>
      <c r="E304" s="1">
        <v>1619</v>
      </c>
      <c r="F304" s="4">
        <v>30000000</v>
      </c>
      <c r="G304" s="4">
        <v>18529</v>
      </c>
      <c r="H304" s="1">
        <v>2</v>
      </c>
      <c r="I304" s="1">
        <v>1</v>
      </c>
      <c r="J304" s="1">
        <v>27</v>
      </c>
      <c r="K304" s="1" t="s">
        <v>58</v>
      </c>
      <c r="L304" s="1" t="s">
        <v>662</v>
      </c>
      <c r="M304" s="1">
        <v>8</v>
      </c>
      <c r="N304" s="1">
        <v>9</v>
      </c>
      <c r="O304" s="1">
        <v>103906</v>
      </c>
      <c r="P304" s="1">
        <v>4.16</v>
      </c>
      <c r="Q304" s="1" t="s">
        <v>14</v>
      </c>
      <c r="R304" s="3">
        <v>0.45779999999999998</v>
      </c>
      <c r="S304" s="2">
        <v>46142</v>
      </c>
      <c r="T304" s="1">
        <v>145</v>
      </c>
      <c r="U304" s="1" t="s">
        <v>7</v>
      </c>
      <c r="V304" s="1">
        <v>79</v>
      </c>
      <c r="W304" s="1" t="b">
        <v>1</v>
      </c>
      <c r="X304" s="1" t="b">
        <v>1</v>
      </c>
      <c r="Y304" s="1">
        <v>60000</v>
      </c>
    </row>
    <row r="305" spans="1:25" x14ac:dyDescent="0.35">
      <c r="A305" s="1" t="s">
        <v>663</v>
      </c>
      <c r="B305" s="1" t="s">
        <v>25</v>
      </c>
      <c r="C305" s="1" t="s">
        <v>37</v>
      </c>
      <c r="D305" s="1" t="s">
        <v>11</v>
      </c>
      <c r="E305" s="1">
        <v>437</v>
      </c>
      <c r="F305" s="4">
        <v>29861449</v>
      </c>
      <c r="G305" s="4">
        <v>68332</v>
      </c>
      <c r="H305" s="1">
        <v>0</v>
      </c>
      <c r="I305" s="1">
        <v>2</v>
      </c>
      <c r="J305" s="1">
        <v>21</v>
      </c>
      <c r="K305" s="1" t="s">
        <v>21</v>
      </c>
      <c r="L305" s="1" t="s">
        <v>664</v>
      </c>
      <c r="M305" s="1">
        <v>3</v>
      </c>
      <c r="N305" s="1">
        <v>6</v>
      </c>
      <c r="O305" s="1">
        <v>85978</v>
      </c>
      <c r="P305" s="1">
        <v>3.46</v>
      </c>
      <c r="Q305" s="1" t="s">
        <v>14</v>
      </c>
      <c r="R305" s="3">
        <v>0.42280000000000001</v>
      </c>
      <c r="S305" s="2">
        <v>46041</v>
      </c>
      <c r="T305" s="1">
        <v>239</v>
      </c>
      <c r="U305" s="1" t="s">
        <v>30</v>
      </c>
      <c r="V305" s="1">
        <v>61</v>
      </c>
      <c r="W305" s="1" t="b">
        <v>1</v>
      </c>
      <c r="X305" s="1" t="b">
        <v>1</v>
      </c>
      <c r="Y305" s="1">
        <v>0</v>
      </c>
    </row>
    <row r="306" spans="1:25" x14ac:dyDescent="0.35">
      <c r="A306" s="1" t="s">
        <v>665</v>
      </c>
      <c r="B306" s="1" t="s">
        <v>54</v>
      </c>
      <c r="C306" s="1" t="s">
        <v>104</v>
      </c>
      <c r="D306" s="1" t="s">
        <v>20</v>
      </c>
      <c r="E306" s="1">
        <v>3782</v>
      </c>
      <c r="F306" s="4">
        <v>40000000</v>
      </c>
      <c r="G306" s="4">
        <v>10576</v>
      </c>
      <c r="H306" s="1">
        <v>2</v>
      </c>
      <c r="I306" s="1">
        <v>1</v>
      </c>
      <c r="J306" s="1">
        <v>10</v>
      </c>
      <c r="K306" s="1" t="s">
        <v>42</v>
      </c>
      <c r="L306" s="1" t="s">
        <v>666</v>
      </c>
      <c r="M306" s="1">
        <v>6</v>
      </c>
      <c r="N306" s="1">
        <v>4</v>
      </c>
      <c r="O306" s="1">
        <v>127152</v>
      </c>
      <c r="P306" s="1">
        <v>3.81</v>
      </c>
      <c r="Q306" s="1" t="s">
        <v>14</v>
      </c>
      <c r="R306" s="3">
        <v>0.44069999999999998</v>
      </c>
      <c r="S306" s="2">
        <v>45718</v>
      </c>
      <c r="T306" s="1">
        <v>348</v>
      </c>
      <c r="U306" s="1" t="s">
        <v>7</v>
      </c>
      <c r="V306" s="1">
        <v>151</v>
      </c>
      <c r="W306" s="1" t="b">
        <v>0</v>
      </c>
      <c r="X306" s="1" t="b">
        <v>1</v>
      </c>
      <c r="Y306" s="1">
        <v>80000</v>
      </c>
    </row>
    <row r="307" spans="1:25" x14ac:dyDescent="0.35">
      <c r="A307" s="1" t="s">
        <v>667</v>
      </c>
      <c r="B307" s="1" t="s">
        <v>1</v>
      </c>
      <c r="C307" s="1" t="s">
        <v>48</v>
      </c>
      <c r="D307" s="1" t="s">
        <v>3</v>
      </c>
      <c r="E307" s="1">
        <v>2023</v>
      </c>
      <c r="F307" s="4">
        <v>10000000</v>
      </c>
      <c r="G307" s="4">
        <v>4943</v>
      </c>
      <c r="H307" s="1">
        <v>4</v>
      </c>
      <c r="I307" s="1">
        <v>2</v>
      </c>
      <c r="J307" s="1">
        <v>3</v>
      </c>
      <c r="K307" s="1" t="s">
        <v>61</v>
      </c>
      <c r="L307" s="1" t="s">
        <v>668</v>
      </c>
      <c r="M307" s="1">
        <v>4</v>
      </c>
      <c r="N307" s="1">
        <v>10</v>
      </c>
      <c r="O307" s="1">
        <v>41253</v>
      </c>
      <c r="P307" s="1">
        <v>4.95</v>
      </c>
      <c r="Q307" s="1" t="s">
        <v>6</v>
      </c>
      <c r="R307" s="3">
        <v>0.4975</v>
      </c>
      <c r="S307" s="2">
        <v>45810</v>
      </c>
      <c r="T307" s="1">
        <v>63</v>
      </c>
      <c r="U307" s="1" t="s">
        <v>7</v>
      </c>
      <c r="V307" s="1">
        <v>133</v>
      </c>
      <c r="W307" s="1" t="b">
        <v>1</v>
      </c>
      <c r="X307" s="1" t="b">
        <v>0</v>
      </c>
      <c r="Y307" s="1">
        <v>0</v>
      </c>
    </row>
    <row r="308" spans="1:25" x14ac:dyDescent="0.35">
      <c r="A308" s="1" t="s">
        <v>669</v>
      </c>
      <c r="B308" s="1" t="s">
        <v>54</v>
      </c>
      <c r="C308" s="1" t="s">
        <v>104</v>
      </c>
      <c r="D308" s="1" t="s">
        <v>38</v>
      </c>
      <c r="E308" s="1">
        <v>7863</v>
      </c>
      <c r="F308" s="4">
        <v>40000000</v>
      </c>
      <c r="G308" s="4">
        <v>5087</v>
      </c>
      <c r="H308" s="1">
        <v>5</v>
      </c>
      <c r="I308" s="1">
        <v>3</v>
      </c>
      <c r="J308" s="1">
        <v>11</v>
      </c>
      <c r="K308" s="1" t="s">
        <v>42</v>
      </c>
      <c r="L308" s="1" t="s">
        <v>670</v>
      </c>
      <c r="M308" s="1">
        <v>6</v>
      </c>
      <c r="N308" s="1">
        <v>5</v>
      </c>
      <c r="O308" s="1">
        <v>116712</v>
      </c>
      <c r="P308" s="1">
        <v>3.5</v>
      </c>
      <c r="Q308" s="1" t="s">
        <v>14</v>
      </c>
      <c r="R308" s="3">
        <v>0.42509999999999998</v>
      </c>
      <c r="S308" s="2">
        <v>45647</v>
      </c>
      <c r="T308" s="1">
        <v>51</v>
      </c>
      <c r="U308" s="1" t="s">
        <v>7</v>
      </c>
      <c r="V308" s="1">
        <v>37</v>
      </c>
      <c r="W308" s="1" t="b">
        <v>1</v>
      </c>
      <c r="X308" s="1" t="b">
        <v>1</v>
      </c>
      <c r="Y308" s="1">
        <v>0</v>
      </c>
    </row>
    <row r="309" spans="1:25" x14ac:dyDescent="0.35">
      <c r="A309" s="1" t="s">
        <v>671</v>
      </c>
      <c r="B309" s="1" t="s">
        <v>1</v>
      </c>
      <c r="C309" s="1" t="s">
        <v>2</v>
      </c>
      <c r="D309" s="1" t="s">
        <v>27</v>
      </c>
      <c r="E309" s="1">
        <v>5134</v>
      </c>
      <c r="F309" s="4">
        <v>10000000</v>
      </c>
      <c r="G309" s="4">
        <v>1947</v>
      </c>
      <c r="H309" s="1">
        <v>5</v>
      </c>
      <c r="I309" s="1">
        <v>2</v>
      </c>
      <c r="J309" s="1">
        <v>9</v>
      </c>
      <c r="K309" s="1" t="s">
        <v>4</v>
      </c>
      <c r="L309" s="1" t="s">
        <v>672</v>
      </c>
      <c r="M309" s="1">
        <v>7</v>
      </c>
      <c r="N309" s="1">
        <v>6</v>
      </c>
      <c r="O309" s="1">
        <v>33298</v>
      </c>
      <c r="P309" s="1">
        <v>4</v>
      </c>
      <c r="Q309" s="1" t="s">
        <v>6</v>
      </c>
      <c r="R309" s="3">
        <v>0.44979999999999998</v>
      </c>
      <c r="S309" s="2">
        <v>45640</v>
      </c>
      <c r="T309" s="1">
        <v>280</v>
      </c>
      <c r="U309" s="1" t="s">
        <v>7</v>
      </c>
      <c r="V309" s="1">
        <v>168</v>
      </c>
      <c r="W309" s="1" t="b">
        <v>1</v>
      </c>
      <c r="X309" s="1" t="b">
        <v>1</v>
      </c>
      <c r="Y309" s="1">
        <v>0</v>
      </c>
    </row>
    <row r="310" spans="1:25" x14ac:dyDescent="0.35">
      <c r="A310" s="1" t="s">
        <v>673</v>
      </c>
      <c r="B310" s="1" t="s">
        <v>9</v>
      </c>
      <c r="C310" s="1" t="s">
        <v>114</v>
      </c>
      <c r="D310" s="1" t="s">
        <v>11</v>
      </c>
      <c r="E310" s="1">
        <v>411</v>
      </c>
      <c r="F310" s="4">
        <v>50000000</v>
      </c>
      <c r="G310" s="4">
        <v>121654</v>
      </c>
      <c r="H310" s="1">
        <v>1</v>
      </c>
      <c r="I310" s="1">
        <v>2</v>
      </c>
      <c r="J310" s="1">
        <v>14</v>
      </c>
      <c r="K310" s="1" t="s">
        <v>61</v>
      </c>
      <c r="L310" s="1" t="s">
        <v>674</v>
      </c>
      <c r="M310" s="1">
        <v>3</v>
      </c>
      <c r="N310" s="1">
        <v>4</v>
      </c>
      <c r="O310" s="1">
        <v>136207</v>
      </c>
      <c r="P310" s="1">
        <v>3.27</v>
      </c>
      <c r="Q310" s="1" t="s">
        <v>14</v>
      </c>
      <c r="R310" s="3">
        <v>0.41340000000000005</v>
      </c>
      <c r="S310" s="2">
        <v>45758</v>
      </c>
      <c r="T310" s="1">
        <v>346</v>
      </c>
      <c r="U310" s="1" t="s">
        <v>7</v>
      </c>
      <c r="V310" s="1">
        <v>175</v>
      </c>
      <c r="W310" s="1" t="b">
        <v>0</v>
      </c>
      <c r="X310" s="1" t="b">
        <v>0</v>
      </c>
      <c r="Y310" s="1">
        <v>0</v>
      </c>
    </row>
    <row r="311" spans="1:25" x14ac:dyDescent="0.35">
      <c r="A311" s="1" t="s">
        <v>675</v>
      </c>
      <c r="B311" s="1" t="s">
        <v>32</v>
      </c>
      <c r="C311" s="1" t="s">
        <v>41</v>
      </c>
      <c r="D311" s="1" t="s">
        <v>38</v>
      </c>
      <c r="E311" s="1">
        <v>3456</v>
      </c>
      <c r="F311" s="4">
        <v>12000000</v>
      </c>
      <c r="G311" s="4">
        <v>3472</v>
      </c>
      <c r="H311" s="1">
        <v>5</v>
      </c>
      <c r="I311" s="1">
        <v>3</v>
      </c>
      <c r="J311" s="1">
        <v>15</v>
      </c>
      <c r="K311" s="1" t="s">
        <v>61</v>
      </c>
      <c r="L311" s="1" t="s">
        <v>676</v>
      </c>
      <c r="M311" s="1">
        <v>7</v>
      </c>
      <c r="N311" s="1">
        <v>9</v>
      </c>
      <c r="O311" s="1">
        <v>36977</v>
      </c>
      <c r="P311" s="1">
        <v>3.7</v>
      </c>
      <c r="Q311" s="1" t="s">
        <v>6</v>
      </c>
      <c r="R311" s="3">
        <v>0.43490000000000001</v>
      </c>
      <c r="S311" s="2">
        <v>45559</v>
      </c>
      <c r="T311" s="1">
        <v>195</v>
      </c>
      <c r="U311" s="1" t="s">
        <v>7</v>
      </c>
      <c r="V311" s="1">
        <v>117</v>
      </c>
      <c r="W311" s="1" t="b">
        <v>1</v>
      </c>
      <c r="X311" s="1" t="b">
        <v>0</v>
      </c>
      <c r="Y311" s="1">
        <v>0</v>
      </c>
    </row>
    <row r="312" spans="1:25" x14ac:dyDescent="0.35">
      <c r="A312" s="1" t="s">
        <v>677</v>
      </c>
      <c r="B312" s="1" t="s">
        <v>54</v>
      </c>
      <c r="C312" s="1" t="s">
        <v>89</v>
      </c>
      <c r="D312" s="1" t="s">
        <v>20</v>
      </c>
      <c r="E312" s="1">
        <v>1731</v>
      </c>
      <c r="F312" s="4">
        <v>40000000</v>
      </c>
      <c r="G312" s="4">
        <v>23108</v>
      </c>
      <c r="H312" s="1">
        <v>3</v>
      </c>
      <c r="I312" s="1">
        <v>1</v>
      </c>
      <c r="J312" s="1">
        <v>7</v>
      </c>
      <c r="K312" s="1" t="s">
        <v>28</v>
      </c>
      <c r="L312" s="1" t="s">
        <v>678</v>
      </c>
      <c r="M312" s="1">
        <v>8</v>
      </c>
      <c r="N312" s="1">
        <v>8</v>
      </c>
      <c r="O312" s="1">
        <v>102491</v>
      </c>
      <c r="P312" s="1">
        <v>3.07</v>
      </c>
      <c r="Q312" s="1" t="s">
        <v>14</v>
      </c>
      <c r="R312" s="3">
        <v>0.40369999999999995</v>
      </c>
      <c r="S312" s="2">
        <v>45483</v>
      </c>
      <c r="T312" s="1">
        <v>216</v>
      </c>
      <c r="U312" s="1" t="s">
        <v>23</v>
      </c>
      <c r="V312" s="1">
        <v>161</v>
      </c>
      <c r="W312" s="1" t="b">
        <v>0</v>
      </c>
      <c r="X312" s="1" t="b">
        <v>1</v>
      </c>
      <c r="Y312" s="1">
        <v>0</v>
      </c>
    </row>
    <row r="313" spans="1:25" x14ac:dyDescent="0.35">
      <c r="A313" s="1" t="s">
        <v>679</v>
      </c>
      <c r="B313" s="1" t="s">
        <v>32</v>
      </c>
      <c r="C313" s="1" t="s">
        <v>33</v>
      </c>
      <c r="D313" s="1" t="s">
        <v>20</v>
      </c>
      <c r="E313" s="1">
        <v>3047</v>
      </c>
      <c r="F313" s="4">
        <v>12000000</v>
      </c>
      <c r="G313" s="4">
        <v>3938</v>
      </c>
      <c r="H313" s="1">
        <v>5</v>
      </c>
      <c r="I313" s="1">
        <v>3</v>
      </c>
      <c r="J313" s="1">
        <v>18</v>
      </c>
      <c r="K313" s="1" t="s">
        <v>12</v>
      </c>
      <c r="L313" s="1" t="s">
        <v>680</v>
      </c>
      <c r="M313" s="1">
        <v>3</v>
      </c>
      <c r="N313" s="1">
        <v>8</v>
      </c>
      <c r="O313" s="1">
        <v>46229</v>
      </c>
      <c r="P313" s="1">
        <v>4.62</v>
      </c>
      <c r="Q313" s="1" t="s">
        <v>6</v>
      </c>
      <c r="R313" s="3">
        <v>0.48109999999999997</v>
      </c>
      <c r="S313" s="2">
        <v>45473</v>
      </c>
      <c r="T313" s="1">
        <v>187</v>
      </c>
      <c r="U313" s="1" t="s">
        <v>7</v>
      </c>
      <c r="V313" s="1">
        <v>106</v>
      </c>
      <c r="W313" s="1" t="b">
        <v>0</v>
      </c>
      <c r="X313" s="1" t="b">
        <v>1</v>
      </c>
      <c r="Y313" s="1">
        <v>0</v>
      </c>
    </row>
    <row r="314" spans="1:25" x14ac:dyDescent="0.35">
      <c r="A314" s="1" t="s">
        <v>681</v>
      </c>
      <c r="B314" s="1" t="s">
        <v>1</v>
      </c>
      <c r="C314" s="1" t="s">
        <v>2</v>
      </c>
      <c r="D314" s="1" t="s">
        <v>38</v>
      </c>
      <c r="E314" s="1">
        <v>4753</v>
      </c>
      <c r="F314" s="4">
        <v>10000000</v>
      </c>
      <c r="G314" s="4">
        <v>2103</v>
      </c>
      <c r="H314" s="1">
        <v>5</v>
      </c>
      <c r="I314" s="1">
        <v>3</v>
      </c>
      <c r="J314" s="1">
        <v>1</v>
      </c>
      <c r="K314" s="1" t="s">
        <v>58</v>
      </c>
      <c r="L314" s="1" t="s">
        <v>682</v>
      </c>
      <c r="M314" s="1">
        <v>5</v>
      </c>
      <c r="N314" s="1">
        <v>4</v>
      </c>
      <c r="O314" s="1">
        <v>34636</v>
      </c>
      <c r="P314" s="1">
        <v>4.16</v>
      </c>
      <c r="Q314" s="1" t="s">
        <v>6</v>
      </c>
      <c r="R314" s="3">
        <v>0.45779999999999998</v>
      </c>
      <c r="S314" s="2">
        <v>45550</v>
      </c>
      <c r="T314" s="1">
        <v>272</v>
      </c>
      <c r="U314" s="1" t="s">
        <v>7</v>
      </c>
      <c r="V314" s="1">
        <v>175</v>
      </c>
      <c r="W314" s="1" t="b">
        <v>0</v>
      </c>
      <c r="X314" s="1" t="b">
        <v>0</v>
      </c>
      <c r="Y314" s="1">
        <v>20000</v>
      </c>
    </row>
    <row r="315" spans="1:25" x14ac:dyDescent="0.35">
      <c r="A315" s="1" t="s">
        <v>683</v>
      </c>
      <c r="B315" s="1" t="s">
        <v>54</v>
      </c>
      <c r="C315" s="1" t="s">
        <v>64</v>
      </c>
      <c r="D315" s="1" t="s">
        <v>20</v>
      </c>
      <c r="E315" s="1">
        <v>3567</v>
      </c>
      <c r="F315" s="4">
        <v>40000000</v>
      </c>
      <c r="G315" s="4">
        <v>11213</v>
      </c>
      <c r="H315" s="1">
        <v>4</v>
      </c>
      <c r="I315" s="1">
        <v>3</v>
      </c>
      <c r="J315" s="1">
        <v>21</v>
      </c>
      <c r="K315" s="1" t="s">
        <v>61</v>
      </c>
      <c r="L315" s="1" t="s">
        <v>684</v>
      </c>
      <c r="M315" s="1">
        <v>7</v>
      </c>
      <c r="N315" s="1">
        <v>8</v>
      </c>
      <c r="O315" s="1">
        <v>141856</v>
      </c>
      <c r="P315" s="1">
        <v>4.26</v>
      </c>
      <c r="Q315" s="1" t="s">
        <v>14</v>
      </c>
      <c r="R315" s="3">
        <v>0.46279999999999999</v>
      </c>
      <c r="S315" s="2">
        <v>45628</v>
      </c>
      <c r="T315" s="1">
        <v>110</v>
      </c>
      <c r="U315" s="1" t="s">
        <v>23</v>
      </c>
      <c r="V315" s="1">
        <v>157</v>
      </c>
      <c r="W315" s="1" t="b">
        <v>0</v>
      </c>
      <c r="X315" s="1" t="b">
        <v>0</v>
      </c>
      <c r="Y315" s="1">
        <v>0</v>
      </c>
    </row>
    <row r="316" spans="1:25" x14ac:dyDescent="0.35">
      <c r="A316" s="1" t="s">
        <v>685</v>
      </c>
      <c r="B316" s="1" t="s">
        <v>32</v>
      </c>
      <c r="C316" s="1" t="s">
        <v>194</v>
      </c>
      <c r="D316" s="1" t="s">
        <v>3</v>
      </c>
      <c r="E316" s="1">
        <v>2539</v>
      </c>
      <c r="F316" s="4">
        <v>12000000</v>
      </c>
      <c r="G316" s="4">
        <v>4726</v>
      </c>
      <c r="H316" s="1">
        <v>2</v>
      </c>
      <c r="I316" s="1">
        <v>2</v>
      </c>
      <c r="J316" s="1">
        <v>14</v>
      </c>
      <c r="K316" s="1" t="s">
        <v>21</v>
      </c>
      <c r="L316" s="1" t="s">
        <v>686</v>
      </c>
      <c r="M316" s="1">
        <v>4</v>
      </c>
      <c r="N316" s="1">
        <v>10</v>
      </c>
      <c r="O316" s="1">
        <v>47203</v>
      </c>
      <c r="P316" s="1">
        <v>4.72</v>
      </c>
      <c r="Q316" s="1" t="s">
        <v>6</v>
      </c>
      <c r="R316" s="3">
        <v>0.48599999999999999</v>
      </c>
      <c r="S316" s="2">
        <v>46091</v>
      </c>
      <c r="T316" s="1">
        <v>137</v>
      </c>
      <c r="U316" s="1" t="s">
        <v>30</v>
      </c>
      <c r="V316" s="1">
        <v>135</v>
      </c>
      <c r="W316" s="1" t="b">
        <v>0</v>
      </c>
      <c r="X316" s="1" t="b">
        <v>1</v>
      </c>
      <c r="Y316" s="1">
        <v>0</v>
      </c>
    </row>
    <row r="317" spans="1:25" x14ac:dyDescent="0.35">
      <c r="A317" s="1" t="s">
        <v>687</v>
      </c>
      <c r="B317" s="1" t="s">
        <v>1</v>
      </c>
      <c r="C317" s="1" t="s">
        <v>51</v>
      </c>
      <c r="D317" s="1" t="s">
        <v>27</v>
      </c>
      <c r="E317" s="1">
        <v>5324</v>
      </c>
      <c r="F317" s="4">
        <v>10000000</v>
      </c>
      <c r="G317" s="4">
        <v>1878</v>
      </c>
      <c r="H317" s="1">
        <v>4</v>
      </c>
      <c r="I317" s="1">
        <v>2</v>
      </c>
      <c r="J317" s="1">
        <v>4</v>
      </c>
      <c r="K317" s="1" t="s">
        <v>42</v>
      </c>
      <c r="L317" s="1" t="s">
        <v>688</v>
      </c>
      <c r="M317" s="1">
        <v>4</v>
      </c>
      <c r="N317" s="1">
        <v>5</v>
      </c>
      <c r="O317" s="1">
        <v>32268</v>
      </c>
      <c r="P317" s="1">
        <v>3.87</v>
      </c>
      <c r="Q317" s="1" t="s">
        <v>6</v>
      </c>
      <c r="R317" s="3">
        <v>0.44359999999999999</v>
      </c>
      <c r="S317" s="2">
        <v>45494</v>
      </c>
      <c r="T317" s="1">
        <v>140</v>
      </c>
      <c r="U317" s="1" t="s">
        <v>23</v>
      </c>
      <c r="V317" s="1">
        <v>70</v>
      </c>
      <c r="W317" s="1" t="b">
        <v>1</v>
      </c>
      <c r="X317" s="1" t="b">
        <v>1</v>
      </c>
      <c r="Y317" s="1">
        <v>0</v>
      </c>
    </row>
    <row r="318" spans="1:25" x14ac:dyDescent="0.35">
      <c r="A318" s="1" t="s">
        <v>689</v>
      </c>
      <c r="B318" s="1" t="s">
        <v>54</v>
      </c>
      <c r="C318" s="1" t="s">
        <v>104</v>
      </c>
      <c r="D318" s="1" t="s">
        <v>38</v>
      </c>
      <c r="E318" s="1">
        <v>4441</v>
      </c>
      <c r="F318" s="4">
        <v>40000000</v>
      </c>
      <c r="G318" s="4">
        <v>9006</v>
      </c>
      <c r="H318" s="1">
        <v>6</v>
      </c>
      <c r="I318" s="1">
        <v>3</v>
      </c>
      <c r="J318" s="1">
        <v>30</v>
      </c>
      <c r="K318" s="1" t="s">
        <v>21</v>
      </c>
      <c r="L318" s="1" t="s">
        <v>690</v>
      </c>
      <c r="M318" s="1">
        <v>8</v>
      </c>
      <c r="N318" s="1">
        <v>10</v>
      </c>
      <c r="O318" s="1">
        <v>144778</v>
      </c>
      <c r="P318" s="1">
        <v>4.34</v>
      </c>
      <c r="Q318" s="1" t="s">
        <v>14</v>
      </c>
      <c r="R318" s="3">
        <v>0.4672</v>
      </c>
      <c r="S318" s="2">
        <v>46064</v>
      </c>
      <c r="T318" s="1">
        <v>121</v>
      </c>
      <c r="U318" s="1" t="s">
        <v>7</v>
      </c>
      <c r="V318" s="1">
        <v>65</v>
      </c>
      <c r="W318" s="1" t="b">
        <v>1</v>
      </c>
      <c r="X318" s="1" t="b">
        <v>1</v>
      </c>
      <c r="Y318" s="1">
        <v>0</v>
      </c>
    </row>
    <row r="319" spans="1:25" x14ac:dyDescent="0.35">
      <c r="A319" s="1" t="s">
        <v>691</v>
      </c>
      <c r="B319" s="1" t="s">
        <v>18</v>
      </c>
      <c r="C319" s="1" t="s">
        <v>169</v>
      </c>
      <c r="D319" s="1" t="s">
        <v>27</v>
      </c>
      <c r="E319" s="1">
        <v>6913</v>
      </c>
      <c r="F319" s="4">
        <v>15000000</v>
      </c>
      <c r="G319" s="4">
        <v>2169</v>
      </c>
      <c r="H319" s="1">
        <v>3</v>
      </c>
      <c r="I319" s="1">
        <v>2</v>
      </c>
      <c r="J319" s="1">
        <v>10</v>
      </c>
      <c r="K319" s="1" t="s">
        <v>4</v>
      </c>
      <c r="L319" s="1" t="s">
        <v>692</v>
      </c>
      <c r="M319" s="1">
        <v>7</v>
      </c>
      <c r="N319" s="1">
        <v>4</v>
      </c>
      <c r="O319" s="1">
        <v>48486</v>
      </c>
      <c r="P319" s="1">
        <v>3.88</v>
      </c>
      <c r="Q319" s="1" t="s">
        <v>6</v>
      </c>
      <c r="R319" s="3">
        <v>0.44390000000000002</v>
      </c>
      <c r="S319" s="2">
        <v>45896</v>
      </c>
      <c r="T319" s="1">
        <v>274</v>
      </c>
      <c r="U319" s="1" t="s">
        <v>23</v>
      </c>
      <c r="V319" s="1">
        <v>155</v>
      </c>
      <c r="W319" s="1" t="b">
        <v>0</v>
      </c>
      <c r="X319" s="1" t="b">
        <v>1</v>
      </c>
      <c r="Y319" s="1">
        <v>0</v>
      </c>
    </row>
    <row r="320" spans="1:25" x14ac:dyDescent="0.35">
      <c r="A320" s="1" t="s">
        <v>693</v>
      </c>
      <c r="B320" s="1" t="s">
        <v>32</v>
      </c>
      <c r="C320" s="1" t="s">
        <v>197</v>
      </c>
      <c r="D320" s="1" t="s">
        <v>11</v>
      </c>
      <c r="E320" s="1">
        <v>599</v>
      </c>
      <c r="F320" s="4">
        <v>12000000</v>
      </c>
      <c r="G320" s="4">
        <v>20033</v>
      </c>
      <c r="H320" s="1">
        <v>0</v>
      </c>
      <c r="I320" s="1">
        <v>2</v>
      </c>
      <c r="J320" s="1">
        <v>28</v>
      </c>
      <c r="K320" s="1" t="s">
        <v>34</v>
      </c>
      <c r="L320" s="1" t="s">
        <v>694</v>
      </c>
      <c r="M320" s="1">
        <v>4</v>
      </c>
      <c r="N320" s="1">
        <v>9</v>
      </c>
      <c r="O320" s="1">
        <v>49336</v>
      </c>
      <c r="P320" s="1">
        <v>4.93</v>
      </c>
      <c r="Q320" s="1" t="s">
        <v>6</v>
      </c>
      <c r="R320" s="3">
        <v>0.49670000000000003</v>
      </c>
      <c r="S320" s="2">
        <v>45536</v>
      </c>
      <c r="T320" s="1">
        <v>354</v>
      </c>
      <c r="U320" s="1" t="s">
        <v>7</v>
      </c>
      <c r="V320" s="1">
        <v>43</v>
      </c>
      <c r="W320" s="1" t="b">
        <v>1</v>
      </c>
      <c r="X320" s="1" t="b">
        <v>0</v>
      </c>
      <c r="Y320" s="1">
        <v>0</v>
      </c>
    </row>
    <row r="321" spans="1:25" x14ac:dyDescent="0.35">
      <c r="A321" s="1" t="s">
        <v>695</v>
      </c>
      <c r="B321" s="1" t="s">
        <v>54</v>
      </c>
      <c r="C321" s="1" t="s">
        <v>104</v>
      </c>
      <c r="D321" s="1" t="s">
        <v>20</v>
      </c>
      <c r="E321" s="1">
        <v>4826</v>
      </c>
      <c r="F321" s="4">
        <v>40000000</v>
      </c>
      <c r="G321" s="4">
        <v>8288</v>
      </c>
      <c r="H321" s="1">
        <v>2</v>
      </c>
      <c r="I321" s="1">
        <v>1</v>
      </c>
      <c r="J321" s="1">
        <v>27</v>
      </c>
      <c r="K321" s="1" t="s">
        <v>4</v>
      </c>
      <c r="L321" s="1" t="s">
        <v>696</v>
      </c>
      <c r="M321" s="1">
        <v>6</v>
      </c>
      <c r="N321" s="1">
        <v>9</v>
      </c>
      <c r="O321" s="1">
        <v>157294</v>
      </c>
      <c r="P321" s="1">
        <v>4.72</v>
      </c>
      <c r="Q321" s="1" t="s">
        <v>14</v>
      </c>
      <c r="R321" s="3">
        <v>0.48590000000000005</v>
      </c>
      <c r="S321" s="2">
        <v>45992</v>
      </c>
      <c r="T321" s="1">
        <v>330</v>
      </c>
      <c r="U321" s="1" t="s">
        <v>23</v>
      </c>
      <c r="V321" s="1">
        <v>111</v>
      </c>
      <c r="W321" s="1" t="b">
        <v>0</v>
      </c>
      <c r="X321" s="1" t="b">
        <v>1</v>
      </c>
      <c r="Y321" s="1">
        <v>0</v>
      </c>
    </row>
    <row r="322" spans="1:25" x14ac:dyDescent="0.35">
      <c r="A322" s="1" t="s">
        <v>697</v>
      </c>
      <c r="B322" s="1" t="s">
        <v>9</v>
      </c>
      <c r="C322" s="1" t="s">
        <v>114</v>
      </c>
      <c r="D322" s="1" t="s">
        <v>11</v>
      </c>
      <c r="E322" s="1">
        <v>461</v>
      </c>
      <c r="F322" s="4">
        <v>50000000</v>
      </c>
      <c r="G322" s="4">
        <v>108459</v>
      </c>
      <c r="H322" s="1">
        <v>1</v>
      </c>
      <c r="I322" s="1">
        <v>2</v>
      </c>
      <c r="J322" s="1">
        <v>28</v>
      </c>
      <c r="K322" s="1" t="s">
        <v>12</v>
      </c>
      <c r="L322" s="1" t="s">
        <v>698</v>
      </c>
      <c r="M322" s="1">
        <v>3</v>
      </c>
      <c r="N322" s="1">
        <v>7</v>
      </c>
      <c r="O322" s="1">
        <v>185769</v>
      </c>
      <c r="P322" s="1">
        <v>4.46</v>
      </c>
      <c r="Q322" s="1" t="s">
        <v>14</v>
      </c>
      <c r="R322" s="3">
        <v>0.47289999999999999</v>
      </c>
      <c r="S322" s="2">
        <v>45596</v>
      </c>
      <c r="T322" s="1">
        <v>27</v>
      </c>
      <c r="U322" s="1" t="s">
        <v>30</v>
      </c>
      <c r="V322" s="1">
        <v>37</v>
      </c>
      <c r="W322" s="1" t="b">
        <v>1</v>
      </c>
      <c r="X322" s="1" t="b">
        <v>0</v>
      </c>
      <c r="Y322" s="1">
        <v>100000</v>
      </c>
    </row>
    <row r="323" spans="1:25" x14ac:dyDescent="0.35">
      <c r="A323" s="1" t="s">
        <v>699</v>
      </c>
      <c r="B323" s="1" t="s">
        <v>9</v>
      </c>
      <c r="C323" s="1" t="s">
        <v>114</v>
      </c>
      <c r="D323" s="1" t="s">
        <v>27</v>
      </c>
      <c r="E323" s="1">
        <v>7147</v>
      </c>
      <c r="F323" s="4">
        <v>50000000</v>
      </c>
      <c r="G323" s="4">
        <v>6995</v>
      </c>
      <c r="H323" s="1">
        <v>5</v>
      </c>
      <c r="I323" s="1">
        <v>3</v>
      </c>
      <c r="J323" s="1">
        <v>18</v>
      </c>
      <c r="K323" s="1" t="s">
        <v>61</v>
      </c>
      <c r="L323" s="1" t="s">
        <v>700</v>
      </c>
      <c r="M323" s="1">
        <v>3</v>
      </c>
      <c r="N323" s="1">
        <v>10</v>
      </c>
      <c r="O323" s="1">
        <v>182146</v>
      </c>
      <c r="P323" s="1">
        <v>4.37</v>
      </c>
      <c r="Q323" s="1" t="s">
        <v>14</v>
      </c>
      <c r="R323" s="3">
        <v>0.46860000000000002</v>
      </c>
      <c r="S323" s="2">
        <v>45829</v>
      </c>
      <c r="T323" s="1">
        <v>134</v>
      </c>
      <c r="U323" s="1" t="s">
        <v>7</v>
      </c>
      <c r="V323" s="1">
        <v>64</v>
      </c>
      <c r="W323" s="1" t="b">
        <v>1</v>
      </c>
      <c r="X323" s="1" t="b">
        <v>0</v>
      </c>
      <c r="Y323" s="1">
        <v>0</v>
      </c>
    </row>
    <row r="324" spans="1:25" x14ac:dyDescent="0.35">
      <c r="A324" s="1" t="s">
        <v>701</v>
      </c>
      <c r="B324" s="1" t="s">
        <v>25</v>
      </c>
      <c r="C324" s="1" t="s">
        <v>314</v>
      </c>
      <c r="D324" s="1" t="s">
        <v>11</v>
      </c>
      <c r="E324" s="1">
        <v>438</v>
      </c>
      <c r="F324" s="4">
        <v>30000000</v>
      </c>
      <c r="G324" s="4">
        <v>68493</v>
      </c>
      <c r="H324" s="1">
        <v>0</v>
      </c>
      <c r="I324" s="1">
        <v>2</v>
      </c>
      <c r="J324" s="1">
        <v>28</v>
      </c>
      <c r="K324" s="1" t="s">
        <v>4</v>
      </c>
      <c r="L324" s="1" t="s">
        <v>702</v>
      </c>
      <c r="M324" s="1">
        <v>6</v>
      </c>
      <c r="N324" s="1">
        <v>10</v>
      </c>
      <c r="O324" s="1">
        <v>123706</v>
      </c>
      <c r="P324" s="1">
        <v>4.95</v>
      </c>
      <c r="Q324" s="1" t="s">
        <v>14</v>
      </c>
      <c r="R324" s="3">
        <v>0.49740000000000001</v>
      </c>
      <c r="S324" s="2">
        <v>45953</v>
      </c>
      <c r="T324" s="1">
        <v>26</v>
      </c>
      <c r="U324" s="1" t="s">
        <v>7</v>
      </c>
      <c r="V324" s="1">
        <v>73</v>
      </c>
      <c r="W324" s="1" t="b">
        <v>0</v>
      </c>
      <c r="X324" s="1" t="b">
        <v>0</v>
      </c>
      <c r="Y324" s="1">
        <v>0</v>
      </c>
    </row>
    <row r="325" spans="1:25" x14ac:dyDescent="0.35">
      <c r="A325" s="1" t="s">
        <v>703</v>
      </c>
      <c r="B325" s="1" t="s">
        <v>25</v>
      </c>
      <c r="C325" s="1" t="s">
        <v>314</v>
      </c>
      <c r="D325" s="1" t="s">
        <v>20</v>
      </c>
      <c r="E325" s="1">
        <v>2196</v>
      </c>
      <c r="F325" s="4">
        <v>30000000</v>
      </c>
      <c r="G325" s="4">
        <v>13661</v>
      </c>
      <c r="H325" s="1">
        <v>2</v>
      </c>
      <c r="I325" s="1">
        <v>1</v>
      </c>
      <c r="J325" s="1">
        <v>22</v>
      </c>
      <c r="K325" s="1" t="s">
        <v>34</v>
      </c>
      <c r="L325" s="1" t="s">
        <v>704</v>
      </c>
      <c r="M325" s="1">
        <v>7</v>
      </c>
      <c r="N325" s="1">
        <v>5</v>
      </c>
      <c r="O325" s="1">
        <v>99708</v>
      </c>
      <c r="P325" s="1">
        <v>3.99</v>
      </c>
      <c r="Q325" s="1" t="s">
        <v>14</v>
      </c>
      <c r="R325" s="3">
        <v>0.44939999999999997</v>
      </c>
      <c r="S325" s="2">
        <v>46023</v>
      </c>
      <c r="T325" s="1">
        <v>145</v>
      </c>
      <c r="U325" s="1" t="s">
        <v>7</v>
      </c>
      <c r="V325" s="1">
        <v>85</v>
      </c>
      <c r="W325" s="1" t="b">
        <v>1</v>
      </c>
      <c r="X325" s="1" t="b">
        <v>0</v>
      </c>
      <c r="Y325" s="1">
        <v>60000</v>
      </c>
    </row>
    <row r="326" spans="1:25" x14ac:dyDescent="0.35">
      <c r="A326" s="1" t="s">
        <v>705</v>
      </c>
      <c r="B326" s="1" t="s">
        <v>18</v>
      </c>
      <c r="C326" s="1" t="s">
        <v>217</v>
      </c>
      <c r="D326" s="1" t="s">
        <v>3</v>
      </c>
      <c r="E326" s="1">
        <v>1588</v>
      </c>
      <c r="F326" s="4">
        <v>15000000</v>
      </c>
      <c r="G326" s="4">
        <v>9445</v>
      </c>
      <c r="H326" s="1">
        <v>3</v>
      </c>
      <c r="I326" s="1">
        <v>1</v>
      </c>
      <c r="J326" s="1">
        <v>19</v>
      </c>
      <c r="K326" s="1" t="s">
        <v>61</v>
      </c>
      <c r="L326" s="1" t="s">
        <v>706</v>
      </c>
      <c r="M326" s="1">
        <v>6</v>
      </c>
      <c r="N326" s="1">
        <v>9</v>
      </c>
      <c r="O326" s="1">
        <v>61859</v>
      </c>
      <c r="P326" s="1">
        <v>4.95</v>
      </c>
      <c r="Q326" s="1" t="s">
        <v>6</v>
      </c>
      <c r="R326" s="3">
        <v>0.49740000000000001</v>
      </c>
      <c r="S326" s="2">
        <v>45749</v>
      </c>
      <c r="T326" s="1">
        <v>363</v>
      </c>
      <c r="U326" s="1" t="s">
        <v>30</v>
      </c>
      <c r="V326" s="1">
        <v>128</v>
      </c>
      <c r="W326" s="1" t="b">
        <v>0</v>
      </c>
      <c r="X326" s="1" t="b">
        <v>0</v>
      </c>
      <c r="Y326" s="1">
        <v>30000</v>
      </c>
    </row>
    <row r="327" spans="1:25" x14ac:dyDescent="0.35">
      <c r="A327" s="1" t="s">
        <v>707</v>
      </c>
      <c r="B327" s="1" t="s">
        <v>9</v>
      </c>
      <c r="C327" s="1" t="s">
        <v>109</v>
      </c>
      <c r="D327" s="1" t="s">
        <v>3</v>
      </c>
      <c r="E327" s="1">
        <v>613</v>
      </c>
      <c r="F327" s="4">
        <v>50000000</v>
      </c>
      <c r="G327" s="4">
        <v>81566</v>
      </c>
      <c r="H327" s="1">
        <v>3</v>
      </c>
      <c r="I327" s="1">
        <v>1</v>
      </c>
      <c r="J327" s="1">
        <v>15</v>
      </c>
      <c r="K327" s="1" t="s">
        <v>21</v>
      </c>
      <c r="L327" s="1" t="s">
        <v>708</v>
      </c>
      <c r="M327" s="1">
        <v>5</v>
      </c>
      <c r="N327" s="1">
        <v>8</v>
      </c>
      <c r="O327" s="1">
        <v>157891</v>
      </c>
      <c r="P327" s="1">
        <v>3.79</v>
      </c>
      <c r="Q327" s="1" t="s">
        <v>14</v>
      </c>
      <c r="R327" s="3">
        <v>0.4395</v>
      </c>
      <c r="S327" s="2">
        <v>45777</v>
      </c>
      <c r="T327" s="1">
        <v>298</v>
      </c>
      <c r="U327" s="1" t="s">
        <v>7</v>
      </c>
      <c r="V327" s="1">
        <v>40</v>
      </c>
      <c r="W327" s="1" t="b">
        <v>1</v>
      </c>
      <c r="X327" s="1" t="b">
        <v>0</v>
      </c>
      <c r="Y327" s="1">
        <v>100000</v>
      </c>
    </row>
    <row r="328" spans="1:25" x14ac:dyDescent="0.35">
      <c r="A328" s="1" t="s">
        <v>709</v>
      </c>
      <c r="B328" s="1" t="s">
        <v>32</v>
      </c>
      <c r="C328" s="1" t="s">
        <v>197</v>
      </c>
      <c r="D328" s="1" t="s">
        <v>20</v>
      </c>
      <c r="E328" s="1">
        <v>3417</v>
      </c>
      <c r="F328" s="4">
        <v>12000000</v>
      </c>
      <c r="G328" s="4">
        <v>3511</v>
      </c>
      <c r="H328" s="1">
        <v>3</v>
      </c>
      <c r="I328" s="1">
        <v>1</v>
      </c>
      <c r="J328" s="1">
        <v>10</v>
      </c>
      <c r="K328" s="1" t="s">
        <v>42</v>
      </c>
      <c r="L328" s="1" t="s">
        <v>710</v>
      </c>
      <c r="M328" s="1">
        <v>8</v>
      </c>
      <c r="N328" s="1">
        <v>6</v>
      </c>
      <c r="O328" s="1">
        <v>46696</v>
      </c>
      <c r="P328" s="1">
        <v>4.67</v>
      </c>
      <c r="Q328" s="1" t="s">
        <v>6</v>
      </c>
      <c r="R328" s="3">
        <v>0.48350000000000004</v>
      </c>
      <c r="S328" s="2">
        <v>45787</v>
      </c>
      <c r="T328" s="1">
        <v>314</v>
      </c>
      <c r="U328" s="1" t="s">
        <v>23</v>
      </c>
      <c r="V328" s="1">
        <v>97</v>
      </c>
      <c r="W328" s="1" t="b">
        <v>0</v>
      </c>
      <c r="X328" s="1" t="b">
        <v>0</v>
      </c>
      <c r="Y328" s="1">
        <v>0</v>
      </c>
    </row>
    <row r="329" spans="1:25" x14ac:dyDescent="0.35">
      <c r="A329" s="1" t="s">
        <v>711</v>
      </c>
      <c r="B329" s="1" t="s">
        <v>25</v>
      </c>
      <c r="C329" s="1" t="s">
        <v>26</v>
      </c>
      <c r="D329" s="1" t="s">
        <v>11</v>
      </c>
      <c r="E329" s="1">
        <v>327</v>
      </c>
      <c r="F329" s="4">
        <v>25905850</v>
      </c>
      <c r="G329" s="4">
        <v>79222</v>
      </c>
      <c r="H329" s="1">
        <v>1</v>
      </c>
      <c r="I329" s="1">
        <v>1</v>
      </c>
      <c r="J329" s="1">
        <v>6</v>
      </c>
      <c r="K329" s="1" t="s">
        <v>42</v>
      </c>
      <c r="L329" s="1" t="s">
        <v>712</v>
      </c>
      <c r="M329" s="1">
        <v>4</v>
      </c>
      <c r="N329" s="1">
        <v>7</v>
      </c>
      <c r="O329" s="1">
        <v>95245</v>
      </c>
      <c r="P329" s="1">
        <v>4.41</v>
      </c>
      <c r="Q329" s="1" t="s">
        <v>14</v>
      </c>
      <c r="R329" s="3">
        <v>0.47060000000000002</v>
      </c>
      <c r="S329" s="2">
        <v>45710</v>
      </c>
      <c r="T329" s="1">
        <v>227</v>
      </c>
      <c r="U329" s="1" t="s">
        <v>7</v>
      </c>
      <c r="V329" s="1">
        <v>40</v>
      </c>
      <c r="W329" s="1" t="b">
        <v>0</v>
      </c>
      <c r="X329" s="1" t="b">
        <v>0</v>
      </c>
      <c r="Y329" s="1">
        <v>0</v>
      </c>
    </row>
    <row r="330" spans="1:25" x14ac:dyDescent="0.35">
      <c r="A330" s="1" t="s">
        <v>713</v>
      </c>
      <c r="B330" s="1" t="s">
        <v>18</v>
      </c>
      <c r="C330" s="1" t="s">
        <v>169</v>
      </c>
      <c r="D330" s="1" t="s">
        <v>27</v>
      </c>
      <c r="E330" s="1">
        <v>3012</v>
      </c>
      <c r="F330" s="4">
        <v>15000000</v>
      </c>
      <c r="G330" s="4">
        <v>4980</v>
      </c>
      <c r="H330" s="1">
        <v>5</v>
      </c>
      <c r="I330" s="1">
        <v>2</v>
      </c>
      <c r="J330" s="1">
        <v>6</v>
      </c>
      <c r="K330" s="1" t="s">
        <v>4</v>
      </c>
      <c r="L330" s="1" t="s">
        <v>714</v>
      </c>
      <c r="M330" s="1">
        <v>5</v>
      </c>
      <c r="N330" s="1">
        <v>5</v>
      </c>
      <c r="O330" s="1">
        <v>61790</v>
      </c>
      <c r="P330" s="1">
        <v>4.9400000000000004</v>
      </c>
      <c r="Q330" s="1" t="s">
        <v>6</v>
      </c>
      <c r="R330" s="3">
        <v>0.49719999999999998</v>
      </c>
      <c r="S330" s="2">
        <v>45618</v>
      </c>
      <c r="T330" s="1">
        <v>40</v>
      </c>
      <c r="U330" s="1" t="s">
        <v>30</v>
      </c>
      <c r="V330" s="1">
        <v>136</v>
      </c>
      <c r="W330" s="1" t="b">
        <v>1</v>
      </c>
      <c r="X330" s="1" t="b">
        <v>0</v>
      </c>
      <c r="Y330" s="1">
        <v>30000</v>
      </c>
    </row>
    <row r="331" spans="1:25" x14ac:dyDescent="0.35">
      <c r="A331" s="1" t="s">
        <v>715</v>
      </c>
      <c r="B331" s="1" t="s">
        <v>54</v>
      </c>
      <c r="C331" s="1" t="s">
        <v>64</v>
      </c>
      <c r="D331" s="1" t="s">
        <v>20</v>
      </c>
      <c r="E331" s="1">
        <v>4290</v>
      </c>
      <c r="F331" s="4">
        <v>40000000</v>
      </c>
      <c r="G331" s="4">
        <v>9324</v>
      </c>
      <c r="H331" s="1">
        <v>2</v>
      </c>
      <c r="I331" s="1">
        <v>2</v>
      </c>
      <c r="J331" s="1">
        <v>11</v>
      </c>
      <c r="K331" s="1" t="s">
        <v>42</v>
      </c>
      <c r="L331" s="1" t="s">
        <v>716</v>
      </c>
      <c r="M331" s="1">
        <v>7</v>
      </c>
      <c r="N331" s="1">
        <v>4</v>
      </c>
      <c r="O331" s="1">
        <v>117954</v>
      </c>
      <c r="P331" s="1">
        <v>3.54</v>
      </c>
      <c r="Q331" s="1" t="s">
        <v>14</v>
      </c>
      <c r="R331" s="3">
        <v>0.4269</v>
      </c>
      <c r="S331" s="2">
        <v>45483</v>
      </c>
      <c r="T331" s="1">
        <v>167</v>
      </c>
      <c r="U331" s="1" t="s">
        <v>7</v>
      </c>
      <c r="V331" s="1">
        <v>145</v>
      </c>
      <c r="W331" s="1" t="b">
        <v>1</v>
      </c>
      <c r="X331" s="1" t="b">
        <v>1</v>
      </c>
      <c r="Y331" s="1">
        <v>80000</v>
      </c>
    </row>
    <row r="332" spans="1:25" x14ac:dyDescent="0.35">
      <c r="A332" s="1" t="s">
        <v>717</v>
      </c>
      <c r="B332" s="1" t="s">
        <v>1</v>
      </c>
      <c r="C332" s="1" t="s">
        <v>97</v>
      </c>
      <c r="D332" s="1" t="s">
        <v>20</v>
      </c>
      <c r="E332" s="1">
        <v>4769</v>
      </c>
      <c r="F332" s="4">
        <v>10000000</v>
      </c>
      <c r="G332" s="4">
        <v>2096</v>
      </c>
      <c r="H332" s="1">
        <v>2</v>
      </c>
      <c r="I332" s="1">
        <v>1</v>
      </c>
      <c r="J332" s="1">
        <v>17</v>
      </c>
      <c r="K332" s="1" t="s">
        <v>58</v>
      </c>
      <c r="L332" s="1" t="s">
        <v>718</v>
      </c>
      <c r="M332" s="1">
        <v>7</v>
      </c>
      <c r="N332" s="1">
        <v>6</v>
      </c>
      <c r="O332" s="1">
        <v>28470</v>
      </c>
      <c r="P332" s="1">
        <v>3.42</v>
      </c>
      <c r="Q332" s="1" t="s">
        <v>6</v>
      </c>
      <c r="R332" s="3">
        <v>0.42080000000000001</v>
      </c>
      <c r="S332" s="2">
        <v>45759</v>
      </c>
      <c r="T332" s="1">
        <v>62</v>
      </c>
      <c r="U332" s="1" t="s">
        <v>30</v>
      </c>
      <c r="V332" s="1">
        <v>69</v>
      </c>
      <c r="W332" s="1" t="b">
        <v>0</v>
      </c>
      <c r="X332" s="1" t="b">
        <v>0</v>
      </c>
      <c r="Y332" s="1">
        <v>0</v>
      </c>
    </row>
    <row r="333" spans="1:25" x14ac:dyDescent="0.35">
      <c r="A333" s="1" t="s">
        <v>719</v>
      </c>
      <c r="B333" s="1" t="s">
        <v>1</v>
      </c>
      <c r="C333" s="1" t="s">
        <v>97</v>
      </c>
      <c r="D333" s="1" t="s">
        <v>38</v>
      </c>
      <c r="E333" s="1">
        <v>4075</v>
      </c>
      <c r="F333" s="4">
        <v>10000000</v>
      </c>
      <c r="G333" s="4">
        <v>2453</v>
      </c>
      <c r="H333" s="1">
        <v>5</v>
      </c>
      <c r="I333" s="1">
        <v>2</v>
      </c>
      <c r="J333" s="1">
        <v>26</v>
      </c>
      <c r="K333" s="1" t="s">
        <v>42</v>
      </c>
      <c r="L333" s="1" t="s">
        <v>720</v>
      </c>
      <c r="M333" s="1">
        <v>5</v>
      </c>
      <c r="N333" s="1">
        <v>10</v>
      </c>
      <c r="O333" s="1">
        <v>35005</v>
      </c>
      <c r="P333" s="1">
        <v>4.2</v>
      </c>
      <c r="Q333" s="1" t="s">
        <v>6</v>
      </c>
      <c r="R333" s="3">
        <v>0.46</v>
      </c>
      <c r="S333" s="2">
        <v>46064</v>
      </c>
      <c r="T333" s="1">
        <v>315</v>
      </c>
      <c r="U333" s="1" t="s">
        <v>30</v>
      </c>
      <c r="V333" s="1">
        <v>124</v>
      </c>
      <c r="W333" s="1" t="b">
        <v>1</v>
      </c>
      <c r="X333" s="1" t="b">
        <v>0</v>
      </c>
      <c r="Y333" s="1">
        <v>0</v>
      </c>
    </row>
    <row r="334" spans="1:25" x14ac:dyDescent="0.35">
      <c r="A334" s="1" t="s">
        <v>721</v>
      </c>
      <c r="B334" s="1" t="s">
        <v>9</v>
      </c>
      <c r="C334" s="1" t="s">
        <v>189</v>
      </c>
      <c r="D334" s="1" t="s">
        <v>38</v>
      </c>
      <c r="E334" s="1">
        <v>5799</v>
      </c>
      <c r="F334" s="4">
        <v>50000000</v>
      </c>
      <c r="G334" s="4">
        <v>8622</v>
      </c>
      <c r="H334" s="1">
        <v>5</v>
      </c>
      <c r="I334" s="1">
        <v>2</v>
      </c>
      <c r="J334" s="1">
        <v>20</v>
      </c>
      <c r="K334" s="1" t="s">
        <v>34</v>
      </c>
      <c r="L334" s="1" t="s">
        <v>722</v>
      </c>
      <c r="M334" s="1">
        <v>8</v>
      </c>
      <c r="N334" s="1">
        <v>8</v>
      </c>
      <c r="O334" s="1">
        <v>135649</v>
      </c>
      <c r="P334" s="1">
        <v>3.26</v>
      </c>
      <c r="Q334" s="1" t="s">
        <v>14</v>
      </c>
      <c r="R334" s="3">
        <v>0.4128</v>
      </c>
      <c r="S334" s="2">
        <v>45849</v>
      </c>
      <c r="T334" s="1">
        <v>152</v>
      </c>
      <c r="U334" s="1" t="s">
        <v>30</v>
      </c>
      <c r="V334" s="1">
        <v>139</v>
      </c>
      <c r="W334" s="1" t="b">
        <v>1</v>
      </c>
      <c r="X334" s="1" t="b">
        <v>1</v>
      </c>
      <c r="Y334" s="1">
        <v>100000</v>
      </c>
    </row>
    <row r="335" spans="1:25" x14ac:dyDescent="0.35">
      <c r="A335" s="1" t="s">
        <v>723</v>
      </c>
      <c r="B335" s="1" t="s">
        <v>32</v>
      </c>
      <c r="C335" s="1" t="s">
        <v>33</v>
      </c>
      <c r="D335" s="1" t="s">
        <v>38</v>
      </c>
      <c r="E335" s="1">
        <v>6480</v>
      </c>
      <c r="F335" s="4">
        <v>12000000</v>
      </c>
      <c r="G335" s="4">
        <v>1851</v>
      </c>
      <c r="H335" s="1">
        <v>5</v>
      </c>
      <c r="I335" s="1">
        <v>2</v>
      </c>
      <c r="J335" s="1">
        <v>14</v>
      </c>
      <c r="K335" s="1" t="s">
        <v>42</v>
      </c>
      <c r="L335" s="1" t="s">
        <v>724</v>
      </c>
      <c r="M335" s="1">
        <v>8</v>
      </c>
      <c r="N335" s="1">
        <v>7</v>
      </c>
      <c r="O335" s="1">
        <v>33644</v>
      </c>
      <c r="P335" s="1">
        <v>3.36</v>
      </c>
      <c r="Q335" s="1" t="s">
        <v>6</v>
      </c>
      <c r="R335" s="3">
        <v>0.41820000000000002</v>
      </c>
      <c r="S335" s="2">
        <v>45754</v>
      </c>
      <c r="T335" s="1">
        <v>161</v>
      </c>
      <c r="U335" s="1" t="s">
        <v>7</v>
      </c>
      <c r="V335" s="1">
        <v>106</v>
      </c>
      <c r="W335" s="1" t="b">
        <v>0</v>
      </c>
      <c r="X335" s="1" t="b">
        <v>0</v>
      </c>
      <c r="Y335" s="1">
        <v>0</v>
      </c>
    </row>
    <row r="336" spans="1:25" x14ac:dyDescent="0.35">
      <c r="A336" s="1" t="s">
        <v>725</v>
      </c>
      <c r="B336" s="1" t="s">
        <v>54</v>
      </c>
      <c r="C336" s="1" t="s">
        <v>55</v>
      </c>
      <c r="D336" s="1" t="s">
        <v>27</v>
      </c>
      <c r="E336" s="1">
        <v>3516</v>
      </c>
      <c r="F336" s="4">
        <v>40000000</v>
      </c>
      <c r="G336" s="4">
        <v>11376</v>
      </c>
      <c r="H336" s="1">
        <v>3</v>
      </c>
      <c r="I336" s="1">
        <v>2</v>
      </c>
      <c r="J336" s="1">
        <v>27</v>
      </c>
      <c r="K336" s="1" t="s">
        <v>42</v>
      </c>
      <c r="L336" s="1" t="s">
        <v>726</v>
      </c>
      <c r="M336" s="1">
        <v>8</v>
      </c>
      <c r="N336" s="1">
        <v>8</v>
      </c>
      <c r="O336" s="1">
        <v>127006</v>
      </c>
      <c r="P336" s="1">
        <v>3.81</v>
      </c>
      <c r="Q336" s="1" t="s">
        <v>14</v>
      </c>
      <c r="R336" s="3">
        <v>0.44049999999999995</v>
      </c>
      <c r="S336" s="2">
        <v>45483</v>
      </c>
      <c r="T336" s="1">
        <v>156</v>
      </c>
      <c r="U336" s="1" t="s">
        <v>23</v>
      </c>
      <c r="V336" s="1">
        <v>154</v>
      </c>
      <c r="W336" s="1" t="b">
        <v>0</v>
      </c>
      <c r="X336" s="1" t="b">
        <v>0</v>
      </c>
      <c r="Y336" s="1">
        <v>0</v>
      </c>
    </row>
    <row r="337" spans="1:25" x14ac:dyDescent="0.35">
      <c r="A337" s="1" t="s">
        <v>727</v>
      </c>
      <c r="B337" s="1" t="s">
        <v>9</v>
      </c>
      <c r="C337" s="1" t="s">
        <v>10</v>
      </c>
      <c r="D337" s="1" t="s">
        <v>27</v>
      </c>
      <c r="E337" s="1">
        <v>2113</v>
      </c>
      <c r="F337" s="4">
        <v>50000000</v>
      </c>
      <c r="G337" s="4">
        <v>23663</v>
      </c>
      <c r="H337" s="1">
        <v>4</v>
      </c>
      <c r="I337" s="1">
        <v>2</v>
      </c>
      <c r="J337" s="1">
        <v>26</v>
      </c>
      <c r="K337" s="1" t="s">
        <v>42</v>
      </c>
      <c r="L337" s="1" t="s">
        <v>728</v>
      </c>
      <c r="M337" s="1">
        <v>3</v>
      </c>
      <c r="N337" s="1">
        <v>10</v>
      </c>
      <c r="O337" s="1">
        <v>179144</v>
      </c>
      <c r="P337" s="1">
        <v>4.3</v>
      </c>
      <c r="Q337" s="1" t="s">
        <v>14</v>
      </c>
      <c r="R337" s="3">
        <v>0.46500000000000002</v>
      </c>
      <c r="S337" s="2">
        <v>45710</v>
      </c>
      <c r="T337" s="1">
        <v>98</v>
      </c>
      <c r="U337" s="1" t="s">
        <v>30</v>
      </c>
      <c r="V337" s="1">
        <v>167</v>
      </c>
      <c r="W337" s="1" t="b">
        <v>1</v>
      </c>
      <c r="X337" s="1" t="b">
        <v>0</v>
      </c>
      <c r="Y337" s="1">
        <v>0</v>
      </c>
    </row>
    <row r="338" spans="1:25" x14ac:dyDescent="0.35">
      <c r="A338" s="1" t="s">
        <v>729</v>
      </c>
      <c r="B338" s="1" t="s">
        <v>25</v>
      </c>
      <c r="C338" s="1" t="s">
        <v>94</v>
      </c>
      <c r="D338" s="1" t="s">
        <v>11</v>
      </c>
      <c r="E338" s="1">
        <v>261</v>
      </c>
      <c r="F338" s="4">
        <v>20085307</v>
      </c>
      <c r="G338" s="4">
        <v>76955</v>
      </c>
      <c r="H338" s="1">
        <v>0</v>
      </c>
      <c r="I338" s="1">
        <v>1</v>
      </c>
      <c r="J338" s="1">
        <v>28</v>
      </c>
      <c r="K338" s="1" t="s">
        <v>42</v>
      </c>
      <c r="L338" s="1" t="s">
        <v>730</v>
      </c>
      <c r="M338" s="1">
        <v>4</v>
      </c>
      <c r="N338" s="1">
        <v>7</v>
      </c>
      <c r="O338" s="1">
        <v>56953</v>
      </c>
      <c r="P338" s="1">
        <v>3.4</v>
      </c>
      <c r="Q338" s="1" t="s">
        <v>14</v>
      </c>
      <c r="R338" s="3">
        <v>0.42009999999999997</v>
      </c>
      <c r="S338" s="2">
        <v>45573</v>
      </c>
      <c r="T338" s="1">
        <v>171</v>
      </c>
      <c r="U338" s="1" t="s">
        <v>30</v>
      </c>
      <c r="V338" s="1">
        <v>43</v>
      </c>
      <c r="W338" s="1" t="b">
        <v>1</v>
      </c>
      <c r="X338" s="1" t="b">
        <v>1</v>
      </c>
      <c r="Y338" s="1">
        <v>0</v>
      </c>
    </row>
    <row r="339" spans="1:25" x14ac:dyDescent="0.35">
      <c r="A339" s="1" t="s">
        <v>731</v>
      </c>
      <c r="B339" s="1" t="s">
        <v>18</v>
      </c>
      <c r="C339" s="1" t="s">
        <v>19</v>
      </c>
      <c r="D339" s="1" t="s">
        <v>38</v>
      </c>
      <c r="E339" s="1">
        <v>7881</v>
      </c>
      <c r="F339" s="4">
        <v>15000000</v>
      </c>
      <c r="G339" s="4">
        <v>1903</v>
      </c>
      <c r="H339" s="1">
        <v>6</v>
      </c>
      <c r="I339" s="1">
        <v>4</v>
      </c>
      <c r="J339" s="1">
        <v>1</v>
      </c>
      <c r="K339" s="1" t="s">
        <v>28</v>
      </c>
      <c r="L339" s="1" t="s">
        <v>732</v>
      </c>
      <c r="M339" s="1">
        <v>6</v>
      </c>
      <c r="N339" s="1">
        <v>9</v>
      </c>
      <c r="O339" s="1">
        <v>45396</v>
      </c>
      <c r="P339" s="1">
        <v>3.63</v>
      </c>
      <c r="Q339" s="1" t="s">
        <v>6</v>
      </c>
      <c r="R339" s="3">
        <v>0.43159999999999998</v>
      </c>
      <c r="S339" s="2">
        <v>46091</v>
      </c>
      <c r="T339" s="1">
        <v>243</v>
      </c>
      <c r="U339" s="1" t="s">
        <v>7</v>
      </c>
      <c r="V339" s="1">
        <v>136</v>
      </c>
      <c r="W339" s="1" t="b">
        <v>1</v>
      </c>
      <c r="X339" s="1" t="b">
        <v>0</v>
      </c>
      <c r="Y339" s="1">
        <v>0</v>
      </c>
    </row>
    <row r="340" spans="1:25" x14ac:dyDescent="0.35">
      <c r="A340" s="1" t="s">
        <v>733</v>
      </c>
      <c r="B340" s="1" t="s">
        <v>18</v>
      </c>
      <c r="C340" s="1" t="s">
        <v>243</v>
      </c>
      <c r="D340" s="1" t="s">
        <v>11</v>
      </c>
      <c r="E340" s="1">
        <v>260</v>
      </c>
      <c r="F340" s="4">
        <v>15000000</v>
      </c>
      <c r="G340" s="4">
        <v>57692</v>
      </c>
      <c r="H340" s="1">
        <v>0</v>
      </c>
      <c r="I340" s="1">
        <v>2</v>
      </c>
      <c r="J340" s="1">
        <v>23</v>
      </c>
      <c r="K340" s="1" t="s">
        <v>4</v>
      </c>
      <c r="L340" s="1" t="s">
        <v>734</v>
      </c>
      <c r="M340" s="1">
        <v>4</v>
      </c>
      <c r="N340" s="1">
        <v>9</v>
      </c>
      <c r="O340" s="1">
        <v>54624</v>
      </c>
      <c r="P340" s="1">
        <v>4.37</v>
      </c>
      <c r="Q340" s="1" t="s">
        <v>6</v>
      </c>
      <c r="R340" s="3">
        <v>0.46850000000000003</v>
      </c>
      <c r="S340" s="2">
        <v>45540</v>
      </c>
      <c r="T340" s="1">
        <v>68</v>
      </c>
      <c r="U340" s="1" t="s">
        <v>23</v>
      </c>
      <c r="V340" s="1">
        <v>149</v>
      </c>
      <c r="W340" s="1" t="b">
        <v>0</v>
      </c>
      <c r="X340" s="1" t="b">
        <v>0</v>
      </c>
      <c r="Y340" s="1">
        <v>0</v>
      </c>
    </row>
    <row r="341" spans="1:25" x14ac:dyDescent="0.35">
      <c r="A341" s="1" t="s">
        <v>735</v>
      </c>
      <c r="B341" s="1" t="s">
        <v>1</v>
      </c>
      <c r="C341" s="1" t="s">
        <v>45</v>
      </c>
      <c r="D341" s="1" t="s">
        <v>20</v>
      </c>
      <c r="E341" s="1">
        <v>4760</v>
      </c>
      <c r="F341" s="4">
        <v>10000000</v>
      </c>
      <c r="G341" s="4">
        <v>2100</v>
      </c>
      <c r="H341" s="1">
        <v>5</v>
      </c>
      <c r="I341" s="1">
        <v>2</v>
      </c>
      <c r="J341" s="1">
        <v>19</v>
      </c>
      <c r="K341" s="1" t="s">
        <v>61</v>
      </c>
      <c r="L341" s="1" t="s">
        <v>736</v>
      </c>
      <c r="M341" s="1">
        <v>4</v>
      </c>
      <c r="N341" s="1">
        <v>7</v>
      </c>
      <c r="O341" s="1">
        <v>35095</v>
      </c>
      <c r="P341" s="1">
        <v>4.21</v>
      </c>
      <c r="Q341" s="1" t="s">
        <v>6</v>
      </c>
      <c r="R341" s="3">
        <v>0.46060000000000001</v>
      </c>
      <c r="S341" s="2">
        <v>46053</v>
      </c>
      <c r="T341" s="1">
        <v>121</v>
      </c>
      <c r="U341" s="1" t="s">
        <v>30</v>
      </c>
      <c r="V341" s="1">
        <v>107</v>
      </c>
      <c r="W341" s="1" t="b">
        <v>1</v>
      </c>
      <c r="X341" s="1" t="b">
        <v>1</v>
      </c>
      <c r="Y341" s="1">
        <v>20000</v>
      </c>
    </row>
    <row r="342" spans="1:25" x14ac:dyDescent="0.35">
      <c r="A342" s="1" t="s">
        <v>737</v>
      </c>
      <c r="B342" s="1" t="s">
        <v>54</v>
      </c>
      <c r="C342" s="1" t="s">
        <v>72</v>
      </c>
      <c r="D342" s="1" t="s">
        <v>20</v>
      </c>
      <c r="E342" s="1">
        <v>4272</v>
      </c>
      <c r="F342" s="4">
        <v>40000000</v>
      </c>
      <c r="G342" s="4">
        <v>9363</v>
      </c>
      <c r="H342" s="1">
        <v>3</v>
      </c>
      <c r="I342" s="1">
        <v>1</v>
      </c>
      <c r="J342" s="1">
        <v>26</v>
      </c>
      <c r="K342" s="1" t="s">
        <v>58</v>
      </c>
      <c r="L342" s="1" t="s">
        <v>738</v>
      </c>
      <c r="M342" s="1">
        <v>7</v>
      </c>
      <c r="N342" s="1">
        <v>10</v>
      </c>
      <c r="O342" s="1">
        <v>132424</v>
      </c>
      <c r="P342" s="1">
        <v>3.97</v>
      </c>
      <c r="Q342" s="1" t="s">
        <v>14</v>
      </c>
      <c r="R342" s="3">
        <v>0.4486</v>
      </c>
      <c r="S342" s="2">
        <v>45808</v>
      </c>
      <c r="T342" s="1">
        <v>286</v>
      </c>
      <c r="U342" s="1" t="s">
        <v>30</v>
      </c>
      <c r="V342" s="1">
        <v>41</v>
      </c>
      <c r="W342" s="1" t="b">
        <v>0</v>
      </c>
      <c r="X342" s="1" t="b">
        <v>1</v>
      </c>
      <c r="Y342" s="1">
        <v>80000</v>
      </c>
    </row>
    <row r="343" spans="1:25" x14ac:dyDescent="0.35">
      <c r="A343" s="1" t="s">
        <v>739</v>
      </c>
      <c r="B343" s="1" t="s">
        <v>1</v>
      </c>
      <c r="C343" s="1" t="s">
        <v>2</v>
      </c>
      <c r="D343" s="1" t="s">
        <v>11</v>
      </c>
      <c r="E343" s="1">
        <v>484</v>
      </c>
      <c r="F343" s="4">
        <v>10000000</v>
      </c>
      <c r="G343" s="4">
        <v>20661</v>
      </c>
      <c r="H343" s="1">
        <v>0</v>
      </c>
      <c r="I343" s="1">
        <v>1</v>
      </c>
      <c r="J343" s="1">
        <v>25</v>
      </c>
      <c r="K343" s="1" t="s">
        <v>4</v>
      </c>
      <c r="L343" s="1" t="s">
        <v>740</v>
      </c>
      <c r="M343" s="1">
        <v>7</v>
      </c>
      <c r="N343" s="1">
        <v>10</v>
      </c>
      <c r="O343" s="1">
        <v>27617</v>
      </c>
      <c r="P343" s="1">
        <v>3.31</v>
      </c>
      <c r="Q343" s="1" t="s">
        <v>6</v>
      </c>
      <c r="R343" s="3">
        <v>0.41570000000000001</v>
      </c>
      <c r="S343" s="2">
        <v>45857</v>
      </c>
      <c r="T343" s="1">
        <v>256</v>
      </c>
      <c r="U343" s="1" t="s">
        <v>30</v>
      </c>
      <c r="V343" s="1">
        <v>159</v>
      </c>
      <c r="W343" s="1" t="b">
        <v>1</v>
      </c>
      <c r="X343" s="1" t="b">
        <v>1</v>
      </c>
      <c r="Y343" s="1">
        <v>0</v>
      </c>
    </row>
    <row r="344" spans="1:25" x14ac:dyDescent="0.35">
      <c r="A344" s="1" t="s">
        <v>741</v>
      </c>
      <c r="B344" s="1" t="s">
        <v>54</v>
      </c>
      <c r="C344" s="1" t="s">
        <v>55</v>
      </c>
      <c r="D344" s="1" t="s">
        <v>3</v>
      </c>
      <c r="E344" s="1">
        <v>1226</v>
      </c>
      <c r="F344" s="4">
        <v>40000000</v>
      </c>
      <c r="G344" s="4">
        <v>32626</v>
      </c>
      <c r="H344" s="1">
        <v>4</v>
      </c>
      <c r="I344" s="1">
        <v>3</v>
      </c>
      <c r="J344" s="1">
        <v>24</v>
      </c>
      <c r="K344" s="1" t="s">
        <v>34</v>
      </c>
      <c r="L344" s="1" t="s">
        <v>742</v>
      </c>
      <c r="M344" s="1">
        <v>3</v>
      </c>
      <c r="N344" s="1">
        <v>7</v>
      </c>
      <c r="O344" s="1">
        <v>105682</v>
      </c>
      <c r="P344" s="1">
        <v>3.17</v>
      </c>
      <c r="Q344" s="1" t="s">
        <v>14</v>
      </c>
      <c r="R344" s="3">
        <v>0.40850000000000003</v>
      </c>
      <c r="S344" s="2">
        <v>45775</v>
      </c>
      <c r="T344" s="1">
        <v>323</v>
      </c>
      <c r="U344" s="1" t="s">
        <v>30</v>
      </c>
      <c r="V344" s="1">
        <v>122</v>
      </c>
      <c r="W344" s="1" t="b">
        <v>1</v>
      </c>
      <c r="X344" s="1" t="b">
        <v>1</v>
      </c>
      <c r="Y344" s="1">
        <v>0</v>
      </c>
    </row>
    <row r="345" spans="1:25" x14ac:dyDescent="0.35">
      <c r="A345" s="1" t="s">
        <v>743</v>
      </c>
      <c r="B345" s="1" t="s">
        <v>25</v>
      </c>
      <c r="C345" s="1" t="s">
        <v>82</v>
      </c>
      <c r="D345" s="1" t="s">
        <v>11</v>
      </c>
      <c r="E345" s="1">
        <v>461</v>
      </c>
      <c r="F345" s="4">
        <v>30000000</v>
      </c>
      <c r="G345" s="4">
        <v>65075</v>
      </c>
      <c r="H345" s="1">
        <v>1</v>
      </c>
      <c r="I345" s="1">
        <v>2</v>
      </c>
      <c r="J345" s="1">
        <v>30</v>
      </c>
      <c r="K345" s="1" t="s">
        <v>58</v>
      </c>
      <c r="L345" s="1" t="s">
        <v>744</v>
      </c>
      <c r="M345" s="1">
        <v>7</v>
      </c>
      <c r="N345" s="1">
        <v>7</v>
      </c>
      <c r="O345" s="1">
        <v>95082</v>
      </c>
      <c r="P345" s="1">
        <v>3.8</v>
      </c>
      <c r="Q345" s="1" t="s">
        <v>14</v>
      </c>
      <c r="R345" s="3">
        <v>0.44020000000000004</v>
      </c>
      <c r="S345" s="2">
        <v>45988</v>
      </c>
      <c r="T345" s="1">
        <v>339</v>
      </c>
      <c r="U345" s="1" t="s">
        <v>7</v>
      </c>
      <c r="V345" s="1">
        <v>39</v>
      </c>
      <c r="W345" s="1" t="b">
        <v>1</v>
      </c>
      <c r="X345" s="1" t="b">
        <v>1</v>
      </c>
      <c r="Y345" s="1">
        <v>0</v>
      </c>
    </row>
    <row r="346" spans="1:25" x14ac:dyDescent="0.35">
      <c r="A346" s="1" t="s">
        <v>745</v>
      </c>
      <c r="B346" s="1" t="s">
        <v>18</v>
      </c>
      <c r="C346" s="1" t="s">
        <v>19</v>
      </c>
      <c r="D346" s="1" t="s">
        <v>38</v>
      </c>
      <c r="E346" s="1">
        <v>5493</v>
      </c>
      <c r="F346" s="4">
        <v>15000000</v>
      </c>
      <c r="G346" s="4">
        <v>2730</v>
      </c>
      <c r="H346" s="1">
        <v>6</v>
      </c>
      <c r="I346" s="1">
        <v>4</v>
      </c>
      <c r="J346" s="1">
        <v>29</v>
      </c>
      <c r="K346" s="1" t="s">
        <v>42</v>
      </c>
      <c r="L346" s="1" t="s">
        <v>746</v>
      </c>
      <c r="M346" s="1">
        <v>5</v>
      </c>
      <c r="N346" s="1">
        <v>9</v>
      </c>
      <c r="O346" s="1">
        <v>59689</v>
      </c>
      <c r="P346" s="1">
        <v>4.78</v>
      </c>
      <c r="Q346" s="1" t="s">
        <v>6</v>
      </c>
      <c r="R346" s="3">
        <v>0.48880000000000001</v>
      </c>
      <c r="S346" s="2">
        <v>45517</v>
      </c>
      <c r="T346" s="1">
        <v>358</v>
      </c>
      <c r="U346" s="1" t="s">
        <v>30</v>
      </c>
      <c r="V346" s="1">
        <v>143</v>
      </c>
      <c r="W346" s="1" t="b">
        <v>0</v>
      </c>
      <c r="X346" s="1" t="b">
        <v>0</v>
      </c>
      <c r="Y346" s="1">
        <v>30000</v>
      </c>
    </row>
    <row r="347" spans="1:25" x14ac:dyDescent="0.35">
      <c r="A347" s="1" t="s">
        <v>747</v>
      </c>
      <c r="B347" s="1" t="s">
        <v>54</v>
      </c>
      <c r="C347" s="1" t="s">
        <v>64</v>
      </c>
      <c r="D347" s="1" t="s">
        <v>3</v>
      </c>
      <c r="E347" s="1">
        <v>2601</v>
      </c>
      <c r="F347" s="4">
        <v>40000000</v>
      </c>
      <c r="G347" s="4">
        <v>15378</v>
      </c>
      <c r="H347" s="1">
        <v>3</v>
      </c>
      <c r="I347" s="1">
        <v>2</v>
      </c>
      <c r="J347" s="1">
        <v>23</v>
      </c>
      <c r="K347" s="1" t="s">
        <v>12</v>
      </c>
      <c r="L347" s="1" t="s">
        <v>748</v>
      </c>
      <c r="M347" s="1">
        <v>8</v>
      </c>
      <c r="N347" s="1">
        <v>8</v>
      </c>
      <c r="O347" s="1">
        <v>110668</v>
      </c>
      <c r="P347" s="1">
        <v>3.32</v>
      </c>
      <c r="Q347" s="1" t="s">
        <v>14</v>
      </c>
      <c r="R347" s="3">
        <v>0.41600000000000004</v>
      </c>
      <c r="S347" s="2">
        <v>46128</v>
      </c>
      <c r="T347" s="1">
        <v>124</v>
      </c>
      <c r="U347" s="1" t="s">
        <v>23</v>
      </c>
      <c r="V347" s="1">
        <v>96</v>
      </c>
      <c r="W347" s="1" t="b">
        <v>0</v>
      </c>
      <c r="X347" s="1" t="b">
        <v>0</v>
      </c>
      <c r="Y347" s="1">
        <v>80000</v>
      </c>
    </row>
    <row r="348" spans="1:25" x14ac:dyDescent="0.35">
      <c r="A348" s="1" t="s">
        <v>749</v>
      </c>
      <c r="B348" s="1" t="s">
        <v>1</v>
      </c>
      <c r="C348" s="1" t="s">
        <v>2</v>
      </c>
      <c r="D348" s="1" t="s">
        <v>20</v>
      </c>
      <c r="E348" s="1">
        <v>2563</v>
      </c>
      <c r="F348" s="4">
        <v>10000000</v>
      </c>
      <c r="G348" s="4">
        <v>3901</v>
      </c>
      <c r="H348" s="1">
        <v>4</v>
      </c>
      <c r="I348" s="1">
        <v>2</v>
      </c>
      <c r="J348" s="1">
        <v>1</v>
      </c>
      <c r="K348" s="1" t="s">
        <v>4</v>
      </c>
      <c r="L348" s="1" t="s">
        <v>750</v>
      </c>
      <c r="M348" s="1">
        <v>8</v>
      </c>
      <c r="N348" s="1">
        <v>9</v>
      </c>
      <c r="O348" s="1">
        <v>41483</v>
      </c>
      <c r="P348" s="1">
        <v>4.9800000000000004</v>
      </c>
      <c r="Q348" s="1" t="s">
        <v>6</v>
      </c>
      <c r="R348" s="3">
        <v>0.49890000000000001</v>
      </c>
      <c r="S348" s="2">
        <v>45577</v>
      </c>
      <c r="T348" s="1">
        <v>305</v>
      </c>
      <c r="U348" s="1" t="s">
        <v>30</v>
      </c>
      <c r="V348" s="1">
        <v>166</v>
      </c>
      <c r="W348" s="1" t="b">
        <v>1</v>
      </c>
      <c r="X348" s="1" t="b">
        <v>0</v>
      </c>
      <c r="Y348" s="1">
        <v>0</v>
      </c>
    </row>
    <row r="349" spans="1:25" x14ac:dyDescent="0.35">
      <c r="A349" s="1" t="s">
        <v>751</v>
      </c>
      <c r="B349" s="1" t="s">
        <v>54</v>
      </c>
      <c r="C349" s="1" t="s">
        <v>104</v>
      </c>
      <c r="D349" s="1" t="s">
        <v>38</v>
      </c>
      <c r="E349" s="1">
        <v>8508</v>
      </c>
      <c r="F349" s="4">
        <v>40000000</v>
      </c>
      <c r="G349" s="4">
        <v>4701</v>
      </c>
      <c r="H349" s="1">
        <v>4</v>
      </c>
      <c r="I349" s="1">
        <v>3</v>
      </c>
      <c r="J349" s="1">
        <v>16</v>
      </c>
      <c r="K349" s="1" t="s">
        <v>58</v>
      </c>
      <c r="L349" s="1" t="s">
        <v>752</v>
      </c>
      <c r="M349" s="1">
        <v>8</v>
      </c>
      <c r="N349" s="1">
        <v>4</v>
      </c>
      <c r="O349" s="1">
        <v>128379</v>
      </c>
      <c r="P349" s="1">
        <v>3.85</v>
      </c>
      <c r="Q349" s="1" t="s">
        <v>14</v>
      </c>
      <c r="R349" s="3">
        <v>0.44259999999999999</v>
      </c>
      <c r="S349" s="2">
        <v>45735</v>
      </c>
      <c r="T349" s="1">
        <v>67</v>
      </c>
      <c r="U349" s="1" t="s">
        <v>7</v>
      </c>
      <c r="V349" s="1">
        <v>138</v>
      </c>
      <c r="W349" s="1" t="b">
        <v>0</v>
      </c>
      <c r="X349" s="1" t="b">
        <v>1</v>
      </c>
      <c r="Y349" s="1">
        <v>0</v>
      </c>
    </row>
    <row r="350" spans="1:25" x14ac:dyDescent="0.35">
      <c r="A350" s="1" t="s">
        <v>753</v>
      </c>
      <c r="B350" s="1" t="s">
        <v>9</v>
      </c>
      <c r="C350" s="1" t="s">
        <v>163</v>
      </c>
      <c r="D350" s="1" t="s">
        <v>38</v>
      </c>
      <c r="E350" s="1">
        <v>6299</v>
      </c>
      <c r="F350" s="4">
        <v>50000000</v>
      </c>
      <c r="G350" s="4">
        <v>7937</v>
      </c>
      <c r="H350" s="1">
        <v>6</v>
      </c>
      <c r="I350" s="1">
        <v>4</v>
      </c>
      <c r="J350" s="1">
        <v>27</v>
      </c>
      <c r="K350" s="1" t="s">
        <v>42</v>
      </c>
      <c r="L350" s="1" t="s">
        <v>754</v>
      </c>
      <c r="M350" s="1">
        <v>5</v>
      </c>
      <c r="N350" s="1">
        <v>5</v>
      </c>
      <c r="O350" s="1">
        <v>159743</v>
      </c>
      <c r="P350" s="1">
        <v>3.83</v>
      </c>
      <c r="Q350" s="1" t="s">
        <v>14</v>
      </c>
      <c r="R350" s="3">
        <v>0.44170000000000004</v>
      </c>
      <c r="S350" s="2">
        <v>45990</v>
      </c>
      <c r="T350" s="1">
        <v>365</v>
      </c>
      <c r="U350" s="1" t="s">
        <v>7</v>
      </c>
      <c r="V350" s="1">
        <v>154</v>
      </c>
      <c r="W350" s="1" t="b">
        <v>0</v>
      </c>
      <c r="X350" s="1" t="b">
        <v>1</v>
      </c>
      <c r="Y350" s="1">
        <v>100000</v>
      </c>
    </row>
    <row r="351" spans="1:25" x14ac:dyDescent="0.35">
      <c r="A351" s="1" t="s">
        <v>755</v>
      </c>
      <c r="B351" s="1" t="s">
        <v>1</v>
      </c>
      <c r="C351" s="1" t="s">
        <v>303</v>
      </c>
      <c r="D351" s="1" t="s">
        <v>11</v>
      </c>
      <c r="E351" s="1">
        <v>492</v>
      </c>
      <c r="F351" s="4">
        <v>10000000</v>
      </c>
      <c r="G351" s="4">
        <v>20325</v>
      </c>
      <c r="H351" s="1">
        <v>0</v>
      </c>
      <c r="I351" s="1">
        <v>1</v>
      </c>
      <c r="J351" s="1">
        <v>30</v>
      </c>
      <c r="K351" s="1" t="s">
        <v>28</v>
      </c>
      <c r="L351" s="1" t="s">
        <v>756</v>
      </c>
      <c r="M351" s="1">
        <v>7</v>
      </c>
      <c r="N351" s="1">
        <v>6</v>
      </c>
      <c r="O351" s="1">
        <v>26962</v>
      </c>
      <c r="P351" s="1">
        <v>3.24</v>
      </c>
      <c r="Q351" s="1" t="s">
        <v>6</v>
      </c>
      <c r="R351" s="3">
        <v>0.4118</v>
      </c>
      <c r="S351" s="2">
        <v>45844</v>
      </c>
      <c r="T351" s="1">
        <v>249</v>
      </c>
      <c r="U351" s="1" t="s">
        <v>23</v>
      </c>
      <c r="V351" s="1">
        <v>105</v>
      </c>
      <c r="W351" s="1" t="b">
        <v>1</v>
      </c>
      <c r="X351" s="1" t="b">
        <v>1</v>
      </c>
      <c r="Y351" s="1">
        <v>20000</v>
      </c>
    </row>
    <row r="352" spans="1:25" x14ac:dyDescent="0.35">
      <c r="A352" s="1" t="s">
        <v>757</v>
      </c>
      <c r="B352" s="1" t="s">
        <v>32</v>
      </c>
      <c r="C352" s="1" t="s">
        <v>197</v>
      </c>
      <c r="D352" s="1" t="s">
        <v>3</v>
      </c>
      <c r="E352" s="1">
        <v>1649</v>
      </c>
      <c r="F352" s="4">
        <v>12000000</v>
      </c>
      <c r="G352" s="4">
        <v>7277</v>
      </c>
      <c r="H352" s="1">
        <v>3</v>
      </c>
      <c r="I352" s="1">
        <v>1</v>
      </c>
      <c r="J352" s="1">
        <v>5</v>
      </c>
      <c r="K352" s="1" t="s">
        <v>42</v>
      </c>
      <c r="L352" s="1" t="s">
        <v>758</v>
      </c>
      <c r="M352" s="1">
        <v>8</v>
      </c>
      <c r="N352" s="1">
        <v>7</v>
      </c>
      <c r="O352" s="1">
        <v>41315</v>
      </c>
      <c r="P352" s="1">
        <v>4.13</v>
      </c>
      <c r="Q352" s="1" t="s">
        <v>6</v>
      </c>
      <c r="R352" s="3">
        <v>0.45659999999999995</v>
      </c>
      <c r="S352" s="2">
        <v>45811</v>
      </c>
      <c r="T352" s="1">
        <v>71</v>
      </c>
      <c r="U352" s="1" t="s">
        <v>30</v>
      </c>
      <c r="V352" s="1">
        <v>63</v>
      </c>
      <c r="W352" s="1" t="b">
        <v>0</v>
      </c>
      <c r="X352" s="1" t="b">
        <v>0</v>
      </c>
      <c r="Y352" s="1">
        <v>0</v>
      </c>
    </row>
    <row r="353" spans="1:25" x14ac:dyDescent="0.35">
      <c r="A353" s="1" t="s">
        <v>759</v>
      </c>
      <c r="B353" s="1" t="s">
        <v>25</v>
      </c>
      <c r="C353" s="1" t="s">
        <v>182</v>
      </c>
      <c r="D353" s="1" t="s">
        <v>20</v>
      </c>
      <c r="E353" s="1">
        <v>1865</v>
      </c>
      <c r="F353" s="4">
        <v>30000000</v>
      </c>
      <c r="G353" s="4">
        <v>16085</v>
      </c>
      <c r="H353" s="1">
        <v>5</v>
      </c>
      <c r="I353" s="1">
        <v>3</v>
      </c>
      <c r="J353" s="1">
        <v>7</v>
      </c>
      <c r="K353" s="1" t="s">
        <v>58</v>
      </c>
      <c r="L353" s="1" t="s">
        <v>760</v>
      </c>
      <c r="M353" s="1">
        <v>6</v>
      </c>
      <c r="N353" s="1">
        <v>10</v>
      </c>
      <c r="O353" s="1">
        <v>110360</v>
      </c>
      <c r="P353" s="1">
        <v>4.41</v>
      </c>
      <c r="Q353" s="1" t="s">
        <v>14</v>
      </c>
      <c r="R353" s="3">
        <v>0.47070000000000001</v>
      </c>
      <c r="S353" s="2">
        <v>45571</v>
      </c>
      <c r="T353" s="1">
        <v>288</v>
      </c>
      <c r="U353" s="1" t="s">
        <v>30</v>
      </c>
      <c r="V353" s="1">
        <v>109</v>
      </c>
      <c r="W353" s="1" t="b">
        <v>1</v>
      </c>
      <c r="X353" s="1" t="b">
        <v>1</v>
      </c>
      <c r="Y353" s="1">
        <v>60000</v>
      </c>
    </row>
    <row r="354" spans="1:25" x14ac:dyDescent="0.35">
      <c r="A354" s="1" t="s">
        <v>761</v>
      </c>
      <c r="B354" s="1" t="s">
        <v>32</v>
      </c>
      <c r="C354" s="1" t="s">
        <v>67</v>
      </c>
      <c r="D354" s="1" t="s">
        <v>38</v>
      </c>
      <c r="E354" s="1">
        <v>9206</v>
      </c>
      <c r="F354" s="4">
        <v>12000000</v>
      </c>
      <c r="G354" s="4">
        <v>1303</v>
      </c>
      <c r="H354" s="1">
        <v>4</v>
      </c>
      <c r="I354" s="1">
        <v>2</v>
      </c>
      <c r="J354" s="1">
        <v>24</v>
      </c>
      <c r="K354" s="1" t="s">
        <v>28</v>
      </c>
      <c r="L354" s="1" t="s">
        <v>762</v>
      </c>
      <c r="M354" s="1">
        <v>6</v>
      </c>
      <c r="N354" s="1">
        <v>8</v>
      </c>
      <c r="O354" s="1">
        <v>34116</v>
      </c>
      <c r="P354" s="1">
        <v>3.41</v>
      </c>
      <c r="Q354" s="1" t="s">
        <v>6</v>
      </c>
      <c r="R354" s="3">
        <v>0.42060000000000003</v>
      </c>
      <c r="S354" s="2">
        <v>45434</v>
      </c>
      <c r="T354" s="1">
        <v>44</v>
      </c>
      <c r="U354" s="1" t="s">
        <v>30</v>
      </c>
      <c r="V354" s="1">
        <v>143</v>
      </c>
      <c r="W354" s="1" t="b">
        <v>0</v>
      </c>
      <c r="X354" s="1" t="b">
        <v>0</v>
      </c>
      <c r="Y354" s="1">
        <v>24000</v>
      </c>
    </row>
    <row r="355" spans="1:25" x14ac:dyDescent="0.35">
      <c r="A355" s="1" t="s">
        <v>763</v>
      </c>
      <c r="B355" s="1" t="s">
        <v>18</v>
      </c>
      <c r="C355" s="1" t="s">
        <v>169</v>
      </c>
      <c r="D355" s="1" t="s">
        <v>20</v>
      </c>
      <c r="E355" s="1">
        <v>3290</v>
      </c>
      <c r="F355" s="4">
        <v>15000000</v>
      </c>
      <c r="G355" s="4">
        <v>4559</v>
      </c>
      <c r="H355" s="1">
        <v>3</v>
      </c>
      <c r="I355" s="1">
        <v>2</v>
      </c>
      <c r="J355" s="1">
        <v>0</v>
      </c>
      <c r="K355" s="1" t="s">
        <v>34</v>
      </c>
      <c r="L355" s="1" t="s">
        <v>764</v>
      </c>
      <c r="M355" s="1">
        <v>7</v>
      </c>
      <c r="N355" s="1">
        <v>7</v>
      </c>
      <c r="O355" s="1">
        <v>43888</v>
      </c>
      <c r="P355" s="1">
        <v>3.51</v>
      </c>
      <c r="Q355" s="1" t="s">
        <v>6</v>
      </c>
      <c r="R355" s="3">
        <v>0.42560000000000003</v>
      </c>
      <c r="S355" s="2">
        <v>46065</v>
      </c>
      <c r="T355" s="1">
        <v>31</v>
      </c>
      <c r="U355" s="1" t="s">
        <v>7</v>
      </c>
      <c r="V355" s="1">
        <v>73</v>
      </c>
      <c r="W355" s="1" t="b">
        <v>0</v>
      </c>
      <c r="X355" s="1" t="b">
        <v>1</v>
      </c>
      <c r="Y355" s="1">
        <v>30000</v>
      </c>
    </row>
    <row r="356" spans="1:25" x14ac:dyDescent="0.35">
      <c r="A356" s="1" t="s">
        <v>765</v>
      </c>
      <c r="B356" s="1" t="s">
        <v>1</v>
      </c>
      <c r="C356" s="1" t="s">
        <v>2</v>
      </c>
      <c r="D356" s="1" t="s">
        <v>20</v>
      </c>
      <c r="E356" s="1">
        <v>3097</v>
      </c>
      <c r="F356" s="4">
        <v>10000000</v>
      </c>
      <c r="G356" s="4">
        <v>3228</v>
      </c>
      <c r="H356" s="1">
        <v>2</v>
      </c>
      <c r="I356" s="1">
        <v>2</v>
      </c>
      <c r="J356" s="1">
        <v>4</v>
      </c>
      <c r="K356" s="1" t="s">
        <v>4</v>
      </c>
      <c r="L356" s="1" t="s">
        <v>766</v>
      </c>
      <c r="M356" s="1">
        <v>6</v>
      </c>
      <c r="N356" s="1">
        <v>10</v>
      </c>
      <c r="O356" s="1">
        <v>34950</v>
      </c>
      <c r="P356" s="1">
        <v>4.1900000000000004</v>
      </c>
      <c r="Q356" s="1" t="s">
        <v>6</v>
      </c>
      <c r="R356" s="3">
        <v>0.4597</v>
      </c>
      <c r="S356" s="2">
        <v>45914</v>
      </c>
      <c r="T356" s="1">
        <v>198</v>
      </c>
      <c r="U356" s="1" t="s">
        <v>7</v>
      </c>
      <c r="V356" s="1">
        <v>159</v>
      </c>
      <c r="W356" s="1" t="b">
        <v>1</v>
      </c>
      <c r="X356" s="1" t="b">
        <v>0</v>
      </c>
      <c r="Y356" s="1">
        <v>20000</v>
      </c>
    </row>
    <row r="357" spans="1:25" x14ac:dyDescent="0.35">
      <c r="A357" s="1" t="s">
        <v>767</v>
      </c>
      <c r="B357" s="1" t="s">
        <v>54</v>
      </c>
      <c r="C357" s="1" t="s">
        <v>89</v>
      </c>
      <c r="D357" s="1" t="s">
        <v>38</v>
      </c>
      <c r="E357" s="1">
        <v>6334</v>
      </c>
      <c r="F357" s="4">
        <v>40000000</v>
      </c>
      <c r="G357" s="4">
        <v>6315</v>
      </c>
      <c r="H357" s="1">
        <v>4</v>
      </c>
      <c r="I357" s="1">
        <v>3</v>
      </c>
      <c r="J357" s="1">
        <v>0</v>
      </c>
      <c r="K357" s="1" t="s">
        <v>4</v>
      </c>
      <c r="L357" s="1" t="s">
        <v>768</v>
      </c>
      <c r="M357" s="1">
        <v>6</v>
      </c>
      <c r="N357" s="1">
        <v>7</v>
      </c>
      <c r="O357" s="1">
        <v>143436</v>
      </c>
      <c r="P357" s="1">
        <v>4.3</v>
      </c>
      <c r="Q357" s="1" t="s">
        <v>14</v>
      </c>
      <c r="R357" s="3">
        <v>0.46520000000000006</v>
      </c>
      <c r="S357" s="2">
        <v>46028</v>
      </c>
      <c r="T357" s="1">
        <v>43</v>
      </c>
      <c r="U357" s="1" t="s">
        <v>7</v>
      </c>
      <c r="V357" s="1">
        <v>144</v>
      </c>
      <c r="W357" s="1" t="b">
        <v>1</v>
      </c>
      <c r="X357" s="1" t="b">
        <v>1</v>
      </c>
      <c r="Y357" s="1">
        <v>0</v>
      </c>
    </row>
    <row r="358" spans="1:25" x14ac:dyDescent="0.35">
      <c r="A358" s="1" t="s">
        <v>769</v>
      </c>
      <c r="B358" s="1" t="s">
        <v>32</v>
      </c>
      <c r="C358" s="1" t="s">
        <v>41</v>
      </c>
      <c r="D358" s="1" t="s">
        <v>27</v>
      </c>
      <c r="E358" s="1">
        <v>6403</v>
      </c>
      <c r="F358" s="4">
        <v>12000000</v>
      </c>
      <c r="G358" s="4">
        <v>1874</v>
      </c>
      <c r="H358" s="1">
        <v>6</v>
      </c>
      <c r="I358" s="1">
        <v>4</v>
      </c>
      <c r="J358" s="1">
        <v>1</v>
      </c>
      <c r="K358" s="1" t="s">
        <v>28</v>
      </c>
      <c r="L358" s="1" t="s">
        <v>770</v>
      </c>
      <c r="M358" s="1">
        <v>3</v>
      </c>
      <c r="N358" s="1">
        <v>10</v>
      </c>
      <c r="O358" s="1">
        <v>48436</v>
      </c>
      <c r="P358" s="1">
        <v>4.84</v>
      </c>
      <c r="Q358" s="1" t="s">
        <v>6</v>
      </c>
      <c r="R358" s="3">
        <v>0.49219999999999997</v>
      </c>
      <c r="S358" s="2">
        <v>45877</v>
      </c>
      <c r="T358" s="1">
        <v>180</v>
      </c>
      <c r="U358" s="1" t="s">
        <v>7</v>
      </c>
      <c r="V358" s="1">
        <v>127</v>
      </c>
      <c r="W358" s="1" t="b">
        <v>1</v>
      </c>
      <c r="X358" s="1" t="b">
        <v>0</v>
      </c>
      <c r="Y358" s="1">
        <v>24000</v>
      </c>
    </row>
    <row r="359" spans="1:25" x14ac:dyDescent="0.35">
      <c r="A359" s="1" t="s">
        <v>771</v>
      </c>
      <c r="B359" s="1" t="s">
        <v>25</v>
      </c>
      <c r="C359" s="1" t="s">
        <v>182</v>
      </c>
      <c r="D359" s="1" t="s">
        <v>38</v>
      </c>
      <c r="E359" s="1">
        <v>7612</v>
      </c>
      <c r="F359" s="4">
        <v>30000000</v>
      </c>
      <c r="G359" s="4">
        <v>3941</v>
      </c>
      <c r="H359" s="1">
        <v>4</v>
      </c>
      <c r="I359" s="1">
        <v>3</v>
      </c>
      <c r="J359" s="1">
        <v>2</v>
      </c>
      <c r="K359" s="1" t="s">
        <v>12</v>
      </c>
      <c r="L359" s="1" t="s">
        <v>772</v>
      </c>
      <c r="M359" s="1">
        <v>6</v>
      </c>
      <c r="N359" s="1">
        <v>10</v>
      </c>
      <c r="O359" s="1">
        <v>122270</v>
      </c>
      <c r="P359" s="1">
        <v>4.8899999999999997</v>
      </c>
      <c r="Q359" s="1" t="s">
        <v>14</v>
      </c>
      <c r="R359" s="3">
        <v>0.49450000000000005</v>
      </c>
      <c r="S359" s="2">
        <v>45506</v>
      </c>
      <c r="T359" s="1">
        <v>140</v>
      </c>
      <c r="U359" s="1" t="s">
        <v>7</v>
      </c>
      <c r="V359" s="1">
        <v>145</v>
      </c>
      <c r="W359" s="1" t="b">
        <v>1</v>
      </c>
      <c r="X359" s="1" t="b">
        <v>0</v>
      </c>
      <c r="Y359" s="1">
        <v>0</v>
      </c>
    </row>
    <row r="360" spans="1:25" x14ac:dyDescent="0.35">
      <c r="A360" s="1" t="s">
        <v>773</v>
      </c>
      <c r="B360" s="1" t="s">
        <v>25</v>
      </c>
      <c r="C360" s="1" t="s">
        <v>94</v>
      </c>
      <c r="D360" s="1" t="s">
        <v>38</v>
      </c>
      <c r="E360" s="1">
        <v>5690</v>
      </c>
      <c r="F360" s="4">
        <v>30000000</v>
      </c>
      <c r="G360" s="4">
        <v>5272</v>
      </c>
      <c r="H360" s="1">
        <v>4</v>
      </c>
      <c r="I360" s="1">
        <v>2</v>
      </c>
      <c r="J360" s="1">
        <v>20</v>
      </c>
      <c r="K360" s="1" t="s">
        <v>28</v>
      </c>
      <c r="L360" s="1" t="s">
        <v>774</v>
      </c>
      <c r="M360" s="1">
        <v>3</v>
      </c>
      <c r="N360" s="1">
        <v>10</v>
      </c>
      <c r="O360" s="1">
        <v>95658</v>
      </c>
      <c r="P360" s="1">
        <v>3.83</v>
      </c>
      <c r="Q360" s="1" t="s">
        <v>14</v>
      </c>
      <c r="R360" s="3">
        <v>0.44130000000000003</v>
      </c>
      <c r="S360" s="2">
        <v>45443</v>
      </c>
      <c r="T360" s="1">
        <v>276</v>
      </c>
      <c r="U360" s="1" t="s">
        <v>30</v>
      </c>
      <c r="V360" s="1">
        <v>130</v>
      </c>
      <c r="W360" s="1" t="b">
        <v>1</v>
      </c>
      <c r="X360" s="1" t="b">
        <v>1</v>
      </c>
      <c r="Y360" s="1">
        <v>60000</v>
      </c>
    </row>
    <row r="361" spans="1:25" x14ac:dyDescent="0.35">
      <c r="A361" s="1" t="s">
        <v>775</v>
      </c>
      <c r="B361" s="1" t="s">
        <v>1</v>
      </c>
      <c r="C361" s="1" t="s">
        <v>48</v>
      </c>
      <c r="D361" s="1" t="s">
        <v>3</v>
      </c>
      <c r="E361" s="1">
        <v>1845</v>
      </c>
      <c r="F361" s="4">
        <v>10000000</v>
      </c>
      <c r="G361" s="4">
        <v>5420</v>
      </c>
      <c r="H361" s="1">
        <v>4</v>
      </c>
      <c r="I361" s="1">
        <v>3</v>
      </c>
      <c r="J361" s="1">
        <v>12</v>
      </c>
      <c r="K361" s="1" t="s">
        <v>4</v>
      </c>
      <c r="L361" s="1" t="s">
        <v>776</v>
      </c>
      <c r="M361" s="1">
        <v>4</v>
      </c>
      <c r="N361" s="1">
        <v>9</v>
      </c>
      <c r="O361" s="1">
        <v>28692</v>
      </c>
      <c r="P361" s="1">
        <v>3.44</v>
      </c>
      <c r="Q361" s="1" t="s">
        <v>6</v>
      </c>
      <c r="R361" s="3">
        <v>0.42219999999999996</v>
      </c>
      <c r="S361" s="2">
        <v>46136</v>
      </c>
      <c r="T361" s="1">
        <v>99</v>
      </c>
      <c r="U361" s="1" t="s">
        <v>30</v>
      </c>
      <c r="V361" s="1">
        <v>121</v>
      </c>
      <c r="W361" s="1" t="b">
        <v>1</v>
      </c>
      <c r="X361" s="1" t="b">
        <v>0</v>
      </c>
      <c r="Y361" s="1">
        <v>20000</v>
      </c>
    </row>
    <row r="362" spans="1:25" x14ac:dyDescent="0.35">
      <c r="A362" s="1" t="s">
        <v>777</v>
      </c>
      <c r="B362" s="1" t="s">
        <v>25</v>
      </c>
      <c r="C362" s="1" t="s">
        <v>94</v>
      </c>
      <c r="D362" s="1" t="s">
        <v>20</v>
      </c>
      <c r="E362" s="1">
        <v>1650</v>
      </c>
      <c r="F362" s="4">
        <v>30000000</v>
      </c>
      <c r="G362" s="4">
        <v>18181</v>
      </c>
      <c r="H362" s="1">
        <v>4</v>
      </c>
      <c r="I362" s="1">
        <v>3</v>
      </c>
      <c r="J362" s="1">
        <v>28</v>
      </c>
      <c r="K362" s="1" t="s">
        <v>42</v>
      </c>
      <c r="L362" s="1" t="s">
        <v>778</v>
      </c>
      <c r="M362" s="1">
        <v>8</v>
      </c>
      <c r="N362" s="1">
        <v>8</v>
      </c>
      <c r="O362" s="1">
        <v>84688</v>
      </c>
      <c r="P362" s="1">
        <v>3.39</v>
      </c>
      <c r="Q362" s="1" t="s">
        <v>14</v>
      </c>
      <c r="R362" s="3">
        <v>0.4194</v>
      </c>
      <c r="S362" s="2">
        <v>45577</v>
      </c>
      <c r="T362" s="1">
        <v>90</v>
      </c>
      <c r="U362" s="1" t="s">
        <v>30</v>
      </c>
      <c r="V362" s="1">
        <v>174</v>
      </c>
      <c r="W362" s="1" t="b">
        <v>1</v>
      </c>
      <c r="X362" s="1" t="b">
        <v>1</v>
      </c>
      <c r="Y362" s="1">
        <v>60000</v>
      </c>
    </row>
    <row r="363" spans="1:25" x14ac:dyDescent="0.35">
      <c r="A363" s="1" t="s">
        <v>779</v>
      </c>
      <c r="B363" s="1" t="s">
        <v>25</v>
      </c>
      <c r="C363" s="1" t="s">
        <v>26</v>
      </c>
      <c r="D363" s="1" t="s">
        <v>38</v>
      </c>
      <c r="E363" s="1">
        <v>4867</v>
      </c>
      <c r="F363" s="4">
        <v>30000000</v>
      </c>
      <c r="G363" s="4">
        <v>6163</v>
      </c>
      <c r="H363" s="1">
        <v>6</v>
      </c>
      <c r="I363" s="1">
        <v>4</v>
      </c>
      <c r="J363" s="1">
        <v>6</v>
      </c>
      <c r="K363" s="1" t="s">
        <v>28</v>
      </c>
      <c r="L363" s="1" t="s">
        <v>780</v>
      </c>
      <c r="M363" s="1">
        <v>8</v>
      </c>
      <c r="N363" s="1">
        <v>9</v>
      </c>
      <c r="O363" s="1">
        <v>91149</v>
      </c>
      <c r="P363" s="1">
        <v>3.65</v>
      </c>
      <c r="Q363" s="1" t="s">
        <v>14</v>
      </c>
      <c r="R363" s="3">
        <v>0.43229999999999996</v>
      </c>
      <c r="S363" s="2">
        <v>45740</v>
      </c>
      <c r="T363" s="1">
        <v>239</v>
      </c>
      <c r="U363" s="1" t="s">
        <v>7</v>
      </c>
      <c r="V363" s="1">
        <v>162</v>
      </c>
      <c r="W363" s="1" t="b">
        <v>0</v>
      </c>
      <c r="X363" s="1" t="b">
        <v>0</v>
      </c>
      <c r="Y363" s="1">
        <v>60000</v>
      </c>
    </row>
    <row r="364" spans="1:25" x14ac:dyDescent="0.35">
      <c r="A364" s="1" t="s">
        <v>781</v>
      </c>
      <c r="B364" s="1" t="s">
        <v>1</v>
      </c>
      <c r="C364" s="1" t="s">
        <v>303</v>
      </c>
      <c r="D364" s="1" t="s">
        <v>3</v>
      </c>
      <c r="E364" s="1">
        <v>1538</v>
      </c>
      <c r="F364" s="4">
        <v>10000000</v>
      </c>
      <c r="G364" s="4">
        <v>6501</v>
      </c>
      <c r="H364" s="1">
        <v>4</v>
      </c>
      <c r="I364" s="1">
        <v>3</v>
      </c>
      <c r="J364" s="1">
        <v>10</v>
      </c>
      <c r="K364" s="1" t="s">
        <v>58</v>
      </c>
      <c r="L364" s="1" t="s">
        <v>782</v>
      </c>
      <c r="M364" s="1">
        <v>3</v>
      </c>
      <c r="N364" s="1">
        <v>7</v>
      </c>
      <c r="O364" s="1">
        <v>38461</v>
      </c>
      <c r="P364" s="1">
        <v>4.62</v>
      </c>
      <c r="Q364" s="1" t="s">
        <v>6</v>
      </c>
      <c r="R364" s="3">
        <v>0.48080000000000001</v>
      </c>
      <c r="S364" s="2">
        <v>45925</v>
      </c>
      <c r="T364" s="1">
        <v>128</v>
      </c>
      <c r="U364" s="1" t="s">
        <v>23</v>
      </c>
      <c r="V364" s="1">
        <v>49</v>
      </c>
      <c r="W364" s="1" t="b">
        <v>1</v>
      </c>
      <c r="X364" s="1" t="b">
        <v>1</v>
      </c>
      <c r="Y364" s="1">
        <v>0</v>
      </c>
    </row>
    <row r="365" spans="1:25" x14ac:dyDescent="0.35">
      <c r="A365" s="1" t="s">
        <v>783</v>
      </c>
      <c r="B365" s="1" t="s">
        <v>54</v>
      </c>
      <c r="C365" s="1" t="s">
        <v>64</v>
      </c>
      <c r="D365" s="1" t="s">
        <v>3</v>
      </c>
      <c r="E365" s="1">
        <v>514</v>
      </c>
      <c r="F365" s="4">
        <v>40000000</v>
      </c>
      <c r="G365" s="4">
        <v>77821</v>
      </c>
      <c r="H365" s="1">
        <v>4</v>
      </c>
      <c r="I365" s="1">
        <v>3</v>
      </c>
      <c r="J365" s="1">
        <v>25</v>
      </c>
      <c r="K365" s="1" t="s">
        <v>4</v>
      </c>
      <c r="L365" s="1" t="s">
        <v>784</v>
      </c>
      <c r="M365" s="1">
        <v>3</v>
      </c>
      <c r="N365" s="1">
        <v>10</v>
      </c>
      <c r="O365" s="1">
        <v>115890</v>
      </c>
      <c r="P365" s="1">
        <v>3.48</v>
      </c>
      <c r="Q365" s="1" t="s">
        <v>14</v>
      </c>
      <c r="R365" s="3">
        <v>0.42380000000000001</v>
      </c>
      <c r="S365" s="2">
        <v>45808</v>
      </c>
      <c r="T365" s="1">
        <v>267</v>
      </c>
      <c r="U365" s="1" t="s">
        <v>30</v>
      </c>
      <c r="V365" s="1">
        <v>115</v>
      </c>
      <c r="W365" s="1" t="b">
        <v>1</v>
      </c>
      <c r="X365" s="1" t="b">
        <v>1</v>
      </c>
      <c r="Y365" s="1">
        <v>0</v>
      </c>
    </row>
    <row r="366" spans="1:25" x14ac:dyDescent="0.35">
      <c r="A366" s="1" t="s">
        <v>785</v>
      </c>
      <c r="B366" s="1" t="s">
        <v>9</v>
      </c>
      <c r="C366" s="1" t="s">
        <v>142</v>
      </c>
      <c r="D366" s="1" t="s">
        <v>11</v>
      </c>
      <c r="E366" s="1">
        <v>546</v>
      </c>
      <c r="F366" s="4">
        <v>50000000</v>
      </c>
      <c r="G366" s="4">
        <v>91575</v>
      </c>
      <c r="H366" s="1">
        <v>0</v>
      </c>
      <c r="I366" s="1">
        <v>1</v>
      </c>
      <c r="J366" s="1">
        <v>1</v>
      </c>
      <c r="K366" s="1" t="s">
        <v>61</v>
      </c>
      <c r="L366" s="1" t="s">
        <v>786</v>
      </c>
      <c r="M366" s="1">
        <v>3</v>
      </c>
      <c r="N366" s="1">
        <v>9</v>
      </c>
      <c r="O366" s="1">
        <v>191865</v>
      </c>
      <c r="P366" s="1">
        <v>4.5999999999999996</v>
      </c>
      <c r="Q366" s="1" t="s">
        <v>14</v>
      </c>
      <c r="R366" s="3">
        <v>0.48020000000000002</v>
      </c>
      <c r="S366" s="2">
        <v>46100</v>
      </c>
      <c r="T366" s="1">
        <v>34</v>
      </c>
      <c r="U366" s="1" t="s">
        <v>7</v>
      </c>
      <c r="V366" s="1">
        <v>140</v>
      </c>
      <c r="W366" s="1" t="b">
        <v>1</v>
      </c>
      <c r="X366" s="1" t="b">
        <v>1</v>
      </c>
      <c r="Y366" s="1">
        <v>100000</v>
      </c>
    </row>
    <row r="367" spans="1:25" x14ac:dyDescent="0.35">
      <c r="A367" s="1" t="s">
        <v>787</v>
      </c>
      <c r="B367" s="1" t="s">
        <v>54</v>
      </c>
      <c r="C367" s="1" t="s">
        <v>89</v>
      </c>
      <c r="D367" s="1" t="s">
        <v>11</v>
      </c>
      <c r="E367" s="1">
        <v>299</v>
      </c>
      <c r="F367" s="4">
        <v>33705310</v>
      </c>
      <c r="G367" s="4">
        <v>112726</v>
      </c>
      <c r="H367" s="1">
        <v>1</v>
      </c>
      <c r="I367" s="1">
        <v>1</v>
      </c>
      <c r="J367" s="1">
        <v>27</v>
      </c>
      <c r="K367" s="1" t="s">
        <v>12</v>
      </c>
      <c r="L367" s="1" t="s">
        <v>788</v>
      </c>
      <c r="M367" s="1">
        <v>7</v>
      </c>
      <c r="N367" s="1">
        <v>6</v>
      </c>
      <c r="O367" s="1">
        <v>122225</v>
      </c>
      <c r="P367" s="1">
        <v>4.3499999999999996</v>
      </c>
      <c r="Q367" s="1" t="s">
        <v>14</v>
      </c>
      <c r="R367" s="3">
        <v>0.46759999999999996</v>
      </c>
      <c r="S367" s="2">
        <v>46130</v>
      </c>
      <c r="T367" s="1">
        <v>99</v>
      </c>
      <c r="U367" s="1" t="s">
        <v>7</v>
      </c>
      <c r="V367" s="1">
        <v>180</v>
      </c>
      <c r="W367" s="1" t="b">
        <v>1</v>
      </c>
      <c r="X367" s="1" t="b">
        <v>1</v>
      </c>
      <c r="Y367" s="1">
        <v>67410</v>
      </c>
    </row>
    <row r="368" spans="1:25" x14ac:dyDescent="0.35">
      <c r="A368" s="1" t="s">
        <v>789</v>
      </c>
      <c r="B368" s="1" t="s">
        <v>32</v>
      </c>
      <c r="C368" s="1" t="s">
        <v>194</v>
      </c>
      <c r="D368" s="1" t="s">
        <v>3</v>
      </c>
      <c r="E368" s="1">
        <v>2828</v>
      </c>
      <c r="F368" s="4">
        <v>12000000</v>
      </c>
      <c r="G368" s="4">
        <v>4243</v>
      </c>
      <c r="H368" s="1">
        <v>2</v>
      </c>
      <c r="I368" s="1">
        <v>1</v>
      </c>
      <c r="J368" s="1">
        <v>20</v>
      </c>
      <c r="K368" s="1" t="s">
        <v>61</v>
      </c>
      <c r="L368" s="1" t="s">
        <v>790</v>
      </c>
      <c r="M368" s="1">
        <v>7</v>
      </c>
      <c r="N368" s="1">
        <v>8</v>
      </c>
      <c r="O368" s="1">
        <v>45940</v>
      </c>
      <c r="P368" s="1">
        <v>4.59</v>
      </c>
      <c r="Q368" s="1" t="s">
        <v>6</v>
      </c>
      <c r="R368" s="3">
        <v>0.47970000000000002</v>
      </c>
      <c r="S368" s="2">
        <v>46095</v>
      </c>
      <c r="T368" s="1">
        <v>263</v>
      </c>
      <c r="U368" s="1" t="s">
        <v>7</v>
      </c>
      <c r="V368" s="1">
        <v>141</v>
      </c>
      <c r="W368" s="1" t="b">
        <v>0</v>
      </c>
      <c r="X368" s="1" t="b">
        <v>0</v>
      </c>
      <c r="Y368" s="1">
        <v>24000</v>
      </c>
    </row>
    <row r="369" spans="1:25" x14ac:dyDescent="0.35">
      <c r="A369" s="1" t="s">
        <v>791</v>
      </c>
      <c r="B369" s="1" t="s">
        <v>25</v>
      </c>
      <c r="C369" s="1" t="s">
        <v>94</v>
      </c>
      <c r="D369" s="1" t="s">
        <v>20</v>
      </c>
      <c r="E369" s="1">
        <v>3971</v>
      </c>
      <c r="F369" s="4">
        <v>30000000</v>
      </c>
      <c r="G369" s="4">
        <v>7554</v>
      </c>
      <c r="H369" s="1">
        <v>4</v>
      </c>
      <c r="I369" s="1">
        <v>3</v>
      </c>
      <c r="J369" s="1">
        <v>11</v>
      </c>
      <c r="K369" s="1" t="s">
        <v>4</v>
      </c>
      <c r="L369" s="1" t="s">
        <v>792</v>
      </c>
      <c r="M369" s="1">
        <v>3</v>
      </c>
      <c r="N369" s="1">
        <v>5</v>
      </c>
      <c r="O369" s="1">
        <v>116758</v>
      </c>
      <c r="P369" s="1">
        <v>4.67</v>
      </c>
      <c r="Q369" s="1" t="s">
        <v>14</v>
      </c>
      <c r="R369" s="3">
        <v>0.48350000000000004</v>
      </c>
      <c r="S369" s="2">
        <v>46101</v>
      </c>
      <c r="T369" s="1">
        <v>328</v>
      </c>
      <c r="U369" s="1" t="s">
        <v>7</v>
      </c>
      <c r="V369" s="1">
        <v>81</v>
      </c>
      <c r="W369" s="1" t="b">
        <v>1</v>
      </c>
      <c r="X369" s="1" t="b">
        <v>1</v>
      </c>
      <c r="Y369" s="1">
        <v>0</v>
      </c>
    </row>
    <row r="370" spans="1:25" x14ac:dyDescent="0.35">
      <c r="A370" s="1" t="s">
        <v>793</v>
      </c>
      <c r="B370" s="1" t="s">
        <v>25</v>
      </c>
      <c r="C370" s="1" t="s">
        <v>182</v>
      </c>
      <c r="D370" s="1" t="s">
        <v>11</v>
      </c>
      <c r="E370" s="1">
        <v>489</v>
      </c>
      <c r="F370" s="4">
        <v>30000000</v>
      </c>
      <c r="G370" s="4">
        <v>61349</v>
      </c>
      <c r="H370" s="1">
        <v>1</v>
      </c>
      <c r="I370" s="1">
        <v>2</v>
      </c>
      <c r="J370" s="1">
        <v>19</v>
      </c>
      <c r="K370" s="1" t="s">
        <v>28</v>
      </c>
      <c r="L370" s="1" t="s">
        <v>794</v>
      </c>
      <c r="M370" s="1">
        <v>5</v>
      </c>
      <c r="N370" s="1">
        <v>5</v>
      </c>
      <c r="O370" s="1">
        <v>120997</v>
      </c>
      <c r="P370" s="1">
        <v>4.84</v>
      </c>
      <c r="Q370" s="1" t="s">
        <v>14</v>
      </c>
      <c r="R370" s="3">
        <v>0.49200000000000005</v>
      </c>
      <c r="S370" s="2">
        <v>45502</v>
      </c>
      <c r="T370" s="1">
        <v>320</v>
      </c>
      <c r="U370" s="1" t="s">
        <v>7</v>
      </c>
      <c r="V370" s="1">
        <v>149</v>
      </c>
      <c r="W370" s="1" t="b">
        <v>1</v>
      </c>
      <c r="X370" s="1" t="b">
        <v>1</v>
      </c>
      <c r="Y370" s="1">
        <v>0</v>
      </c>
    </row>
    <row r="371" spans="1:25" x14ac:dyDescent="0.35">
      <c r="A371" s="1" t="s">
        <v>795</v>
      </c>
      <c r="B371" s="1" t="s">
        <v>1</v>
      </c>
      <c r="C371" s="1" t="s">
        <v>97</v>
      </c>
      <c r="D371" s="1" t="s">
        <v>11</v>
      </c>
      <c r="E371" s="1">
        <v>355</v>
      </c>
      <c r="F371" s="4">
        <v>10000000</v>
      </c>
      <c r="G371" s="4">
        <v>28169</v>
      </c>
      <c r="H371" s="1">
        <v>1</v>
      </c>
      <c r="I371" s="1">
        <v>1</v>
      </c>
      <c r="J371" s="1">
        <v>26</v>
      </c>
      <c r="K371" s="1" t="s">
        <v>12</v>
      </c>
      <c r="L371" s="1" t="s">
        <v>796</v>
      </c>
      <c r="M371" s="1">
        <v>3</v>
      </c>
      <c r="N371" s="1">
        <v>9</v>
      </c>
      <c r="O371" s="1">
        <v>26919</v>
      </c>
      <c r="P371" s="1">
        <v>3.23</v>
      </c>
      <c r="Q371" s="1" t="s">
        <v>6</v>
      </c>
      <c r="R371" s="3">
        <v>0.41149999999999998</v>
      </c>
      <c r="S371" s="2">
        <v>45859</v>
      </c>
      <c r="T371" s="1">
        <v>185</v>
      </c>
      <c r="U371" s="1" t="s">
        <v>7</v>
      </c>
      <c r="V371" s="1">
        <v>179</v>
      </c>
      <c r="W371" s="1" t="b">
        <v>1</v>
      </c>
      <c r="X371" s="1" t="b">
        <v>1</v>
      </c>
      <c r="Y371" s="1">
        <v>20000</v>
      </c>
    </row>
    <row r="372" spans="1:25" x14ac:dyDescent="0.35">
      <c r="A372" s="1" t="s">
        <v>797</v>
      </c>
      <c r="B372" s="1" t="s">
        <v>25</v>
      </c>
      <c r="C372" s="1" t="s">
        <v>26</v>
      </c>
      <c r="D372" s="1" t="s">
        <v>27</v>
      </c>
      <c r="E372" s="1">
        <v>3793</v>
      </c>
      <c r="F372" s="4">
        <v>30000000</v>
      </c>
      <c r="G372" s="4">
        <v>7909</v>
      </c>
      <c r="H372" s="1">
        <v>5</v>
      </c>
      <c r="I372" s="1">
        <v>2</v>
      </c>
      <c r="J372" s="1">
        <v>10</v>
      </c>
      <c r="K372" s="1" t="s">
        <v>28</v>
      </c>
      <c r="L372" s="1" t="s">
        <v>798</v>
      </c>
      <c r="M372" s="1">
        <v>7</v>
      </c>
      <c r="N372" s="1">
        <v>4</v>
      </c>
      <c r="O372" s="1">
        <v>81862</v>
      </c>
      <c r="P372" s="1">
        <v>3.27</v>
      </c>
      <c r="Q372" s="1" t="s">
        <v>14</v>
      </c>
      <c r="R372" s="3">
        <v>0.41369999999999996</v>
      </c>
      <c r="S372" s="2">
        <v>45486</v>
      </c>
      <c r="T372" s="1">
        <v>108</v>
      </c>
      <c r="U372" s="1" t="s">
        <v>30</v>
      </c>
      <c r="V372" s="1">
        <v>116</v>
      </c>
      <c r="W372" s="1" t="b">
        <v>0</v>
      </c>
      <c r="X372" s="1" t="b">
        <v>0</v>
      </c>
      <c r="Y372" s="1">
        <v>60000</v>
      </c>
    </row>
    <row r="373" spans="1:25" x14ac:dyDescent="0.35">
      <c r="A373" s="1" t="s">
        <v>799</v>
      </c>
      <c r="B373" s="1" t="s">
        <v>54</v>
      </c>
      <c r="C373" s="1" t="s">
        <v>72</v>
      </c>
      <c r="D373" s="1" t="s">
        <v>27</v>
      </c>
      <c r="E373" s="1">
        <v>6316</v>
      </c>
      <c r="F373" s="4">
        <v>40000000</v>
      </c>
      <c r="G373" s="4">
        <v>6333</v>
      </c>
      <c r="H373" s="1">
        <v>6</v>
      </c>
      <c r="I373" s="1">
        <v>3</v>
      </c>
      <c r="J373" s="1">
        <v>3</v>
      </c>
      <c r="K373" s="1" t="s">
        <v>21</v>
      </c>
      <c r="L373" s="1" t="s">
        <v>800</v>
      </c>
      <c r="M373" s="1">
        <v>4</v>
      </c>
      <c r="N373" s="1">
        <v>5</v>
      </c>
      <c r="O373" s="1">
        <v>121196</v>
      </c>
      <c r="P373" s="1">
        <v>3.64</v>
      </c>
      <c r="Q373" s="1" t="s">
        <v>14</v>
      </c>
      <c r="R373" s="3">
        <v>0.43180000000000002</v>
      </c>
      <c r="S373" s="2">
        <v>45717</v>
      </c>
      <c r="T373" s="1">
        <v>316</v>
      </c>
      <c r="U373" s="1" t="s">
        <v>23</v>
      </c>
      <c r="V373" s="1">
        <v>41</v>
      </c>
      <c r="W373" s="1" t="b">
        <v>1</v>
      </c>
      <c r="X373" s="1" t="b">
        <v>0</v>
      </c>
      <c r="Y373" s="1">
        <v>80000</v>
      </c>
    </row>
    <row r="374" spans="1:25" x14ac:dyDescent="0.35">
      <c r="A374" s="1" t="s">
        <v>801</v>
      </c>
      <c r="B374" s="1" t="s">
        <v>54</v>
      </c>
      <c r="C374" s="1" t="s">
        <v>55</v>
      </c>
      <c r="D374" s="1" t="s">
        <v>3</v>
      </c>
      <c r="E374" s="1">
        <v>2978</v>
      </c>
      <c r="F374" s="4">
        <v>40000000</v>
      </c>
      <c r="G374" s="4">
        <v>13431</v>
      </c>
      <c r="H374" s="1">
        <v>3</v>
      </c>
      <c r="I374" s="1">
        <v>1</v>
      </c>
      <c r="J374" s="1">
        <v>27</v>
      </c>
      <c r="K374" s="1" t="s">
        <v>61</v>
      </c>
      <c r="L374" s="1" t="s">
        <v>802</v>
      </c>
      <c r="M374" s="1">
        <v>7</v>
      </c>
      <c r="N374" s="1">
        <v>6</v>
      </c>
      <c r="O374" s="1">
        <v>150087</v>
      </c>
      <c r="P374" s="1">
        <v>4.5</v>
      </c>
      <c r="Q374" s="1" t="s">
        <v>14</v>
      </c>
      <c r="R374" s="3">
        <v>0.47509999999999997</v>
      </c>
      <c r="S374" s="2">
        <v>45496</v>
      </c>
      <c r="T374" s="1">
        <v>266</v>
      </c>
      <c r="U374" s="1" t="s">
        <v>30</v>
      </c>
      <c r="V374" s="1">
        <v>157</v>
      </c>
      <c r="W374" s="1" t="b">
        <v>0</v>
      </c>
      <c r="X374" s="1" t="b">
        <v>1</v>
      </c>
      <c r="Y374" s="1">
        <v>0</v>
      </c>
    </row>
    <row r="375" spans="1:25" x14ac:dyDescent="0.35">
      <c r="A375" s="1" t="s">
        <v>803</v>
      </c>
      <c r="B375" s="1" t="s">
        <v>1</v>
      </c>
      <c r="C375" s="1" t="s">
        <v>97</v>
      </c>
      <c r="D375" s="1" t="s">
        <v>38</v>
      </c>
      <c r="E375" s="1">
        <v>8689</v>
      </c>
      <c r="F375" s="4">
        <v>10000000</v>
      </c>
      <c r="G375" s="4">
        <v>1150</v>
      </c>
      <c r="H375" s="1">
        <v>5</v>
      </c>
      <c r="I375" s="1">
        <v>3</v>
      </c>
      <c r="J375" s="1">
        <v>15</v>
      </c>
      <c r="K375" s="1" t="s">
        <v>4</v>
      </c>
      <c r="L375" s="1" t="s">
        <v>804</v>
      </c>
      <c r="M375" s="1">
        <v>5</v>
      </c>
      <c r="N375" s="1">
        <v>7</v>
      </c>
      <c r="O375" s="1">
        <v>28906</v>
      </c>
      <c r="P375" s="1">
        <v>3.47</v>
      </c>
      <c r="Q375" s="1" t="s">
        <v>6</v>
      </c>
      <c r="R375" s="3">
        <v>0.42340000000000005</v>
      </c>
      <c r="S375" s="2">
        <v>45933</v>
      </c>
      <c r="T375" s="1">
        <v>81</v>
      </c>
      <c r="U375" s="1" t="s">
        <v>7</v>
      </c>
      <c r="V375" s="1">
        <v>176</v>
      </c>
      <c r="W375" s="1" t="b">
        <v>0</v>
      </c>
      <c r="X375" s="1" t="b">
        <v>0</v>
      </c>
      <c r="Y375" s="1">
        <v>20000</v>
      </c>
    </row>
    <row r="376" spans="1:25" x14ac:dyDescent="0.35">
      <c r="A376" s="1" t="s">
        <v>805</v>
      </c>
      <c r="B376" s="1" t="s">
        <v>25</v>
      </c>
      <c r="C376" s="1" t="s">
        <v>314</v>
      </c>
      <c r="D376" s="1" t="s">
        <v>20</v>
      </c>
      <c r="E376" s="1">
        <v>3320</v>
      </c>
      <c r="F376" s="4">
        <v>30000000</v>
      </c>
      <c r="G376" s="4">
        <v>9036</v>
      </c>
      <c r="H376" s="1">
        <v>4</v>
      </c>
      <c r="I376" s="1">
        <v>2</v>
      </c>
      <c r="J376" s="1">
        <v>18</v>
      </c>
      <c r="K376" s="1" t="s">
        <v>21</v>
      </c>
      <c r="L376" s="1" t="s">
        <v>806</v>
      </c>
      <c r="M376" s="1">
        <v>3</v>
      </c>
      <c r="N376" s="1">
        <v>6</v>
      </c>
      <c r="O376" s="1">
        <v>96625</v>
      </c>
      <c r="P376" s="1">
        <v>3.86</v>
      </c>
      <c r="Q376" s="1" t="s">
        <v>14</v>
      </c>
      <c r="R376" s="3">
        <v>0.44319999999999998</v>
      </c>
      <c r="S376" s="2">
        <v>45780</v>
      </c>
      <c r="T376" s="1">
        <v>196</v>
      </c>
      <c r="U376" s="1" t="s">
        <v>30</v>
      </c>
      <c r="V376" s="1">
        <v>99</v>
      </c>
      <c r="W376" s="1" t="b">
        <v>1</v>
      </c>
      <c r="X376" s="1" t="b">
        <v>1</v>
      </c>
      <c r="Y376" s="1">
        <v>0</v>
      </c>
    </row>
    <row r="377" spans="1:25" x14ac:dyDescent="0.35">
      <c r="A377" s="1" t="s">
        <v>807</v>
      </c>
      <c r="B377" s="1" t="s">
        <v>25</v>
      </c>
      <c r="C377" s="1" t="s">
        <v>26</v>
      </c>
      <c r="D377" s="1" t="s">
        <v>3</v>
      </c>
      <c r="E377" s="1">
        <v>1870</v>
      </c>
      <c r="F377" s="4">
        <v>30000000</v>
      </c>
      <c r="G377" s="4">
        <v>16042</v>
      </c>
      <c r="H377" s="1">
        <v>1</v>
      </c>
      <c r="I377" s="1">
        <v>2</v>
      </c>
      <c r="J377" s="1">
        <v>26</v>
      </c>
      <c r="K377" s="1" t="s">
        <v>58</v>
      </c>
      <c r="L377" s="1" t="s">
        <v>808</v>
      </c>
      <c r="M377" s="1">
        <v>7</v>
      </c>
      <c r="N377" s="1">
        <v>9</v>
      </c>
      <c r="O377" s="1">
        <v>76914</v>
      </c>
      <c r="P377" s="1">
        <v>3.08</v>
      </c>
      <c r="Q377" s="1" t="s">
        <v>14</v>
      </c>
      <c r="R377" s="3">
        <v>0.40380000000000005</v>
      </c>
      <c r="S377" s="2">
        <v>45951</v>
      </c>
      <c r="T377" s="1">
        <v>129</v>
      </c>
      <c r="U377" s="1" t="s">
        <v>7</v>
      </c>
      <c r="V377" s="1">
        <v>114</v>
      </c>
      <c r="W377" s="1" t="b">
        <v>0</v>
      </c>
      <c r="X377" s="1" t="b">
        <v>0</v>
      </c>
      <c r="Y377" s="1">
        <v>60000</v>
      </c>
    </row>
    <row r="378" spans="1:25" x14ac:dyDescent="0.35">
      <c r="A378" s="1" t="s">
        <v>809</v>
      </c>
      <c r="B378" s="1" t="s">
        <v>1</v>
      </c>
      <c r="C378" s="1" t="s">
        <v>51</v>
      </c>
      <c r="D378" s="1" t="s">
        <v>27</v>
      </c>
      <c r="E378" s="1">
        <v>7866</v>
      </c>
      <c r="F378" s="4">
        <v>10000000</v>
      </c>
      <c r="G378" s="4">
        <v>1271</v>
      </c>
      <c r="H378" s="1">
        <v>5</v>
      </c>
      <c r="I378" s="1">
        <v>2</v>
      </c>
      <c r="J378" s="1">
        <v>24</v>
      </c>
      <c r="K378" s="1" t="s">
        <v>28</v>
      </c>
      <c r="L378" s="1" t="s">
        <v>810</v>
      </c>
      <c r="M378" s="1">
        <v>5</v>
      </c>
      <c r="N378" s="1">
        <v>5</v>
      </c>
      <c r="O378" s="1">
        <v>33544</v>
      </c>
      <c r="P378" s="1">
        <v>4.03</v>
      </c>
      <c r="Q378" s="1" t="s">
        <v>6</v>
      </c>
      <c r="R378" s="3">
        <v>0.45130000000000003</v>
      </c>
      <c r="S378" s="2">
        <v>46004</v>
      </c>
      <c r="T378" s="1">
        <v>108</v>
      </c>
      <c r="U378" s="1" t="s">
        <v>23</v>
      </c>
      <c r="V378" s="1">
        <v>88</v>
      </c>
      <c r="W378" s="1" t="b">
        <v>0</v>
      </c>
      <c r="X378" s="1" t="b">
        <v>1</v>
      </c>
      <c r="Y378" s="1">
        <v>0</v>
      </c>
    </row>
    <row r="379" spans="1:25" x14ac:dyDescent="0.35">
      <c r="A379" s="1" t="s">
        <v>811</v>
      </c>
      <c r="B379" s="1" t="s">
        <v>1</v>
      </c>
      <c r="C379" s="1" t="s">
        <v>48</v>
      </c>
      <c r="D379" s="1" t="s">
        <v>20</v>
      </c>
      <c r="E379" s="1">
        <v>4743</v>
      </c>
      <c r="F379" s="4">
        <v>10000000</v>
      </c>
      <c r="G379" s="4">
        <v>2108</v>
      </c>
      <c r="H379" s="1">
        <v>2</v>
      </c>
      <c r="I379" s="1">
        <v>2</v>
      </c>
      <c r="J379" s="1">
        <v>27</v>
      </c>
      <c r="K379" s="1" t="s">
        <v>42</v>
      </c>
      <c r="L379" s="1" t="s">
        <v>812</v>
      </c>
      <c r="M379" s="1">
        <v>4</v>
      </c>
      <c r="N379" s="1">
        <v>5</v>
      </c>
      <c r="O379" s="1">
        <v>25501</v>
      </c>
      <c r="P379" s="1">
        <v>3.06</v>
      </c>
      <c r="Q379" s="1" t="s">
        <v>6</v>
      </c>
      <c r="R379" s="3">
        <v>0.40299999999999997</v>
      </c>
      <c r="S379" s="2">
        <v>46014</v>
      </c>
      <c r="T379" s="1">
        <v>5</v>
      </c>
      <c r="U379" s="1" t="s">
        <v>7</v>
      </c>
      <c r="V379" s="1">
        <v>108</v>
      </c>
      <c r="W379" s="1" t="b">
        <v>0</v>
      </c>
      <c r="X379" s="1" t="b">
        <v>0</v>
      </c>
      <c r="Y379" s="1">
        <v>0</v>
      </c>
    </row>
    <row r="380" spans="1:25" x14ac:dyDescent="0.35">
      <c r="A380" s="1" t="s">
        <v>813</v>
      </c>
      <c r="B380" s="1" t="s">
        <v>25</v>
      </c>
      <c r="C380" s="1" t="s">
        <v>94</v>
      </c>
      <c r="D380" s="1" t="s">
        <v>11</v>
      </c>
      <c r="E380" s="1">
        <v>456</v>
      </c>
      <c r="F380" s="4">
        <v>30000000</v>
      </c>
      <c r="G380" s="4">
        <v>65789</v>
      </c>
      <c r="H380" s="1">
        <v>1</v>
      </c>
      <c r="I380" s="1">
        <v>2</v>
      </c>
      <c r="J380" s="1">
        <v>18</v>
      </c>
      <c r="K380" s="1" t="s">
        <v>61</v>
      </c>
      <c r="L380" s="1" t="s">
        <v>814</v>
      </c>
      <c r="M380" s="1">
        <v>3</v>
      </c>
      <c r="N380" s="1">
        <v>8</v>
      </c>
      <c r="O380" s="1">
        <v>124712</v>
      </c>
      <c r="P380" s="1">
        <v>4.99</v>
      </c>
      <c r="Q380" s="1" t="s">
        <v>14</v>
      </c>
      <c r="R380" s="3">
        <v>0.49939999999999996</v>
      </c>
      <c r="S380" s="2">
        <v>45575</v>
      </c>
      <c r="T380" s="1">
        <v>201</v>
      </c>
      <c r="U380" s="1" t="s">
        <v>30</v>
      </c>
      <c r="V380" s="1">
        <v>176</v>
      </c>
      <c r="W380" s="1" t="b">
        <v>0</v>
      </c>
      <c r="X380" s="1" t="b">
        <v>1</v>
      </c>
      <c r="Y380" s="1">
        <v>0</v>
      </c>
    </row>
    <row r="381" spans="1:25" x14ac:dyDescent="0.35">
      <c r="A381" s="1" t="s">
        <v>815</v>
      </c>
      <c r="B381" s="1" t="s">
        <v>9</v>
      </c>
      <c r="C381" s="1" t="s">
        <v>109</v>
      </c>
      <c r="D381" s="1" t="s">
        <v>11</v>
      </c>
      <c r="E381" s="1">
        <v>346</v>
      </c>
      <c r="F381" s="4">
        <v>50000000</v>
      </c>
      <c r="G381" s="4">
        <v>144508</v>
      </c>
      <c r="H381" s="1">
        <v>1</v>
      </c>
      <c r="I381" s="1">
        <v>1</v>
      </c>
      <c r="J381" s="1">
        <v>10</v>
      </c>
      <c r="K381" s="1" t="s">
        <v>28</v>
      </c>
      <c r="L381" s="1" t="s">
        <v>816</v>
      </c>
      <c r="M381" s="1">
        <v>7</v>
      </c>
      <c r="N381" s="1">
        <v>4</v>
      </c>
      <c r="O381" s="1">
        <v>175280</v>
      </c>
      <c r="P381" s="1">
        <v>4.21</v>
      </c>
      <c r="Q381" s="1" t="s">
        <v>14</v>
      </c>
      <c r="R381" s="3">
        <v>0.46029999999999999</v>
      </c>
      <c r="S381" s="2">
        <v>46129</v>
      </c>
      <c r="T381" s="1">
        <v>146</v>
      </c>
      <c r="U381" s="1" t="s">
        <v>7</v>
      </c>
      <c r="V381" s="1">
        <v>128</v>
      </c>
      <c r="W381" s="1" t="b">
        <v>1</v>
      </c>
      <c r="X381" s="1" t="b">
        <v>1</v>
      </c>
      <c r="Y381" s="1">
        <v>0</v>
      </c>
    </row>
    <row r="382" spans="1:25" x14ac:dyDescent="0.35">
      <c r="A382" s="1" t="s">
        <v>817</v>
      </c>
      <c r="B382" s="1" t="s">
        <v>1</v>
      </c>
      <c r="C382" s="1" t="s">
        <v>51</v>
      </c>
      <c r="D382" s="1" t="s">
        <v>3</v>
      </c>
      <c r="E382" s="1">
        <v>2262</v>
      </c>
      <c r="F382" s="4">
        <v>10000000</v>
      </c>
      <c r="G382" s="4">
        <v>4420</v>
      </c>
      <c r="H382" s="1">
        <v>1</v>
      </c>
      <c r="I382" s="1">
        <v>2</v>
      </c>
      <c r="J382" s="1">
        <v>16</v>
      </c>
      <c r="K382" s="1" t="s">
        <v>21</v>
      </c>
      <c r="L382" s="1" t="s">
        <v>664</v>
      </c>
      <c r="M382" s="1">
        <v>3</v>
      </c>
      <c r="N382" s="1">
        <v>9</v>
      </c>
      <c r="O382" s="1">
        <v>26845</v>
      </c>
      <c r="P382" s="1">
        <v>3.22</v>
      </c>
      <c r="Q382" s="1" t="s">
        <v>6</v>
      </c>
      <c r="R382" s="3">
        <v>0.41110000000000002</v>
      </c>
      <c r="S382" s="2">
        <v>45607</v>
      </c>
      <c r="T382" s="1">
        <v>200</v>
      </c>
      <c r="U382" s="1" t="s">
        <v>7</v>
      </c>
      <c r="V382" s="1">
        <v>47</v>
      </c>
      <c r="W382" s="1" t="b">
        <v>1</v>
      </c>
      <c r="X382" s="1" t="b">
        <v>1</v>
      </c>
      <c r="Y382" s="1">
        <v>20000</v>
      </c>
    </row>
    <row r="383" spans="1:25" x14ac:dyDescent="0.35">
      <c r="A383" s="1" t="s">
        <v>818</v>
      </c>
      <c r="B383" s="1" t="s">
        <v>54</v>
      </c>
      <c r="C383" s="1" t="s">
        <v>89</v>
      </c>
      <c r="D383" s="1" t="s">
        <v>11</v>
      </c>
      <c r="E383" s="1">
        <v>331</v>
      </c>
      <c r="F383" s="4">
        <v>37455633</v>
      </c>
      <c r="G383" s="4">
        <v>113159</v>
      </c>
      <c r="H383" s="1">
        <v>1</v>
      </c>
      <c r="I383" s="1">
        <v>1</v>
      </c>
      <c r="J383" s="1">
        <v>16</v>
      </c>
      <c r="K383" s="1" t="s">
        <v>4</v>
      </c>
      <c r="L383" s="1" t="s">
        <v>819</v>
      </c>
      <c r="M383" s="1">
        <v>8</v>
      </c>
      <c r="N383" s="1">
        <v>8</v>
      </c>
      <c r="O383" s="1">
        <v>150465</v>
      </c>
      <c r="P383" s="1">
        <v>4.82</v>
      </c>
      <c r="Q383" s="1" t="s">
        <v>14</v>
      </c>
      <c r="R383" s="3">
        <v>0.49099999999999999</v>
      </c>
      <c r="S383" s="2">
        <v>45654</v>
      </c>
      <c r="T383" s="1">
        <v>47</v>
      </c>
      <c r="U383" s="1" t="s">
        <v>7</v>
      </c>
      <c r="V383" s="1">
        <v>40</v>
      </c>
      <c r="W383" s="1" t="b">
        <v>0</v>
      </c>
      <c r="X383" s="1" t="b">
        <v>0</v>
      </c>
      <c r="Y383" s="1">
        <v>0</v>
      </c>
    </row>
    <row r="384" spans="1:25" x14ac:dyDescent="0.35">
      <c r="A384" s="1" t="s">
        <v>820</v>
      </c>
      <c r="B384" s="1" t="s">
        <v>1</v>
      </c>
      <c r="C384" s="1" t="s">
        <v>45</v>
      </c>
      <c r="D384" s="1" t="s">
        <v>20</v>
      </c>
      <c r="E384" s="1">
        <v>3101</v>
      </c>
      <c r="F384" s="4">
        <v>10000000</v>
      </c>
      <c r="G384" s="4">
        <v>3224</v>
      </c>
      <c r="H384" s="1">
        <v>3</v>
      </c>
      <c r="I384" s="1">
        <v>2</v>
      </c>
      <c r="J384" s="1">
        <v>7</v>
      </c>
      <c r="K384" s="1" t="s">
        <v>61</v>
      </c>
      <c r="L384" s="1" t="s">
        <v>821</v>
      </c>
      <c r="M384" s="1">
        <v>4</v>
      </c>
      <c r="N384" s="1">
        <v>5</v>
      </c>
      <c r="O384" s="1">
        <v>26592</v>
      </c>
      <c r="P384" s="1">
        <v>3.19</v>
      </c>
      <c r="Q384" s="1" t="s">
        <v>6</v>
      </c>
      <c r="R384" s="3">
        <v>0.40960000000000002</v>
      </c>
      <c r="S384" s="2">
        <v>45441</v>
      </c>
      <c r="T384" s="1">
        <v>141</v>
      </c>
      <c r="U384" s="1" t="s">
        <v>23</v>
      </c>
      <c r="V384" s="1">
        <v>70</v>
      </c>
      <c r="W384" s="1" t="b">
        <v>0</v>
      </c>
      <c r="X384" s="1" t="b">
        <v>1</v>
      </c>
      <c r="Y384" s="1">
        <v>20000</v>
      </c>
    </row>
    <row r="385" spans="1:25" x14ac:dyDescent="0.35">
      <c r="A385" s="1" t="s">
        <v>822</v>
      </c>
      <c r="B385" s="1" t="s">
        <v>18</v>
      </c>
      <c r="C385" s="1" t="s">
        <v>19</v>
      </c>
      <c r="D385" s="1" t="s">
        <v>38</v>
      </c>
      <c r="E385" s="1">
        <v>3993</v>
      </c>
      <c r="F385" s="4">
        <v>15000000</v>
      </c>
      <c r="G385" s="4">
        <v>3756</v>
      </c>
      <c r="H385" s="1">
        <v>5</v>
      </c>
      <c r="I385" s="1">
        <v>2</v>
      </c>
      <c r="J385" s="1">
        <v>24</v>
      </c>
      <c r="K385" s="1" t="s">
        <v>42</v>
      </c>
      <c r="L385" s="1" t="s">
        <v>823</v>
      </c>
      <c r="M385" s="1">
        <v>3</v>
      </c>
      <c r="N385" s="1">
        <v>4</v>
      </c>
      <c r="O385" s="1">
        <v>42684</v>
      </c>
      <c r="P385" s="1">
        <v>3.41</v>
      </c>
      <c r="Q385" s="1" t="s">
        <v>6</v>
      </c>
      <c r="R385" s="3">
        <v>0.42070000000000002</v>
      </c>
      <c r="S385" s="2">
        <v>46111</v>
      </c>
      <c r="T385" s="1">
        <v>196</v>
      </c>
      <c r="U385" s="1" t="s">
        <v>7</v>
      </c>
      <c r="V385" s="1">
        <v>148</v>
      </c>
      <c r="W385" s="1" t="b">
        <v>0</v>
      </c>
      <c r="X385" s="1" t="b">
        <v>0</v>
      </c>
      <c r="Y385" s="1">
        <v>30000</v>
      </c>
    </row>
    <row r="386" spans="1:25" x14ac:dyDescent="0.35">
      <c r="A386" s="1" t="s">
        <v>824</v>
      </c>
      <c r="B386" s="1" t="s">
        <v>18</v>
      </c>
      <c r="C386" s="1" t="s">
        <v>169</v>
      </c>
      <c r="D386" s="1" t="s">
        <v>3</v>
      </c>
      <c r="E386" s="1">
        <v>1426</v>
      </c>
      <c r="F386" s="4">
        <v>15000000</v>
      </c>
      <c r="G386" s="4">
        <v>10518</v>
      </c>
      <c r="H386" s="1">
        <v>1</v>
      </c>
      <c r="I386" s="1">
        <v>1</v>
      </c>
      <c r="J386" s="1">
        <v>10</v>
      </c>
      <c r="K386" s="1" t="s">
        <v>42</v>
      </c>
      <c r="L386" s="1" t="s">
        <v>825</v>
      </c>
      <c r="M386" s="1">
        <v>8</v>
      </c>
      <c r="N386" s="1">
        <v>4</v>
      </c>
      <c r="O386" s="1">
        <v>58010</v>
      </c>
      <c r="P386" s="1">
        <v>4.6399999999999997</v>
      </c>
      <c r="Q386" s="1" t="s">
        <v>6</v>
      </c>
      <c r="R386" s="3">
        <v>0.48200000000000004</v>
      </c>
      <c r="S386" s="2">
        <v>45991</v>
      </c>
      <c r="T386" s="1">
        <v>91</v>
      </c>
      <c r="U386" s="1" t="s">
        <v>7</v>
      </c>
      <c r="V386" s="1">
        <v>55</v>
      </c>
      <c r="W386" s="1" t="b">
        <v>0</v>
      </c>
      <c r="X386" s="1" t="b">
        <v>1</v>
      </c>
      <c r="Y386" s="1">
        <v>0</v>
      </c>
    </row>
    <row r="387" spans="1:25" x14ac:dyDescent="0.35">
      <c r="A387" s="1" t="s">
        <v>826</v>
      </c>
      <c r="B387" s="1" t="s">
        <v>25</v>
      </c>
      <c r="C387" s="1" t="s">
        <v>314</v>
      </c>
      <c r="D387" s="1" t="s">
        <v>3</v>
      </c>
      <c r="E387" s="1">
        <v>1519</v>
      </c>
      <c r="F387" s="4">
        <v>30000000</v>
      </c>
      <c r="G387" s="4">
        <v>19749</v>
      </c>
      <c r="H387" s="1">
        <v>2</v>
      </c>
      <c r="I387" s="1">
        <v>2</v>
      </c>
      <c r="J387" s="1">
        <v>11</v>
      </c>
      <c r="K387" s="1" t="s">
        <v>28</v>
      </c>
      <c r="L387" s="1" t="s">
        <v>827</v>
      </c>
      <c r="M387" s="1">
        <v>4</v>
      </c>
      <c r="N387" s="1">
        <v>9</v>
      </c>
      <c r="O387" s="1">
        <v>115575</v>
      </c>
      <c r="P387" s="1">
        <v>4.62</v>
      </c>
      <c r="Q387" s="1" t="s">
        <v>14</v>
      </c>
      <c r="R387" s="3">
        <v>0.48119999999999996</v>
      </c>
      <c r="S387" s="2">
        <v>45500</v>
      </c>
      <c r="T387" s="1">
        <v>200</v>
      </c>
      <c r="U387" s="1" t="s">
        <v>30</v>
      </c>
      <c r="V387" s="1">
        <v>56</v>
      </c>
      <c r="W387" s="1" t="b">
        <v>0</v>
      </c>
      <c r="X387" s="1" t="b">
        <v>0</v>
      </c>
      <c r="Y387" s="1">
        <v>60000</v>
      </c>
    </row>
    <row r="388" spans="1:25" x14ac:dyDescent="0.35">
      <c r="A388" s="1" t="s">
        <v>828</v>
      </c>
      <c r="B388" s="1" t="s">
        <v>32</v>
      </c>
      <c r="C388" s="1" t="s">
        <v>33</v>
      </c>
      <c r="D388" s="1" t="s">
        <v>3</v>
      </c>
      <c r="E388" s="1">
        <v>1945</v>
      </c>
      <c r="F388" s="4">
        <v>12000000</v>
      </c>
      <c r="G388" s="4">
        <v>6169</v>
      </c>
      <c r="H388" s="1">
        <v>2</v>
      </c>
      <c r="I388" s="1">
        <v>1</v>
      </c>
      <c r="J388" s="1">
        <v>11</v>
      </c>
      <c r="K388" s="1" t="s">
        <v>28</v>
      </c>
      <c r="L388" s="1" t="s">
        <v>829</v>
      </c>
      <c r="M388" s="1">
        <v>4</v>
      </c>
      <c r="N388" s="1">
        <v>4</v>
      </c>
      <c r="O388" s="1">
        <v>36742</v>
      </c>
      <c r="P388" s="1">
        <v>3.67</v>
      </c>
      <c r="Q388" s="1" t="s">
        <v>6</v>
      </c>
      <c r="R388" s="3">
        <v>0.43369999999999997</v>
      </c>
      <c r="S388" s="2">
        <v>45960</v>
      </c>
      <c r="T388" s="1">
        <v>50</v>
      </c>
      <c r="U388" s="1" t="s">
        <v>30</v>
      </c>
      <c r="V388" s="1">
        <v>86</v>
      </c>
      <c r="W388" s="1" t="b">
        <v>1</v>
      </c>
      <c r="X388" s="1" t="b">
        <v>1</v>
      </c>
      <c r="Y388" s="1">
        <v>24000</v>
      </c>
    </row>
    <row r="389" spans="1:25" x14ac:dyDescent="0.35">
      <c r="A389" s="1" t="s">
        <v>830</v>
      </c>
      <c r="B389" s="1" t="s">
        <v>18</v>
      </c>
      <c r="C389" s="1" t="s">
        <v>166</v>
      </c>
      <c r="D389" s="1" t="s">
        <v>3</v>
      </c>
      <c r="E389" s="1">
        <v>1739</v>
      </c>
      <c r="F389" s="4">
        <v>15000000</v>
      </c>
      <c r="G389" s="4">
        <v>8625</v>
      </c>
      <c r="H389" s="1">
        <v>3</v>
      </c>
      <c r="I389" s="1">
        <v>1</v>
      </c>
      <c r="J389" s="1">
        <v>19</v>
      </c>
      <c r="K389" s="1" t="s">
        <v>4</v>
      </c>
      <c r="L389" s="1" t="s">
        <v>831</v>
      </c>
      <c r="M389" s="1">
        <v>4</v>
      </c>
      <c r="N389" s="1">
        <v>9</v>
      </c>
      <c r="O389" s="1">
        <v>46414</v>
      </c>
      <c r="P389" s="1">
        <v>3.71</v>
      </c>
      <c r="Q389" s="1" t="s">
        <v>6</v>
      </c>
      <c r="R389" s="3">
        <v>0.43569999999999998</v>
      </c>
      <c r="S389" s="2">
        <v>45979</v>
      </c>
      <c r="T389" s="1">
        <v>7</v>
      </c>
      <c r="U389" s="1" t="s">
        <v>7</v>
      </c>
      <c r="V389" s="1">
        <v>110</v>
      </c>
      <c r="W389" s="1" t="b">
        <v>0</v>
      </c>
      <c r="X389" s="1" t="b">
        <v>1</v>
      </c>
      <c r="Y389" s="1">
        <v>0</v>
      </c>
    </row>
    <row r="390" spans="1:25" x14ac:dyDescent="0.35">
      <c r="A390" s="1" t="s">
        <v>832</v>
      </c>
      <c r="B390" s="1" t="s">
        <v>25</v>
      </c>
      <c r="C390" s="1" t="s">
        <v>314</v>
      </c>
      <c r="D390" s="1" t="s">
        <v>20</v>
      </c>
      <c r="E390" s="1">
        <v>4162</v>
      </c>
      <c r="F390" s="4">
        <v>30000000</v>
      </c>
      <c r="G390" s="4">
        <v>7208</v>
      </c>
      <c r="H390" s="1">
        <v>4</v>
      </c>
      <c r="I390" s="1">
        <v>2</v>
      </c>
      <c r="J390" s="1">
        <v>2</v>
      </c>
      <c r="K390" s="1" t="s">
        <v>61</v>
      </c>
      <c r="L390" s="1" t="s">
        <v>833</v>
      </c>
      <c r="M390" s="1">
        <v>4</v>
      </c>
      <c r="N390" s="1">
        <v>9</v>
      </c>
      <c r="O390" s="1">
        <v>79737</v>
      </c>
      <c r="P390" s="1">
        <v>3.19</v>
      </c>
      <c r="Q390" s="1" t="s">
        <v>14</v>
      </c>
      <c r="R390" s="3">
        <v>0.40950000000000003</v>
      </c>
      <c r="S390" s="2">
        <v>45824</v>
      </c>
      <c r="T390" s="1">
        <v>348</v>
      </c>
      <c r="U390" s="1" t="s">
        <v>23</v>
      </c>
      <c r="V390" s="1">
        <v>129</v>
      </c>
      <c r="W390" s="1" t="b">
        <v>1</v>
      </c>
      <c r="X390" s="1" t="b">
        <v>0</v>
      </c>
      <c r="Y390" s="1">
        <v>60000</v>
      </c>
    </row>
    <row r="391" spans="1:25" x14ac:dyDescent="0.35">
      <c r="A391" s="1" t="s">
        <v>834</v>
      </c>
      <c r="B391" s="1" t="s">
        <v>1</v>
      </c>
      <c r="C391" s="1" t="s">
        <v>45</v>
      </c>
      <c r="D391" s="1" t="s">
        <v>20</v>
      </c>
      <c r="E391" s="1">
        <v>4987</v>
      </c>
      <c r="F391" s="4">
        <v>10000000</v>
      </c>
      <c r="G391" s="4">
        <v>2005</v>
      </c>
      <c r="H391" s="1">
        <v>5</v>
      </c>
      <c r="I391" s="1">
        <v>2</v>
      </c>
      <c r="J391" s="1">
        <v>10</v>
      </c>
      <c r="K391" s="1" t="s">
        <v>4</v>
      </c>
      <c r="L391" s="1" t="s">
        <v>835</v>
      </c>
      <c r="M391" s="1">
        <v>3</v>
      </c>
      <c r="N391" s="1">
        <v>8</v>
      </c>
      <c r="O391" s="1">
        <v>36743</v>
      </c>
      <c r="P391" s="1">
        <v>4.41</v>
      </c>
      <c r="Q391" s="1" t="s">
        <v>6</v>
      </c>
      <c r="R391" s="3">
        <v>0.47049999999999997</v>
      </c>
      <c r="S391" s="2">
        <v>46143</v>
      </c>
      <c r="T391" s="1">
        <v>159</v>
      </c>
      <c r="U391" s="1" t="s">
        <v>7</v>
      </c>
      <c r="V391" s="1">
        <v>61</v>
      </c>
      <c r="W391" s="1" t="b">
        <v>1</v>
      </c>
      <c r="X391" s="1" t="b">
        <v>0</v>
      </c>
      <c r="Y391" s="1">
        <v>20000</v>
      </c>
    </row>
    <row r="392" spans="1:25" x14ac:dyDescent="0.35">
      <c r="A392" s="1" t="s">
        <v>836</v>
      </c>
      <c r="B392" s="1" t="s">
        <v>32</v>
      </c>
      <c r="C392" s="1" t="s">
        <v>33</v>
      </c>
      <c r="D392" s="1" t="s">
        <v>3</v>
      </c>
      <c r="E392" s="1">
        <v>963</v>
      </c>
      <c r="F392" s="4">
        <v>12000000</v>
      </c>
      <c r="G392" s="4">
        <v>12461</v>
      </c>
      <c r="H392" s="1">
        <v>3</v>
      </c>
      <c r="I392" s="1">
        <v>2</v>
      </c>
      <c r="J392" s="1">
        <v>9</v>
      </c>
      <c r="K392" s="1" t="s">
        <v>28</v>
      </c>
      <c r="L392" s="1" t="s">
        <v>837</v>
      </c>
      <c r="M392" s="1">
        <v>4</v>
      </c>
      <c r="N392" s="1">
        <v>6</v>
      </c>
      <c r="O392" s="1">
        <v>44506</v>
      </c>
      <c r="P392" s="1">
        <v>4.45</v>
      </c>
      <c r="Q392" s="1" t="s">
        <v>6</v>
      </c>
      <c r="R392" s="3">
        <v>0.47249999999999998</v>
      </c>
      <c r="S392" s="2">
        <v>45702</v>
      </c>
      <c r="T392" s="1">
        <v>143</v>
      </c>
      <c r="U392" s="1" t="s">
        <v>30</v>
      </c>
      <c r="V392" s="1">
        <v>64</v>
      </c>
      <c r="W392" s="1" t="b">
        <v>0</v>
      </c>
      <c r="X392" s="1" t="b">
        <v>1</v>
      </c>
      <c r="Y392" s="1">
        <v>0</v>
      </c>
    </row>
    <row r="393" spans="1:25" x14ac:dyDescent="0.35">
      <c r="A393" s="1" t="s">
        <v>838</v>
      </c>
      <c r="B393" s="1" t="s">
        <v>1</v>
      </c>
      <c r="C393" s="1" t="s">
        <v>97</v>
      </c>
      <c r="D393" s="1" t="s">
        <v>3</v>
      </c>
      <c r="E393" s="1">
        <v>1338</v>
      </c>
      <c r="F393" s="4">
        <v>10000000</v>
      </c>
      <c r="G393" s="4">
        <v>7473</v>
      </c>
      <c r="H393" s="1">
        <v>3</v>
      </c>
      <c r="I393" s="1">
        <v>2</v>
      </c>
      <c r="J393" s="1">
        <v>7</v>
      </c>
      <c r="K393" s="1" t="s">
        <v>4</v>
      </c>
      <c r="L393" s="1" t="s">
        <v>839</v>
      </c>
      <c r="M393" s="1">
        <v>4</v>
      </c>
      <c r="N393" s="1">
        <v>9</v>
      </c>
      <c r="O393" s="1">
        <v>31358</v>
      </c>
      <c r="P393" s="1">
        <v>3.76</v>
      </c>
      <c r="Q393" s="1" t="s">
        <v>6</v>
      </c>
      <c r="R393" s="3">
        <v>0.43810000000000004</v>
      </c>
      <c r="S393" s="2">
        <v>45827</v>
      </c>
      <c r="T393" s="1">
        <v>34</v>
      </c>
      <c r="U393" s="1" t="s">
        <v>7</v>
      </c>
      <c r="V393" s="1">
        <v>31</v>
      </c>
      <c r="W393" s="1" t="b">
        <v>0</v>
      </c>
      <c r="X393" s="1" t="b">
        <v>1</v>
      </c>
      <c r="Y393" s="1">
        <v>20000</v>
      </c>
    </row>
    <row r="394" spans="1:25" x14ac:dyDescent="0.35">
      <c r="A394" s="1" t="s">
        <v>840</v>
      </c>
      <c r="B394" s="1" t="s">
        <v>9</v>
      </c>
      <c r="C394" s="1" t="s">
        <v>142</v>
      </c>
      <c r="D394" s="1" t="s">
        <v>27</v>
      </c>
      <c r="E394" s="1">
        <v>3672</v>
      </c>
      <c r="F394" s="4">
        <v>50000000</v>
      </c>
      <c r="G394" s="4">
        <v>13616</v>
      </c>
      <c r="H394" s="1">
        <v>4</v>
      </c>
      <c r="I394" s="1">
        <v>2</v>
      </c>
      <c r="J394" s="1">
        <v>5</v>
      </c>
      <c r="K394" s="1" t="s">
        <v>34</v>
      </c>
      <c r="L394" s="1" t="s">
        <v>841</v>
      </c>
      <c r="M394" s="1">
        <v>7</v>
      </c>
      <c r="N394" s="1">
        <v>5</v>
      </c>
      <c r="O394" s="1">
        <v>141461</v>
      </c>
      <c r="P394" s="1">
        <v>3.4</v>
      </c>
      <c r="Q394" s="1" t="s">
        <v>14</v>
      </c>
      <c r="R394" s="3">
        <v>0.41979999999999995</v>
      </c>
      <c r="S394" s="2">
        <v>45722</v>
      </c>
      <c r="T394" s="1">
        <v>147</v>
      </c>
      <c r="U394" s="1" t="s">
        <v>7</v>
      </c>
      <c r="V394" s="1">
        <v>107</v>
      </c>
      <c r="W394" s="1" t="b">
        <v>0</v>
      </c>
      <c r="X394" s="1" t="b">
        <v>1</v>
      </c>
      <c r="Y394" s="1">
        <v>0</v>
      </c>
    </row>
    <row r="395" spans="1:25" x14ac:dyDescent="0.35">
      <c r="A395" s="1" t="s">
        <v>842</v>
      </c>
      <c r="B395" s="1" t="s">
        <v>18</v>
      </c>
      <c r="C395" s="1" t="s">
        <v>169</v>
      </c>
      <c r="D395" s="1" t="s">
        <v>20</v>
      </c>
      <c r="E395" s="1">
        <v>3131</v>
      </c>
      <c r="F395" s="4">
        <v>15000000</v>
      </c>
      <c r="G395" s="4">
        <v>4790</v>
      </c>
      <c r="H395" s="1">
        <v>5</v>
      </c>
      <c r="I395" s="1">
        <v>2</v>
      </c>
      <c r="J395" s="1">
        <v>15</v>
      </c>
      <c r="K395" s="1" t="s">
        <v>28</v>
      </c>
      <c r="L395" s="1" t="s">
        <v>843</v>
      </c>
      <c r="M395" s="1">
        <v>6</v>
      </c>
      <c r="N395" s="1">
        <v>6</v>
      </c>
      <c r="O395" s="1">
        <v>48184</v>
      </c>
      <c r="P395" s="1">
        <v>3.85</v>
      </c>
      <c r="Q395" s="1" t="s">
        <v>6</v>
      </c>
      <c r="R395" s="3">
        <v>0.44270000000000004</v>
      </c>
      <c r="S395" s="2">
        <v>46071</v>
      </c>
      <c r="T395" s="1">
        <v>79</v>
      </c>
      <c r="U395" s="1" t="s">
        <v>30</v>
      </c>
      <c r="V395" s="1">
        <v>167</v>
      </c>
      <c r="W395" s="1" t="b">
        <v>1</v>
      </c>
      <c r="X395" s="1" t="b">
        <v>0</v>
      </c>
      <c r="Y395" s="1">
        <v>0</v>
      </c>
    </row>
    <row r="396" spans="1:25" x14ac:dyDescent="0.35">
      <c r="A396" s="1" t="s">
        <v>844</v>
      </c>
      <c r="B396" s="1" t="s">
        <v>18</v>
      </c>
      <c r="C396" s="1" t="s">
        <v>139</v>
      </c>
      <c r="D396" s="1" t="s">
        <v>11</v>
      </c>
      <c r="E396" s="1">
        <v>395</v>
      </c>
      <c r="F396" s="4">
        <v>15000000</v>
      </c>
      <c r="G396" s="4">
        <v>37974</v>
      </c>
      <c r="H396" s="1">
        <v>1</v>
      </c>
      <c r="I396" s="1">
        <v>2</v>
      </c>
      <c r="J396" s="1">
        <v>2</v>
      </c>
      <c r="K396" s="1" t="s">
        <v>28</v>
      </c>
      <c r="L396" s="1" t="s">
        <v>845</v>
      </c>
      <c r="M396" s="1">
        <v>5</v>
      </c>
      <c r="N396" s="1">
        <v>7</v>
      </c>
      <c r="O396" s="1">
        <v>50017</v>
      </c>
      <c r="P396" s="1">
        <v>4</v>
      </c>
      <c r="Q396" s="1" t="s">
        <v>6</v>
      </c>
      <c r="R396" s="3">
        <v>0.4501</v>
      </c>
      <c r="S396" s="2">
        <v>45773</v>
      </c>
      <c r="T396" s="1">
        <v>192</v>
      </c>
      <c r="U396" s="1" t="s">
        <v>7</v>
      </c>
      <c r="V396" s="1">
        <v>131</v>
      </c>
      <c r="W396" s="1" t="b">
        <v>0</v>
      </c>
      <c r="X396" s="1" t="b">
        <v>0</v>
      </c>
      <c r="Y396" s="1">
        <v>0</v>
      </c>
    </row>
    <row r="397" spans="1:25" x14ac:dyDescent="0.35">
      <c r="A397" s="1" t="s">
        <v>846</v>
      </c>
      <c r="B397" s="1" t="s">
        <v>1</v>
      </c>
      <c r="C397" s="1" t="s">
        <v>51</v>
      </c>
      <c r="D397" s="1" t="s">
        <v>3</v>
      </c>
      <c r="E397" s="1">
        <v>2074</v>
      </c>
      <c r="F397" s="4">
        <v>10000000</v>
      </c>
      <c r="G397" s="4">
        <v>4821</v>
      </c>
      <c r="H397" s="1">
        <v>1</v>
      </c>
      <c r="I397" s="1">
        <v>1</v>
      </c>
      <c r="J397" s="1">
        <v>12</v>
      </c>
      <c r="K397" s="1" t="s">
        <v>12</v>
      </c>
      <c r="L397" s="1" t="s">
        <v>847</v>
      </c>
      <c r="M397" s="1">
        <v>7</v>
      </c>
      <c r="N397" s="1">
        <v>5</v>
      </c>
      <c r="O397" s="1">
        <v>35848</v>
      </c>
      <c r="P397" s="1">
        <v>4.3</v>
      </c>
      <c r="Q397" s="1" t="s">
        <v>6</v>
      </c>
      <c r="R397" s="3">
        <v>0.46509999999999996</v>
      </c>
      <c r="S397" s="2">
        <v>45722</v>
      </c>
      <c r="T397" s="1">
        <v>18</v>
      </c>
      <c r="U397" s="1" t="s">
        <v>30</v>
      </c>
      <c r="V397" s="1">
        <v>152</v>
      </c>
      <c r="W397" s="1" t="b">
        <v>0</v>
      </c>
      <c r="X397" s="1" t="b">
        <v>1</v>
      </c>
      <c r="Y397" s="1">
        <v>20000</v>
      </c>
    </row>
    <row r="398" spans="1:25" x14ac:dyDescent="0.35">
      <c r="A398" s="1" t="s">
        <v>848</v>
      </c>
      <c r="B398" s="1" t="s">
        <v>54</v>
      </c>
      <c r="C398" s="1" t="s">
        <v>79</v>
      </c>
      <c r="D398" s="1" t="s">
        <v>11</v>
      </c>
      <c r="E398" s="1">
        <v>598</v>
      </c>
      <c r="F398" s="4">
        <v>40000000</v>
      </c>
      <c r="G398" s="4">
        <v>66889</v>
      </c>
      <c r="H398" s="1">
        <v>0</v>
      </c>
      <c r="I398" s="1">
        <v>2</v>
      </c>
      <c r="J398" s="1">
        <v>7</v>
      </c>
      <c r="K398" s="1" t="s">
        <v>58</v>
      </c>
      <c r="L398" s="1" t="s">
        <v>849</v>
      </c>
      <c r="M398" s="1">
        <v>7</v>
      </c>
      <c r="N398" s="1">
        <v>7</v>
      </c>
      <c r="O398" s="1">
        <v>112588</v>
      </c>
      <c r="P398" s="1">
        <v>3.38</v>
      </c>
      <c r="Q398" s="1" t="s">
        <v>14</v>
      </c>
      <c r="R398" s="3">
        <v>0.41889999999999999</v>
      </c>
      <c r="S398" s="2">
        <v>45723</v>
      </c>
      <c r="T398" s="1">
        <v>355</v>
      </c>
      <c r="U398" s="1" t="s">
        <v>7</v>
      </c>
      <c r="V398" s="1">
        <v>94</v>
      </c>
      <c r="W398" s="1" t="b">
        <v>0</v>
      </c>
      <c r="X398" s="1" t="b">
        <v>0</v>
      </c>
      <c r="Y398" s="1">
        <v>0</v>
      </c>
    </row>
    <row r="399" spans="1:25" x14ac:dyDescent="0.35">
      <c r="A399" s="1" t="s">
        <v>850</v>
      </c>
      <c r="B399" s="1" t="s">
        <v>1</v>
      </c>
      <c r="C399" s="1" t="s">
        <v>48</v>
      </c>
      <c r="D399" s="1" t="s">
        <v>3</v>
      </c>
      <c r="E399" s="1">
        <v>847</v>
      </c>
      <c r="F399" s="4">
        <v>10000000</v>
      </c>
      <c r="G399" s="4">
        <v>11806</v>
      </c>
      <c r="H399" s="1">
        <v>3</v>
      </c>
      <c r="I399" s="1">
        <v>1</v>
      </c>
      <c r="J399" s="1">
        <v>8</v>
      </c>
      <c r="K399" s="1" t="s">
        <v>58</v>
      </c>
      <c r="L399" s="1" t="s">
        <v>851</v>
      </c>
      <c r="M399" s="1">
        <v>8</v>
      </c>
      <c r="N399" s="1">
        <v>9</v>
      </c>
      <c r="O399" s="1">
        <v>31963</v>
      </c>
      <c r="P399" s="1">
        <v>3.84</v>
      </c>
      <c r="Q399" s="1" t="s">
        <v>6</v>
      </c>
      <c r="R399" s="3">
        <v>0.44179999999999997</v>
      </c>
      <c r="S399" s="2">
        <v>45730</v>
      </c>
      <c r="T399" s="1">
        <v>88</v>
      </c>
      <c r="U399" s="1" t="s">
        <v>30</v>
      </c>
      <c r="V399" s="1">
        <v>140</v>
      </c>
      <c r="W399" s="1" t="b">
        <v>1</v>
      </c>
      <c r="X399" s="1" t="b">
        <v>0</v>
      </c>
      <c r="Y399" s="1">
        <v>20000</v>
      </c>
    </row>
    <row r="400" spans="1:25" x14ac:dyDescent="0.35">
      <c r="A400" s="1" t="s">
        <v>852</v>
      </c>
      <c r="B400" s="1" t="s">
        <v>1</v>
      </c>
      <c r="C400" s="1" t="s">
        <v>303</v>
      </c>
      <c r="D400" s="1" t="s">
        <v>27</v>
      </c>
      <c r="E400" s="1">
        <v>5985</v>
      </c>
      <c r="F400" s="4">
        <v>10000000</v>
      </c>
      <c r="G400" s="4">
        <v>1670</v>
      </c>
      <c r="H400" s="1">
        <v>4</v>
      </c>
      <c r="I400" s="1">
        <v>2</v>
      </c>
      <c r="J400" s="1">
        <v>14</v>
      </c>
      <c r="K400" s="1" t="s">
        <v>34</v>
      </c>
      <c r="L400" s="1" t="s">
        <v>853</v>
      </c>
      <c r="M400" s="1">
        <v>7</v>
      </c>
      <c r="N400" s="1">
        <v>8</v>
      </c>
      <c r="O400" s="1">
        <v>39526</v>
      </c>
      <c r="P400" s="1">
        <v>4.74</v>
      </c>
      <c r="Q400" s="1" t="s">
        <v>6</v>
      </c>
      <c r="R400" s="3">
        <v>0.48719999999999997</v>
      </c>
      <c r="S400" s="2">
        <v>45705</v>
      </c>
      <c r="T400" s="1">
        <v>326</v>
      </c>
      <c r="U400" s="1" t="s">
        <v>30</v>
      </c>
      <c r="V400" s="1">
        <v>57</v>
      </c>
      <c r="W400" s="1" t="b">
        <v>1</v>
      </c>
      <c r="X400" s="1" t="b">
        <v>1</v>
      </c>
      <c r="Y400" s="1">
        <v>0</v>
      </c>
    </row>
    <row r="401" spans="1:25" x14ac:dyDescent="0.35">
      <c r="A401" s="1" t="s">
        <v>854</v>
      </c>
      <c r="B401" s="1" t="s">
        <v>9</v>
      </c>
      <c r="C401" s="1" t="s">
        <v>114</v>
      </c>
      <c r="D401" s="1" t="s">
        <v>3</v>
      </c>
      <c r="E401" s="1">
        <v>1533</v>
      </c>
      <c r="F401" s="4">
        <v>50000000</v>
      </c>
      <c r="G401" s="4">
        <v>32615</v>
      </c>
      <c r="H401" s="1">
        <v>1</v>
      </c>
      <c r="I401" s="1">
        <v>2</v>
      </c>
      <c r="J401" s="1">
        <v>0</v>
      </c>
      <c r="K401" s="1" t="s">
        <v>34</v>
      </c>
      <c r="L401" s="1" t="s">
        <v>855</v>
      </c>
      <c r="M401" s="1">
        <v>7</v>
      </c>
      <c r="N401" s="1">
        <v>4</v>
      </c>
      <c r="O401" s="1">
        <v>125602</v>
      </c>
      <c r="P401" s="1">
        <v>3.01</v>
      </c>
      <c r="Q401" s="1" t="s">
        <v>14</v>
      </c>
      <c r="R401" s="3">
        <v>0.4007</v>
      </c>
      <c r="S401" s="2">
        <v>45560</v>
      </c>
      <c r="T401" s="1">
        <v>109</v>
      </c>
      <c r="U401" s="1" t="s">
        <v>30</v>
      </c>
      <c r="V401" s="1">
        <v>54</v>
      </c>
      <c r="W401" s="1" t="b">
        <v>1</v>
      </c>
      <c r="X401" s="1" t="b">
        <v>0</v>
      </c>
      <c r="Y401" s="1">
        <v>0</v>
      </c>
    </row>
    <row r="402" spans="1:25" x14ac:dyDescent="0.35">
      <c r="A402" s="1" t="s">
        <v>856</v>
      </c>
      <c r="B402" s="1" t="s">
        <v>18</v>
      </c>
      <c r="C402" s="1" t="s">
        <v>19</v>
      </c>
      <c r="D402" s="1" t="s">
        <v>20</v>
      </c>
      <c r="E402" s="1">
        <v>3975</v>
      </c>
      <c r="F402" s="4">
        <v>15000000</v>
      </c>
      <c r="G402" s="4">
        <v>3773</v>
      </c>
      <c r="H402" s="1">
        <v>5</v>
      </c>
      <c r="I402" s="1">
        <v>3</v>
      </c>
      <c r="J402" s="1">
        <v>11</v>
      </c>
      <c r="K402" s="1" t="s">
        <v>28</v>
      </c>
      <c r="L402" s="1" t="s">
        <v>857</v>
      </c>
      <c r="M402" s="1">
        <v>8</v>
      </c>
      <c r="N402" s="1">
        <v>10</v>
      </c>
      <c r="O402" s="1">
        <v>59326</v>
      </c>
      <c r="P402" s="1">
        <v>4.75</v>
      </c>
      <c r="Q402" s="1" t="s">
        <v>6</v>
      </c>
      <c r="R402" s="3">
        <v>0.48729999999999996</v>
      </c>
      <c r="S402" s="2">
        <v>46054</v>
      </c>
      <c r="T402" s="1">
        <v>72</v>
      </c>
      <c r="U402" s="1" t="s">
        <v>7</v>
      </c>
      <c r="V402" s="1">
        <v>132</v>
      </c>
      <c r="W402" s="1" t="b">
        <v>1</v>
      </c>
      <c r="X402" s="1" t="b">
        <v>1</v>
      </c>
      <c r="Y402" s="1">
        <v>0</v>
      </c>
    </row>
    <row r="403" spans="1:25" x14ac:dyDescent="0.35">
      <c r="A403" s="1" t="s">
        <v>858</v>
      </c>
      <c r="B403" s="1" t="s">
        <v>1</v>
      </c>
      <c r="C403" s="1" t="s">
        <v>303</v>
      </c>
      <c r="D403" s="1" t="s">
        <v>20</v>
      </c>
      <c r="E403" s="1">
        <v>3351</v>
      </c>
      <c r="F403" s="4">
        <v>10000000</v>
      </c>
      <c r="G403" s="4">
        <v>2984</v>
      </c>
      <c r="H403" s="1">
        <v>5</v>
      </c>
      <c r="I403" s="1">
        <v>3</v>
      </c>
      <c r="J403" s="1">
        <v>21</v>
      </c>
      <c r="K403" s="1" t="s">
        <v>12</v>
      </c>
      <c r="L403" s="1" t="s">
        <v>859</v>
      </c>
      <c r="M403" s="1">
        <v>4</v>
      </c>
      <c r="N403" s="1">
        <v>5</v>
      </c>
      <c r="O403" s="1">
        <v>41159</v>
      </c>
      <c r="P403" s="1">
        <v>4.9400000000000004</v>
      </c>
      <c r="Q403" s="1" t="s">
        <v>6</v>
      </c>
      <c r="R403" s="3">
        <v>0.49700000000000005</v>
      </c>
      <c r="S403" s="2">
        <v>45823</v>
      </c>
      <c r="T403" s="1">
        <v>205</v>
      </c>
      <c r="U403" s="1" t="s">
        <v>30</v>
      </c>
      <c r="V403" s="1">
        <v>154</v>
      </c>
      <c r="W403" s="1" t="b">
        <v>1</v>
      </c>
      <c r="X403" s="1" t="b">
        <v>0</v>
      </c>
      <c r="Y403" s="1">
        <v>0</v>
      </c>
    </row>
    <row r="404" spans="1:25" x14ac:dyDescent="0.35">
      <c r="A404" s="1" t="s">
        <v>860</v>
      </c>
      <c r="B404" s="1" t="s">
        <v>18</v>
      </c>
      <c r="C404" s="1" t="s">
        <v>243</v>
      </c>
      <c r="D404" s="1" t="s">
        <v>3</v>
      </c>
      <c r="E404" s="1">
        <v>1976</v>
      </c>
      <c r="F404" s="4">
        <v>15000000</v>
      </c>
      <c r="G404" s="4">
        <v>7591</v>
      </c>
      <c r="H404" s="1">
        <v>3</v>
      </c>
      <c r="I404" s="1">
        <v>1</v>
      </c>
      <c r="J404" s="1">
        <v>22</v>
      </c>
      <c r="K404" s="1" t="s">
        <v>42</v>
      </c>
      <c r="L404" s="1" t="s">
        <v>861</v>
      </c>
      <c r="M404" s="1">
        <v>4</v>
      </c>
      <c r="N404" s="1">
        <v>10</v>
      </c>
      <c r="O404" s="1">
        <v>45033</v>
      </c>
      <c r="P404" s="1">
        <v>3.6</v>
      </c>
      <c r="Q404" s="1" t="s">
        <v>6</v>
      </c>
      <c r="R404" s="3">
        <v>0.43009999999999998</v>
      </c>
      <c r="S404" s="2">
        <v>45467</v>
      </c>
      <c r="T404" s="1">
        <v>87</v>
      </c>
      <c r="U404" s="1" t="s">
        <v>23</v>
      </c>
      <c r="V404" s="1">
        <v>149</v>
      </c>
      <c r="W404" s="1" t="b">
        <v>0</v>
      </c>
      <c r="X404" s="1" t="b">
        <v>1</v>
      </c>
      <c r="Y404" s="1">
        <v>0</v>
      </c>
    </row>
    <row r="405" spans="1:25" x14ac:dyDescent="0.35">
      <c r="A405" s="1" t="s">
        <v>862</v>
      </c>
      <c r="B405" s="1" t="s">
        <v>1</v>
      </c>
      <c r="C405" s="1" t="s">
        <v>51</v>
      </c>
      <c r="D405" s="1" t="s">
        <v>27</v>
      </c>
      <c r="E405" s="1">
        <v>3993</v>
      </c>
      <c r="F405" s="4">
        <v>10000000</v>
      </c>
      <c r="G405" s="4">
        <v>2504</v>
      </c>
      <c r="H405" s="1">
        <v>4</v>
      </c>
      <c r="I405" s="1">
        <v>2</v>
      </c>
      <c r="J405" s="1">
        <v>24</v>
      </c>
      <c r="K405" s="1" t="s">
        <v>34</v>
      </c>
      <c r="L405" s="1" t="s">
        <v>863</v>
      </c>
      <c r="M405" s="1">
        <v>8</v>
      </c>
      <c r="N405" s="1">
        <v>9</v>
      </c>
      <c r="O405" s="1">
        <v>29293</v>
      </c>
      <c r="P405" s="1">
        <v>3.52</v>
      </c>
      <c r="Q405" s="1" t="s">
        <v>6</v>
      </c>
      <c r="R405" s="3">
        <v>0.42579999999999996</v>
      </c>
      <c r="S405" s="2">
        <v>45669</v>
      </c>
      <c r="T405" s="1">
        <v>341</v>
      </c>
      <c r="U405" s="1" t="s">
        <v>23</v>
      </c>
      <c r="V405" s="1">
        <v>61</v>
      </c>
      <c r="W405" s="1" t="b">
        <v>1</v>
      </c>
      <c r="X405" s="1" t="b">
        <v>0</v>
      </c>
      <c r="Y405" s="1">
        <v>20000</v>
      </c>
    </row>
    <row r="406" spans="1:25" x14ac:dyDescent="0.35">
      <c r="A406" s="1" t="s">
        <v>864</v>
      </c>
      <c r="B406" s="1" t="s">
        <v>1</v>
      </c>
      <c r="C406" s="1" t="s">
        <v>97</v>
      </c>
      <c r="D406" s="1" t="s">
        <v>27</v>
      </c>
      <c r="E406" s="1">
        <v>6718</v>
      </c>
      <c r="F406" s="4">
        <v>10000000</v>
      </c>
      <c r="G406" s="4">
        <v>1488</v>
      </c>
      <c r="H406" s="1">
        <v>3</v>
      </c>
      <c r="I406" s="1">
        <v>2</v>
      </c>
      <c r="J406" s="1">
        <v>12</v>
      </c>
      <c r="K406" s="1" t="s">
        <v>34</v>
      </c>
      <c r="L406" s="1" t="s">
        <v>865</v>
      </c>
      <c r="M406" s="1">
        <v>8</v>
      </c>
      <c r="N406" s="1">
        <v>9</v>
      </c>
      <c r="O406" s="1">
        <v>26485</v>
      </c>
      <c r="P406" s="1">
        <v>3.18</v>
      </c>
      <c r="Q406" s="1" t="s">
        <v>6</v>
      </c>
      <c r="R406" s="3">
        <v>0.40889999999999999</v>
      </c>
      <c r="S406" s="2">
        <v>45550</v>
      </c>
      <c r="T406" s="1">
        <v>294</v>
      </c>
      <c r="U406" s="1" t="s">
        <v>23</v>
      </c>
      <c r="V406" s="1">
        <v>59</v>
      </c>
      <c r="W406" s="1" t="b">
        <v>0</v>
      </c>
      <c r="X406" s="1" t="b">
        <v>1</v>
      </c>
      <c r="Y406" s="1">
        <v>0</v>
      </c>
    </row>
    <row r="407" spans="1:25" x14ac:dyDescent="0.35">
      <c r="A407" s="1" t="s">
        <v>866</v>
      </c>
      <c r="B407" s="1" t="s">
        <v>18</v>
      </c>
      <c r="C407" s="1" t="s">
        <v>166</v>
      </c>
      <c r="D407" s="1" t="s">
        <v>3</v>
      </c>
      <c r="E407" s="1">
        <v>1673</v>
      </c>
      <c r="F407" s="4">
        <v>15000000</v>
      </c>
      <c r="G407" s="4">
        <v>8965</v>
      </c>
      <c r="H407" s="1">
        <v>1</v>
      </c>
      <c r="I407" s="1">
        <v>1</v>
      </c>
      <c r="J407" s="1">
        <v>27</v>
      </c>
      <c r="K407" s="1" t="s">
        <v>4</v>
      </c>
      <c r="L407" s="1" t="s">
        <v>867</v>
      </c>
      <c r="M407" s="1">
        <v>6</v>
      </c>
      <c r="N407" s="1">
        <v>10</v>
      </c>
      <c r="O407" s="1">
        <v>37729</v>
      </c>
      <c r="P407" s="1">
        <v>3.02</v>
      </c>
      <c r="Q407" s="1" t="s">
        <v>6</v>
      </c>
      <c r="R407" s="3">
        <v>0.40090000000000003</v>
      </c>
      <c r="S407" s="2">
        <v>45685</v>
      </c>
      <c r="T407" s="1">
        <v>113</v>
      </c>
      <c r="U407" s="1" t="s">
        <v>7</v>
      </c>
      <c r="V407" s="1">
        <v>105</v>
      </c>
      <c r="W407" s="1" t="b">
        <v>0</v>
      </c>
      <c r="X407" s="1" t="b">
        <v>0</v>
      </c>
      <c r="Y407" s="1">
        <v>30000</v>
      </c>
    </row>
    <row r="408" spans="1:25" x14ac:dyDescent="0.35">
      <c r="A408" s="1" t="s">
        <v>868</v>
      </c>
      <c r="B408" s="1" t="s">
        <v>32</v>
      </c>
      <c r="C408" s="1" t="s">
        <v>200</v>
      </c>
      <c r="D408" s="1" t="s">
        <v>27</v>
      </c>
      <c r="E408" s="1">
        <v>7450</v>
      </c>
      <c r="F408" s="4">
        <v>12000000</v>
      </c>
      <c r="G408" s="4">
        <v>1610</v>
      </c>
      <c r="H408" s="1">
        <v>3</v>
      </c>
      <c r="I408" s="1">
        <v>2</v>
      </c>
      <c r="J408" s="1">
        <v>9</v>
      </c>
      <c r="K408" s="1" t="s">
        <v>21</v>
      </c>
      <c r="L408" s="1" t="s">
        <v>869</v>
      </c>
      <c r="M408" s="1">
        <v>7</v>
      </c>
      <c r="N408" s="1">
        <v>5</v>
      </c>
      <c r="O408" s="1">
        <v>46204</v>
      </c>
      <c r="P408" s="1">
        <v>4.62</v>
      </c>
      <c r="Q408" s="1" t="s">
        <v>6</v>
      </c>
      <c r="R408" s="3">
        <v>0.48100000000000004</v>
      </c>
      <c r="S408" s="2">
        <v>46000</v>
      </c>
      <c r="T408" s="1">
        <v>359</v>
      </c>
      <c r="U408" s="1" t="s">
        <v>30</v>
      </c>
      <c r="V408" s="1">
        <v>87</v>
      </c>
      <c r="W408" s="1" t="b">
        <v>1</v>
      </c>
      <c r="X408" s="1" t="b">
        <v>1</v>
      </c>
      <c r="Y408" s="1">
        <v>0</v>
      </c>
    </row>
    <row r="409" spans="1:25" x14ac:dyDescent="0.35">
      <c r="A409" s="1" t="s">
        <v>870</v>
      </c>
      <c r="B409" s="1" t="s">
        <v>1</v>
      </c>
      <c r="C409" s="1" t="s">
        <v>48</v>
      </c>
      <c r="D409" s="1" t="s">
        <v>20</v>
      </c>
      <c r="E409" s="1">
        <v>4838</v>
      </c>
      <c r="F409" s="4">
        <v>10000000</v>
      </c>
      <c r="G409" s="4">
        <v>2066</v>
      </c>
      <c r="H409" s="1">
        <v>3</v>
      </c>
      <c r="I409" s="1">
        <v>1</v>
      </c>
      <c r="J409" s="1">
        <v>17</v>
      </c>
      <c r="K409" s="1" t="s">
        <v>58</v>
      </c>
      <c r="L409" s="1" t="s">
        <v>871</v>
      </c>
      <c r="M409" s="1">
        <v>6</v>
      </c>
      <c r="N409" s="1">
        <v>9</v>
      </c>
      <c r="O409" s="1">
        <v>29717</v>
      </c>
      <c r="P409" s="1">
        <v>3.57</v>
      </c>
      <c r="Q409" s="1" t="s">
        <v>6</v>
      </c>
      <c r="R409" s="3">
        <v>0.42829999999999996</v>
      </c>
      <c r="S409" s="2">
        <v>45443</v>
      </c>
      <c r="T409" s="1">
        <v>202</v>
      </c>
      <c r="U409" s="1" t="s">
        <v>23</v>
      </c>
      <c r="V409" s="1">
        <v>170</v>
      </c>
      <c r="W409" s="1" t="b">
        <v>1</v>
      </c>
      <c r="X409" s="1" t="b">
        <v>1</v>
      </c>
      <c r="Y409" s="1">
        <v>0</v>
      </c>
    </row>
    <row r="410" spans="1:25" x14ac:dyDescent="0.35">
      <c r="A410" s="1" t="s">
        <v>872</v>
      </c>
      <c r="B410" s="1" t="s">
        <v>32</v>
      </c>
      <c r="C410" s="1" t="s">
        <v>33</v>
      </c>
      <c r="D410" s="1" t="s">
        <v>20</v>
      </c>
      <c r="E410" s="1">
        <v>3374</v>
      </c>
      <c r="F410" s="4">
        <v>12000000</v>
      </c>
      <c r="G410" s="4">
        <v>3556</v>
      </c>
      <c r="H410" s="1">
        <v>3</v>
      </c>
      <c r="I410" s="1">
        <v>1</v>
      </c>
      <c r="J410" s="1">
        <v>14</v>
      </c>
      <c r="K410" s="1" t="s">
        <v>58</v>
      </c>
      <c r="L410" s="1" t="s">
        <v>873</v>
      </c>
      <c r="M410" s="1">
        <v>8</v>
      </c>
      <c r="N410" s="1">
        <v>7</v>
      </c>
      <c r="O410" s="1">
        <v>49769</v>
      </c>
      <c r="P410" s="1">
        <v>4.9800000000000004</v>
      </c>
      <c r="Q410" s="1" t="s">
        <v>6</v>
      </c>
      <c r="R410" s="3">
        <v>0.49880000000000002</v>
      </c>
      <c r="S410" s="2">
        <v>46005</v>
      </c>
      <c r="T410" s="1">
        <v>29</v>
      </c>
      <c r="U410" s="1" t="s">
        <v>7</v>
      </c>
      <c r="V410" s="1">
        <v>73</v>
      </c>
      <c r="W410" s="1" t="b">
        <v>1</v>
      </c>
      <c r="X410" s="1" t="b">
        <v>0</v>
      </c>
      <c r="Y410" s="1">
        <v>0</v>
      </c>
    </row>
    <row r="411" spans="1:25" x14ac:dyDescent="0.35">
      <c r="A411" s="1" t="s">
        <v>874</v>
      </c>
      <c r="B411" s="1" t="s">
        <v>25</v>
      </c>
      <c r="C411" s="1" t="s">
        <v>314</v>
      </c>
      <c r="D411" s="1" t="s">
        <v>3</v>
      </c>
      <c r="E411" s="1">
        <v>2511</v>
      </c>
      <c r="F411" s="4">
        <v>30000000</v>
      </c>
      <c r="G411" s="4">
        <v>11947</v>
      </c>
      <c r="H411" s="1">
        <v>3</v>
      </c>
      <c r="I411" s="1">
        <v>2</v>
      </c>
      <c r="J411" s="1">
        <v>4</v>
      </c>
      <c r="K411" s="1" t="s">
        <v>61</v>
      </c>
      <c r="L411" s="1" t="s">
        <v>875</v>
      </c>
      <c r="M411" s="1">
        <v>8</v>
      </c>
      <c r="N411" s="1">
        <v>9</v>
      </c>
      <c r="O411" s="1">
        <v>93768</v>
      </c>
      <c r="P411" s="1">
        <v>3.75</v>
      </c>
      <c r="Q411" s="1" t="s">
        <v>14</v>
      </c>
      <c r="R411" s="3">
        <v>0.4375</v>
      </c>
      <c r="S411" s="2">
        <v>45448</v>
      </c>
      <c r="T411" s="1">
        <v>238</v>
      </c>
      <c r="U411" s="1" t="s">
        <v>23</v>
      </c>
      <c r="V411" s="1">
        <v>52</v>
      </c>
      <c r="W411" s="1" t="b">
        <v>0</v>
      </c>
      <c r="X411" s="1" t="b">
        <v>0</v>
      </c>
      <c r="Y411" s="1">
        <v>0</v>
      </c>
    </row>
    <row r="412" spans="1:25" x14ac:dyDescent="0.35">
      <c r="A412" s="1" t="s">
        <v>876</v>
      </c>
      <c r="B412" s="1" t="s">
        <v>54</v>
      </c>
      <c r="C412" s="1" t="s">
        <v>64</v>
      </c>
      <c r="D412" s="1" t="s">
        <v>3</v>
      </c>
      <c r="E412" s="1">
        <v>877</v>
      </c>
      <c r="F412" s="4">
        <v>40000000</v>
      </c>
      <c r="G412" s="4">
        <v>45610</v>
      </c>
      <c r="H412" s="1">
        <v>1</v>
      </c>
      <c r="I412" s="1">
        <v>1</v>
      </c>
      <c r="J412" s="1">
        <v>15</v>
      </c>
      <c r="K412" s="1" t="s">
        <v>58</v>
      </c>
      <c r="L412" s="1" t="s">
        <v>877</v>
      </c>
      <c r="M412" s="1">
        <v>8</v>
      </c>
      <c r="N412" s="1">
        <v>9</v>
      </c>
      <c r="O412" s="1">
        <v>112073</v>
      </c>
      <c r="P412" s="1">
        <v>3.36</v>
      </c>
      <c r="Q412" s="1" t="s">
        <v>14</v>
      </c>
      <c r="R412" s="3">
        <v>0.41810000000000003</v>
      </c>
      <c r="S412" s="2">
        <v>45661</v>
      </c>
      <c r="T412" s="1">
        <v>153</v>
      </c>
      <c r="U412" s="1" t="s">
        <v>23</v>
      </c>
      <c r="V412" s="1">
        <v>141</v>
      </c>
      <c r="W412" s="1" t="b">
        <v>1</v>
      </c>
      <c r="X412" s="1" t="b">
        <v>1</v>
      </c>
      <c r="Y412" s="1">
        <v>0</v>
      </c>
    </row>
    <row r="413" spans="1:25" x14ac:dyDescent="0.35">
      <c r="A413" s="1" t="s">
        <v>878</v>
      </c>
      <c r="B413" s="1" t="s">
        <v>9</v>
      </c>
      <c r="C413" s="1" t="s">
        <v>142</v>
      </c>
      <c r="D413" s="1" t="s">
        <v>38</v>
      </c>
      <c r="E413" s="1">
        <v>4514</v>
      </c>
      <c r="F413" s="4">
        <v>50000000</v>
      </c>
      <c r="G413" s="4">
        <v>11076</v>
      </c>
      <c r="H413" s="1">
        <v>5</v>
      </c>
      <c r="I413" s="1">
        <v>2</v>
      </c>
      <c r="J413" s="1">
        <v>12</v>
      </c>
      <c r="K413" s="1" t="s">
        <v>4</v>
      </c>
      <c r="L413" s="1" t="s">
        <v>879</v>
      </c>
      <c r="M413" s="1">
        <v>7</v>
      </c>
      <c r="N413" s="1">
        <v>9</v>
      </c>
      <c r="O413" s="1">
        <v>199800</v>
      </c>
      <c r="P413" s="1">
        <v>4.8</v>
      </c>
      <c r="Q413" s="1" t="s">
        <v>14</v>
      </c>
      <c r="R413" s="3">
        <v>0.48979999999999996</v>
      </c>
      <c r="S413" s="2">
        <v>45971</v>
      </c>
      <c r="T413" s="1">
        <v>3</v>
      </c>
      <c r="U413" s="1" t="s">
        <v>23</v>
      </c>
      <c r="V413" s="1">
        <v>76</v>
      </c>
      <c r="W413" s="1" t="b">
        <v>0</v>
      </c>
      <c r="X413" s="1" t="b">
        <v>0</v>
      </c>
      <c r="Y413" s="1">
        <v>100000</v>
      </c>
    </row>
    <row r="414" spans="1:25" x14ac:dyDescent="0.35">
      <c r="A414" s="1" t="s">
        <v>880</v>
      </c>
      <c r="B414" s="1" t="s">
        <v>9</v>
      </c>
      <c r="C414" s="1" t="s">
        <v>10</v>
      </c>
      <c r="D414" s="1" t="s">
        <v>38</v>
      </c>
      <c r="E414" s="1">
        <v>4689</v>
      </c>
      <c r="F414" s="4">
        <v>50000000</v>
      </c>
      <c r="G414" s="4">
        <v>10663</v>
      </c>
      <c r="H414" s="1">
        <v>6</v>
      </c>
      <c r="I414" s="1">
        <v>3</v>
      </c>
      <c r="J414" s="1">
        <v>2</v>
      </c>
      <c r="K414" s="1" t="s">
        <v>61</v>
      </c>
      <c r="L414" s="1" t="s">
        <v>881</v>
      </c>
      <c r="M414" s="1">
        <v>7</v>
      </c>
      <c r="N414" s="1">
        <v>4</v>
      </c>
      <c r="O414" s="1">
        <v>203769</v>
      </c>
      <c r="P414" s="1">
        <v>4.8899999999999997</v>
      </c>
      <c r="Q414" s="1" t="s">
        <v>14</v>
      </c>
      <c r="R414" s="3">
        <v>0.49450000000000005</v>
      </c>
      <c r="S414" s="2">
        <v>46156</v>
      </c>
      <c r="T414" s="1">
        <v>151</v>
      </c>
      <c r="U414" s="1" t="s">
        <v>7</v>
      </c>
      <c r="V414" s="1">
        <v>162</v>
      </c>
      <c r="W414" s="1" t="b">
        <v>0</v>
      </c>
      <c r="X414" s="1" t="b">
        <v>1</v>
      </c>
      <c r="Y414" s="1">
        <v>0</v>
      </c>
    </row>
    <row r="415" spans="1:25" x14ac:dyDescent="0.35">
      <c r="A415" s="1" t="s">
        <v>882</v>
      </c>
      <c r="B415" s="1" t="s">
        <v>1</v>
      </c>
      <c r="C415" s="1" t="s">
        <v>97</v>
      </c>
      <c r="D415" s="1" t="s">
        <v>38</v>
      </c>
      <c r="E415" s="1">
        <v>5884</v>
      </c>
      <c r="F415" s="4">
        <v>10000000</v>
      </c>
      <c r="G415" s="4">
        <v>1699</v>
      </c>
      <c r="H415" s="1">
        <v>6</v>
      </c>
      <c r="I415" s="1">
        <v>3</v>
      </c>
      <c r="J415" s="1">
        <v>22</v>
      </c>
      <c r="K415" s="1" t="s">
        <v>4</v>
      </c>
      <c r="L415" s="1" t="s">
        <v>883</v>
      </c>
      <c r="M415" s="1">
        <v>3</v>
      </c>
      <c r="N415" s="1">
        <v>8</v>
      </c>
      <c r="O415" s="1">
        <v>39268</v>
      </c>
      <c r="P415" s="1">
        <v>4.71</v>
      </c>
      <c r="Q415" s="1" t="s">
        <v>6</v>
      </c>
      <c r="R415" s="3">
        <v>0.48560000000000003</v>
      </c>
      <c r="S415" s="2">
        <v>45936</v>
      </c>
      <c r="T415" s="1">
        <v>111</v>
      </c>
      <c r="U415" s="1" t="s">
        <v>23</v>
      </c>
      <c r="V415" s="1">
        <v>171</v>
      </c>
      <c r="W415" s="1" t="b">
        <v>0</v>
      </c>
      <c r="X415" s="1" t="b">
        <v>0</v>
      </c>
      <c r="Y415" s="1">
        <v>20000</v>
      </c>
    </row>
    <row r="416" spans="1:25" x14ac:dyDescent="0.35">
      <c r="A416" s="1" t="s">
        <v>884</v>
      </c>
      <c r="B416" s="1" t="s">
        <v>1</v>
      </c>
      <c r="C416" s="1" t="s">
        <v>51</v>
      </c>
      <c r="D416" s="1" t="s">
        <v>11</v>
      </c>
      <c r="E416" s="1">
        <v>288</v>
      </c>
      <c r="F416" s="4">
        <v>10000000</v>
      </c>
      <c r="G416" s="4">
        <v>34722</v>
      </c>
      <c r="H416" s="1">
        <v>1</v>
      </c>
      <c r="I416" s="1">
        <v>2</v>
      </c>
      <c r="J416" s="1">
        <v>12</v>
      </c>
      <c r="K416" s="1" t="s">
        <v>4</v>
      </c>
      <c r="L416" s="1" t="s">
        <v>885</v>
      </c>
      <c r="M416" s="1">
        <v>8</v>
      </c>
      <c r="N416" s="1">
        <v>5</v>
      </c>
      <c r="O416" s="1">
        <v>37211</v>
      </c>
      <c r="P416" s="1">
        <v>4.47</v>
      </c>
      <c r="Q416" s="1" t="s">
        <v>6</v>
      </c>
      <c r="R416" s="3">
        <v>0.4733</v>
      </c>
      <c r="S416" s="2">
        <v>45508</v>
      </c>
      <c r="T416" s="1">
        <v>289</v>
      </c>
      <c r="U416" s="1" t="s">
        <v>30</v>
      </c>
      <c r="V416" s="1">
        <v>125</v>
      </c>
      <c r="W416" s="1" t="b">
        <v>1</v>
      </c>
      <c r="X416" s="1" t="b">
        <v>0</v>
      </c>
      <c r="Y416" s="1">
        <v>20000</v>
      </c>
    </row>
    <row r="417" spans="1:25" x14ac:dyDescent="0.35">
      <c r="A417" s="1" t="s">
        <v>886</v>
      </c>
      <c r="B417" s="1" t="s">
        <v>54</v>
      </c>
      <c r="C417" s="1" t="s">
        <v>89</v>
      </c>
      <c r="D417" s="1" t="s">
        <v>11</v>
      </c>
      <c r="E417" s="1">
        <v>263</v>
      </c>
      <c r="F417" s="4">
        <v>25142695</v>
      </c>
      <c r="G417" s="4">
        <v>95599</v>
      </c>
      <c r="H417" s="1">
        <v>0</v>
      </c>
      <c r="I417" s="1">
        <v>1</v>
      </c>
      <c r="J417" s="1">
        <v>8</v>
      </c>
      <c r="K417" s="1" t="s">
        <v>58</v>
      </c>
      <c r="L417" s="1" t="s">
        <v>887</v>
      </c>
      <c r="M417" s="1">
        <v>3</v>
      </c>
      <c r="N417" s="1">
        <v>5</v>
      </c>
      <c r="O417" s="1">
        <v>66585</v>
      </c>
      <c r="P417" s="1">
        <v>3.18</v>
      </c>
      <c r="Q417" s="1" t="s">
        <v>14</v>
      </c>
      <c r="R417" s="3">
        <v>0.40889999999999999</v>
      </c>
      <c r="S417" s="2">
        <v>45815</v>
      </c>
      <c r="T417" s="1">
        <v>141</v>
      </c>
      <c r="U417" s="1" t="s">
        <v>30</v>
      </c>
      <c r="V417" s="1">
        <v>87</v>
      </c>
      <c r="W417" s="1" t="b">
        <v>1</v>
      </c>
      <c r="X417" s="1" t="b">
        <v>1</v>
      </c>
      <c r="Y417" s="1">
        <v>0</v>
      </c>
    </row>
    <row r="418" spans="1:25" x14ac:dyDescent="0.35">
      <c r="A418" s="1" t="s">
        <v>888</v>
      </c>
      <c r="B418" s="1" t="s">
        <v>25</v>
      </c>
      <c r="C418" s="1" t="s">
        <v>94</v>
      </c>
      <c r="D418" s="1" t="s">
        <v>3</v>
      </c>
      <c r="E418" s="1">
        <v>905</v>
      </c>
      <c r="F418" s="4">
        <v>30000000</v>
      </c>
      <c r="G418" s="4">
        <v>33149</v>
      </c>
      <c r="H418" s="1">
        <v>2</v>
      </c>
      <c r="I418" s="1">
        <v>2</v>
      </c>
      <c r="J418" s="1">
        <v>18</v>
      </c>
      <c r="K418" s="1" t="s">
        <v>34</v>
      </c>
      <c r="L418" s="1" t="s">
        <v>889</v>
      </c>
      <c r="M418" s="1">
        <v>6</v>
      </c>
      <c r="N418" s="1">
        <v>10</v>
      </c>
      <c r="O418" s="1">
        <v>119828</v>
      </c>
      <c r="P418" s="1">
        <v>4.79</v>
      </c>
      <c r="Q418" s="1" t="s">
        <v>14</v>
      </c>
      <c r="R418" s="3">
        <v>0.48969999999999997</v>
      </c>
      <c r="S418" s="2">
        <v>45982</v>
      </c>
      <c r="T418" s="1">
        <v>93</v>
      </c>
      <c r="U418" s="1" t="s">
        <v>7</v>
      </c>
      <c r="V418" s="1">
        <v>129</v>
      </c>
      <c r="W418" s="1" t="b">
        <v>0</v>
      </c>
      <c r="X418" s="1" t="b">
        <v>0</v>
      </c>
      <c r="Y418" s="1">
        <v>0</v>
      </c>
    </row>
    <row r="419" spans="1:25" x14ac:dyDescent="0.35">
      <c r="A419" s="1" t="s">
        <v>890</v>
      </c>
      <c r="B419" s="1" t="s">
        <v>32</v>
      </c>
      <c r="C419" s="1" t="s">
        <v>41</v>
      </c>
      <c r="D419" s="1" t="s">
        <v>20</v>
      </c>
      <c r="E419" s="1">
        <v>1538</v>
      </c>
      <c r="F419" s="4">
        <v>12000000</v>
      </c>
      <c r="G419" s="4">
        <v>7802</v>
      </c>
      <c r="H419" s="1">
        <v>3</v>
      </c>
      <c r="I419" s="1">
        <v>1</v>
      </c>
      <c r="J419" s="1">
        <v>4</v>
      </c>
      <c r="K419" s="1" t="s">
        <v>4</v>
      </c>
      <c r="L419" s="1" t="s">
        <v>891</v>
      </c>
      <c r="M419" s="1">
        <v>6</v>
      </c>
      <c r="N419" s="1">
        <v>6</v>
      </c>
      <c r="O419" s="1">
        <v>38364</v>
      </c>
      <c r="P419" s="1">
        <v>3.84</v>
      </c>
      <c r="Q419" s="1" t="s">
        <v>6</v>
      </c>
      <c r="R419" s="3">
        <v>0.44179999999999997</v>
      </c>
      <c r="S419" s="2">
        <v>45688</v>
      </c>
      <c r="T419" s="1">
        <v>258</v>
      </c>
      <c r="U419" s="1" t="s">
        <v>7</v>
      </c>
      <c r="V419" s="1">
        <v>149</v>
      </c>
      <c r="W419" s="1" t="b">
        <v>0</v>
      </c>
      <c r="X419" s="1" t="b">
        <v>0</v>
      </c>
      <c r="Y419" s="1">
        <v>0</v>
      </c>
    </row>
    <row r="420" spans="1:25" x14ac:dyDescent="0.35">
      <c r="A420" s="1" t="s">
        <v>892</v>
      </c>
      <c r="B420" s="1" t="s">
        <v>32</v>
      </c>
      <c r="C420" s="1" t="s">
        <v>194</v>
      </c>
      <c r="D420" s="1" t="s">
        <v>27</v>
      </c>
      <c r="E420" s="1">
        <v>4500</v>
      </c>
      <c r="F420" s="4">
        <v>12000000</v>
      </c>
      <c r="G420" s="4">
        <v>2666</v>
      </c>
      <c r="H420" s="1">
        <v>3</v>
      </c>
      <c r="I420" s="1">
        <v>2</v>
      </c>
      <c r="J420" s="1">
        <v>13</v>
      </c>
      <c r="K420" s="1" t="s">
        <v>58</v>
      </c>
      <c r="L420" s="1" t="s">
        <v>893</v>
      </c>
      <c r="M420" s="1">
        <v>5</v>
      </c>
      <c r="N420" s="1">
        <v>7</v>
      </c>
      <c r="O420" s="1">
        <v>31148</v>
      </c>
      <c r="P420" s="1">
        <v>3.11</v>
      </c>
      <c r="Q420" s="1" t="s">
        <v>6</v>
      </c>
      <c r="R420" s="3">
        <v>0.40570000000000001</v>
      </c>
      <c r="S420" s="2">
        <v>45864</v>
      </c>
      <c r="T420" s="1">
        <v>218</v>
      </c>
      <c r="U420" s="1" t="s">
        <v>7</v>
      </c>
      <c r="V420" s="1">
        <v>32</v>
      </c>
      <c r="W420" s="1" t="b">
        <v>1</v>
      </c>
      <c r="X420" s="1" t="b">
        <v>0</v>
      </c>
      <c r="Y420" s="1">
        <v>0</v>
      </c>
    </row>
    <row r="421" spans="1:25" x14ac:dyDescent="0.35">
      <c r="A421" s="1" t="s">
        <v>894</v>
      </c>
      <c r="B421" s="1" t="s">
        <v>32</v>
      </c>
      <c r="C421" s="1" t="s">
        <v>194</v>
      </c>
      <c r="D421" s="1" t="s">
        <v>38</v>
      </c>
      <c r="E421" s="1">
        <v>8717</v>
      </c>
      <c r="F421" s="4">
        <v>12000000</v>
      </c>
      <c r="G421" s="4">
        <v>1376</v>
      </c>
      <c r="H421" s="1">
        <v>4</v>
      </c>
      <c r="I421" s="1">
        <v>3</v>
      </c>
      <c r="J421" s="1">
        <v>0</v>
      </c>
      <c r="K421" s="1" t="s">
        <v>28</v>
      </c>
      <c r="L421" s="1" t="s">
        <v>895</v>
      </c>
      <c r="M421" s="1">
        <v>7</v>
      </c>
      <c r="N421" s="1">
        <v>10</v>
      </c>
      <c r="O421" s="1">
        <v>49292</v>
      </c>
      <c r="P421" s="1">
        <v>4.93</v>
      </c>
      <c r="Q421" s="1" t="s">
        <v>6</v>
      </c>
      <c r="R421" s="3">
        <v>0.4965</v>
      </c>
      <c r="S421" s="2">
        <v>45466</v>
      </c>
      <c r="T421" s="1">
        <v>116</v>
      </c>
      <c r="U421" s="1" t="s">
        <v>23</v>
      </c>
      <c r="V421" s="1">
        <v>164</v>
      </c>
      <c r="W421" s="1" t="b">
        <v>1</v>
      </c>
      <c r="X421" s="1" t="b">
        <v>1</v>
      </c>
      <c r="Y421" s="1">
        <v>0</v>
      </c>
    </row>
    <row r="422" spans="1:25" x14ac:dyDescent="0.35">
      <c r="A422" s="1" t="s">
        <v>896</v>
      </c>
      <c r="B422" s="1" t="s">
        <v>25</v>
      </c>
      <c r="C422" s="1" t="s">
        <v>37</v>
      </c>
      <c r="D422" s="1" t="s">
        <v>20</v>
      </c>
      <c r="E422" s="1">
        <v>1708</v>
      </c>
      <c r="F422" s="4">
        <v>30000000</v>
      </c>
      <c r="G422" s="4">
        <v>17564</v>
      </c>
      <c r="H422" s="1">
        <v>5</v>
      </c>
      <c r="I422" s="1">
        <v>3</v>
      </c>
      <c r="J422" s="1">
        <v>12</v>
      </c>
      <c r="K422" s="1" t="s">
        <v>4</v>
      </c>
      <c r="L422" s="1" t="s">
        <v>897</v>
      </c>
      <c r="M422" s="1">
        <v>4</v>
      </c>
      <c r="N422" s="1">
        <v>7</v>
      </c>
      <c r="O422" s="1">
        <v>117538</v>
      </c>
      <c r="P422" s="1">
        <v>4.7</v>
      </c>
      <c r="Q422" s="1" t="s">
        <v>14</v>
      </c>
      <c r="R422" s="3">
        <v>0.48509999999999998</v>
      </c>
      <c r="S422" s="2">
        <v>46036</v>
      </c>
      <c r="T422" s="1">
        <v>136</v>
      </c>
      <c r="U422" s="1" t="s">
        <v>7</v>
      </c>
      <c r="V422" s="1">
        <v>105</v>
      </c>
      <c r="W422" s="1" t="b">
        <v>1</v>
      </c>
      <c r="X422" s="1" t="b">
        <v>1</v>
      </c>
      <c r="Y422" s="1">
        <v>0</v>
      </c>
    </row>
    <row r="423" spans="1:25" x14ac:dyDescent="0.35">
      <c r="A423" s="1" t="s">
        <v>898</v>
      </c>
      <c r="B423" s="1" t="s">
        <v>25</v>
      </c>
      <c r="C423" s="1" t="s">
        <v>26</v>
      </c>
      <c r="D423" s="1" t="s">
        <v>38</v>
      </c>
      <c r="E423" s="1">
        <v>9764</v>
      </c>
      <c r="F423" s="4">
        <v>30000000</v>
      </c>
      <c r="G423" s="4">
        <v>3072</v>
      </c>
      <c r="H423" s="1">
        <v>4</v>
      </c>
      <c r="I423" s="1">
        <v>3</v>
      </c>
      <c r="J423" s="1">
        <v>28</v>
      </c>
      <c r="K423" s="1" t="s">
        <v>34</v>
      </c>
      <c r="L423" s="1" t="s">
        <v>899</v>
      </c>
      <c r="M423" s="1">
        <v>7</v>
      </c>
      <c r="N423" s="1">
        <v>4</v>
      </c>
      <c r="O423" s="1">
        <v>75257</v>
      </c>
      <c r="P423" s="1">
        <v>3.01</v>
      </c>
      <c r="Q423" s="1" t="s">
        <v>14</v>
      </c>
      <c r="R423" s="3">
        <v>0.40049999999999997</v>
      </c>
      <c r="S423" s="2">
        <v>45966</v>
      </c>
      <c r="T423" s="1">
        <v>221</v>
      </c>
      <c r="U423" s="1" t="s">
        <v>7</v>
      </c>
      <c r="V423" s="1">
        <v>55</v>
      </c>
      <c r="W423" s="1" t="b">
        <v>0</v>
      </c>
      <c r="X423" s="1" t="b">
        <v>1</v>
      </c>
      <c r="Y423" s="1">
        <v>60000</v>
      </c>
    </row>
    <row r="424" spans="1:25" x14ac:dyDescent="0.35">
      <c r="A424" s="1" t="s">
        <v>900</v>
      </c>
      <c r="B424" s="1" t="s">
        <v>32</v>
      </c>
      <c r="C424" s="1" t="s">
        <v>67</v>
      </c>
      <c r="D424" s="1" t="s">
        <v>27</v>
      </c>
      <c r="E424" s="1">
        <v>5364</v>
      </c>
      <c r="F424" s="4">
        <v>12000000</v>
      </c>
      <c r="G424" s="4">
        <v>2237</v>
      </c>
      <c r="H424" s="1">
        <v>3</v>
      </c>
      <c r="I424" s="1">
        <v>2</v>
      </c>
      <c r="J424" s="1">
        <v>0</v>
      </c>
      <c r="K424" s="1" t="s">
        <v>12</v>
      </c>
      <c r="L424" s="1" t="s">
        <v>901</v>
      </c>
      <c r="M424" s="1">
        <v>4</v>
      </c>
      <c r="N424" s="1">
        <v>6</v>
      </c>
      <c r="O424" s="1">
        <v>38566</v>
      </c>
      <c r="P424" s="1">
        <v>3.86</v>
      </c>
      <c r="Q424" s="1" t="s">
        <v>6</v>
      </c>
      <c r="R424" s="3">
        <v>0.44280000000000003</v>
      </c>
      <c r="S424" s="2">
        <v>45970</v>
      </c>
      <c r="T424" s="1">
        <v>225</v>
      </c>
      <c r="U424" s="1" t="s">
        <v>7</v>
      </c>
      <c r="V424" s="1">
        <v>57</v>
      </c>
      <c r="W424" s="1" t="b">
        <v>0</v>
      </c>
      <c r="X424" s="1" t="b">
        <v>1</v>
      </c>
      <c r="Y424" s="1">
        <v>24000</v>
      </c>
    </row>
    <row r="425" spans="1:25" x14ac:dyDescent="0.35">
      <c r="A425" s="1" t="s">
        <v>902</v>
      </c>
      <c r="B425" s="1" t="s">
        <v>54</v>
      </c>
      <c r="C425" s="1" t="s">
        <v>104</v>
      </c>
      <c r="D425" s="1" t="s">
        <v>11</v>
      </c>
      <c r="E425" s="1">
        <v>252</v>
      </c>
      <c r="F425" s="4">
        <v>29032345</v>
      </c>
      <c r="G425" s="4">
        <v>115207</v>
      </c>
      <c r="H425" s="1">
        <v>1</v>
      </c>
      <c r="I425" s="1">
        <v>1</v>
      </c>
      <c r="J425" s="1">
        <v>3</v>
      </c>
      <c r="K425" s="1" t="s">
        <v>21</v>
      </c>
      <c r="L425" s="1" t="s">
        <v>903</v>
      </c>
      <c r="M425" s="1">
        <v>4</v>
      </c>
      <c r="N425" s="1">
        <v>7</v>
      </c>
      <c r="O425" s="1">
        <v>116177</v>
      </c>
      <c r="P425" s="1">
        <v>4.8</v>
      </c>
      <c r="Q425" s="1" t="s">
        <v>14</v>
      </c>
      <c r="R425" s="3">
        <v>0.49009999999999998</v>
      </c>
      <c r="S425" s="2">
        <v>45992</v>
      </c>
      <c r="T425" s="1">
        <v>61</v>
      </c>
      <c r="U425" s="1" t="s">
        <v>30</v>
      </c>
      <c r="V425" s="1">
        <v>98</v>
      </c>
      <c r="W425" s="1" t="b">
        <v>0</v>
      </c>
      <c r="X425" s="1" t="b">
        <v>0</v>
      </c>
      <c r="Y425" s="1">
        <v>0</v>
      </c>
    </row>
    <row r="426" spans="1:25" x14ac:dyDescent="0.35">
      <c r="A426" s="1" t="s">
        <v>904</v>
      </c>
      <c r="B426" s="1" t="s">
        <v>1</v>
      </c>
      <c r="C426" s="1" t="s">
        <v>45</v>
      </c>
      <c r="D426" s="1" t="s">
        <v>27</v>
      </c>
      <c r="E426" s="1">
        <v>4661</v>
      </c>
      <c r="F426" s="4">
        <v>10000000</v>
      </c>
      <c r="G426" s="4">
        <v>2145</v>
      </c>
      <c r="H426" s="1">
        <v>6</v>
      </c>
      <c r="I426" s="1">
        <v>4</v>
      </c>
      <c r="J426" s="1">
        <v>4</v>
      </c>
      <c r="K426" s="1" t="s">
        <v>61</v>
      </c>
      <c r="L426" s="1" t="s">
        <v>905</v>
      </c>
      <c r="M426" s="1">
        <v>3</v>
      </c>
      <c r="N426" s="1">
        <v>9</v>
      </c>
      <c r="O426" s="1">
        <v>25227</v>
      </c>
      <c r="P426" s="1">
        <v>3.03</v>
      </c>
      <c r="Q426" s="1" t="s">
        <v>6</v>
      </c>
      <c r="R426" s="3">
        <v>0.40139999999999998</v>
      </c>
      <c r="S426" s="2">
        <v>45456</v>
      </c>
      <c r="T426" s="1">
        <v>220</v>
      </c>
      <c r="U426" s="1" t="s">
        <v>7</v>
      </c>
      <c r="V426" s="1">
        <v>117</v>
      </c>
      <c r="W426" s="1" t="b">
        <v>1</v>
      </c>
      <c r="X426" s="1" t="b">
        <v>0</v>
      </c>
      <c r="Y426" s="1">
        <v>0</v>
      </c>
    </row>
    <row r="427" spans="1:25" x14ac:dyDescent="0.35">
      <c r="A427" s="1" t="s">
        <v>906</v>
      </c>
      <c r="B427" s="1" t="s">
        <v>54</v>
      </c>
      <c r="C427" s="1" t="s">
        <v>72</v>
      </c>
      <c r="D427" s="1" t="s">
        <v>11</v>
      </c>
      <c r="E427" s="1">
        <v>292</v>
      </c>
      <c r="F427" s="4">
        <v>35334620</v>
      </c>
      <c r="G427" s="4">
        <v>121008</v>
      </c>
      <c r="H427" s="1">
        <v>1</v>
      </c>
      <c r="I427" s="1">
        <v>1</v>
      </c>
      <c r="J427" s="1">
        <v>19</v>
      </c>
      <c r="K427" s="1" t="s">
        <v>58</v>
      </c>
      <c r="L427" s="1" t="s">
        <v>907</v>
      </c>
      <c r="M427" s="1">
        <v>4</v>
      </c>
      <c r="N427" s="1">
        <v>7</v>
      </c>
      <c r="O427" s="1">
        <v>146889</v>
      </c>
      <c r="P427" s="1">
        <v>4.99</v>
      </c>
      <c r="Q427" s="1" t="s">
        <v>14</v>
      </c>
      <c r="R427" s="3">
        <v>0.49939999999999996</v>
      </c>
      <c r="S427" s="2">
        <v>45903</v>
      </c>
      <c r="T427" s="1">
        <v>243</v>
      </c>
      <c r="U427" s="1" t="s">
        <v>30</v>
      </c>
      <c r="V427" s="1">
        <v>80</v>
      </c>
      <c r="W427" s="1" t="b">
        <v>1</v>
      </c>
      <c r="X427" s="1" t="b">
        <v>1</v>
      </c>
      <c r="Y427" s="1">
        <v>70669</v>
      </c>
    </row>
    <row r="428" spans="1:25" x14ac:dyDescent="0.35">
      <c r="A428" s="1" t="s">
        <v>908</v>
      </c>
      <c r="B428" s="1" t="s">
        <v>32</v>
      </c>
      <c r="C428" s="1" t="s">
        <v>194</v>
      </c>
      <c r="D428" s="1" t="s">
        <v>27</v>
      </c>
      <c r="E428" s="1">
        <v>3879</v>
      </c>
      <c r="F428" s="4">
        <v>12000000</v>
      </c>
      <c r="G428" s="4">
        <v>3093</v>
      </c>
      <c r="H428" s="1">
        <v>3</v>
      </c>
      <c r="I428" s="1">
        <v>1</v>
      </c>
      <c r="J428" s="1">
        <v>12</v>
      </c>
      <c r="K428" s="1" t="s">
        <v>21</v>
      </c>
      <c r="L428" s="1" t="s">
        <v>909</v>
      </c>
      <c r="M428" s="1">
        <v>3</v>
      </c>
      <c r="N428" s="1">
        <v>8</v>
      </c>
      <c r="O428" s="1">
        <v>33992</v>
      </c>
      <c r="P428" s="1">
        <v>3.4</v>
      </c>
      <c r="Q428" s="1" t="s">
        <v>6</v>
      </c>
      <c r="R428" s="3">
        <v>0.42</v>
      </c>
      <c r="S428" s="2">
        <v>46104</v>
      </c>
      <c r="T428" s="1">
        <v>359</v>
      </c>
      <c r="U428" s="1" t="s">
        <v>7</v>
      </c>
      <c r="V428" s="1">
        <v>108</v>
      </c>
      <c r="W428" s="1" t="b">
        <v>1</v>
      </c>
      <c r="X428" s="1" t="b">
        <v>1</v>
      </c>
      <c r="Y428" s="1">
        <v>0</v>
      </c>
    </row>
    <row r="429" spans="1:25" x14ac:dyDescent="0.35">
      <c r="A429" s="1" t="s">
        <v>910</v>
      </c>
      <c r="B429" s="1" t="s">
        <v>18</v>
      </c>
      <c r="C429" s="1" t="s">
        <v>19</v>
      </c>
      <c r="D429" s="1" t="s">
        <v>3</v>
      </c>
      <c r="E429" s="1">
        <v>2488</v>
      </c>
      <c r="F429" s="4">
        <v>15000000</v>
      </c>
      <c r="G429" s="4">
        <v>6028</v>
      </c>
      <c r="H429" s="1">
        <v>4</v>
      </c>
      <c r="I429" s="1">
        <v>2</v>
      </c>
      <c r="J429" s="1">
        <v>9</v>
      </c>
      <c r="K429" s="1" t="s">
        <v>12</v>
      </c>
      <c r="L429" s="1" t="s">
        <v>911</v>
      </c>
      <c r="M429" s="1">
        <v>3</v>
      </c>
      <c r="N429" s="1">
        <v>4</v>
      </c>
      <c r="O429" s="1">
        <v>43674</v>
      </c>
      <c r="P429" s="1">
        <v>3.49</v>
      </c>
      <c r="Q429" s="1" t="s">
        <v>6</v>
      </c>
      <c r="R429" s="3">
        <v>0.42469999999999997</v>
      </c>
      <c r="S429" s="2">
        <v>46108</v>
      </c>
      <c r="T429" s="1">
        <v>339</v>
      </c>
      <c r="U429" s="1" t="s">
        <v>7</v>
      </c>
      <c r="V429" s="1">
        <v>43</v>
      </c>
      <c r="W429" s="1" t="b">
        <v>0</v>
      </c>
      <c r="X429" s="1" t="b">
        <v>1</v>
      </c>
      <c r="Y429" s="1">
        <v>0</v>
      </c>
    </row>
    <row r="430" spans="1:25" x14ac:dyDescent="0.35">
      <c r="A430" s="1" t="s">
        <v>912</v>
      </c>
      <c r="B430" s="1" t="s">
        <v>18</v>
      </c>
      <c r="C430" s="1" t="s">
        <v>139</v>
      </c>
      <c r="D430" s="1" t="s">
        <v>38</v>
      </c>
      <c r="E430" s="1">
        <v>3825</v>
      </c>
      <c r="F430" s="4">
        <v>15000000</v>
      </c>
      <c r="G430" s="4">
        <v>3921</v>
      </c>
      <c r="H430" s="1">
        <v>5</v>
      </c>
      <c r="I430" s="1">
        <v>2</v>
      </c>
      <c r="J430" s="1">
        <v>8</v>
      </c>
      <c r="K430" s="1" t="s">
        <v>61</v>
      </c>
      <c r="L430" s="1" t="s">
        <v>913</v>
      </c>
      <c r="M430" s="1">
        <v>6</v>
      </c>
      <c r="N430" s="1">
        <v>8</v>
      </c>
      <c r="O430" s="1">
        <v>56032</v>
      </c>
      <c r="P430" s="1">
        <v>4.4800000000000004</v>
      </c>
      <c r="Q430" s="1" t="s">
        <v>6</v>
      </c>
      <c r="R430" s="3">
        <v>0.47409999999999997</v>
      </c>
      <c r="S430" s="2">
        <v>45786</v>
      </c>
      <c r="T430" s="1">
        <v>310</v>
      </c>
      <c r="U430" s="1" t="s">
        <v>30</v>
      </c>
      <c r="V430" s="1">
        <v>165</v>
      </c>
      <c r="W430" s="1" t="b">
        <v>0</v>
      </c>
      <c r="X430" s="1" t="b">
        <v>1</v>
      </c>
      <c r="Y430" s="1">
        <v>0</v>
      </c>
    </row>
    <row r="431" spans="1:25" x14ac:dyDescent="0.35">
      <c r="A431" s="1" t="s">
        <v>914</v>
      </c>
      <c r="B431" s="1" t="s">
        <v>25</v>
      </c>
      <c r="C431" s="1" t="s">
        <v>37</v>
      </c>
      <c r="D431" s="1" t="s">
        <v>11</v>
      </c>
      <c r="E431" s="1">
        <v>294</v>
      </c>
      <c r="F431" s="4">
        <v>27172447</v>
      </c>
      <c r="G431" s="4">
        <v>92423</v>
      </c>
      <c r="H431" s="1">
        <v>0</v>
      </c>
      <c r="I431" s="1">
        <v>1</v>
      </c>
      <c r="J431" s="1">
        <v>20</v>
      </c>
      <c r="K431" s="1" t="s">
        <v>42</v>
      </c>
      <c r="L431" s="1" t="s">
        <v>915</v>
      </c>
      <c r="M431" s="1">
        <v>8</v>
      </c>
      <c r="N431" s="1">
        <v>6</v>
      </c>
      <c r="O431" s="1">
        <v>71322</v>
      </c>
      <c r="P431" s="1">
        <v>3.15</v>
      </c>
      <c r="Q431" s="1" t="s">
        <v>14</v>
      </c>
      <c r="R431" s="3">
        <v>0.40749999999999997</v>
      </c>
      <c r="S431" s="2">
        <v>45597</v>
      </c>
      <c r="T431" s="1">
        <v>104</v>
      </c>
      <c r="U431" s="1" t="s">
        <v>30</v>
      </c>
      <c r="V431" s="1">
        <v>151</v>
      </c>
      <c r="W431" s="1" t="b">
        <v>1</v>
      </c>
      <c r="X431" s="1" t="b">
        <v>1</v>
      </c>
      <c r="Y431" s="1">
        <v>54344</v>
      </c>
    </row>
    <row r="432" spans="1:25" x14ac:dyDescent="0.35">
      <c r="A432" s="1" t="s">
        <v>916</v>
      </c>
      <c r="B432" s="1" t="s">
        <v>25</v>
      </c>
      <c r="C432" s="1" t="s">
        <v>94</v>
      </c>
      <c r="D432" s="1" t="s">
        <v>38</v>
      </c>
      <c r="E432" s="1">
        <v>8829</v>
      </c>
      <c r="F432" s="4">
        <v>30000000</v>
      </c>
      <c r="G432" s="4">
        <v>3397</v>
      </c>
      <c r="H432" s="1">
        <v>5</v>
      </c>
      <c r="I432" s="1">
        <v>3</v>
      </c>
      <c r="J432" s="1">
        <v>28</v>
      </c>
      <c r="K432" s="1" t="s">
        <v>21</v>
      </c>
      <c r="L432" s="1" t="s">
        <v>917</v>
      </c>
      <c r="M432" s="1">
        <v>5</v>
      </c>
      <c r="N432" s="1">
        <v>6</v>
      </c>
      <c r="O432" s="1">
        <v>122622</v>
      </c>
      <c r="P432" s="1">
        <v>4.9000000000000004</v>
      </c>
      <c r="Q432" s="1" t="s">
        <v>14</v>
      </c>
      <c r="R432" s="3">
        <v>0.49520000000000003</v>
      </c>
      <c r="S432" s="2">
        <v>46134</v>
      </c>
      <c r="T432" s="1">
        <v>149</v>
      </c>
      <c r="U432" s="1" t="s">
        <v>7</v>
      </c>
      <c r="V432" s="1">
        <v>63</v>
      </c>
      <c r="W432" s="1" t="b">
        <v>1</v>
      </c>
      <c r="X432" s="1" t="b">
        <v>1</v>
      </c>
      <c r="Y432" s="1">
        <v>60000</v>
      </c>
    </row>
    <row r="433" spans="1:25" x14ac:dyDescent="0.35">
      <c r="A433" s="1" t="s">
        <v>918</v>
      </c>
      <c r="B433" s="1" t="s">
        <v>1</v>
      </c>
      <c r="C433" s="1" t="s">
        <v>48</v>
      </c>
      <c r="D433" s="1" t="s">
        <v>11</v>
      </c>
      <c r="E433" s="1">
        <v>600</v>
      </c>
      <c r="F433" s="4">
        <v>10000000</v>
      </c>
      <c r="G433" s="4">
        <v>16666</v>
      </c>
      <c r="H433" s="1">
        <v>0</v>
      </c>
      <c r="I433" s="1">
        <v>1</v>
      </c>
      <c r="J433" s="1">
        <v>14</v>
      </c>
      <c r="K433" s="1" t="s">
        <v>61</v>
      </c>
      <c r="L433" s="1" t="s">
        <v>919</v>
      </c>
      <c r="M433" s="1">
        <v>7</v>
      </c>
      <c r="N433" s="1">
        <v>10</v>
      </c>
      <c r="O433" s="1">
        <v>34531</v>
      </c>
      <c r="P433" s="1">
        <v>4.1399999999999997</v>
      </c>
      <c r="Q433" s="1" t="s">
        <v>6</v>
      </c>
      <c r="R433" s="3">
        <v>0.4572</v>
      </c>
      <c r="S433" s="2">
        <v>45550</v>
      </c>
      <c r="T433" s="1">
        <v>234</v>
      </c>
      <c r="U433" s="1" t="s">
        <v>30</v>
      </c>
      <c r="V433" s="1">
        <v>161</v>
      </c>
      <c r="W433" s="1" t="b">
        <v>0</v>
      </c>
      <c r="X433" s="1" t="b">
        <v>0</v>
      </c>
      <c r="Y433" s="1">
        <v>20000</v>
      </c>
    </row>
    <row r="434" spans="1:25" x14ac:dyDescent="0.35">
      <c r="A434" s="1" t="s">
        <v>920</v>
      </c>
      <c r="B434" s="1" t="s">
        <v>54</v>
      </c>
      <c r="C434" s="1" t="s">
        <v>104</v>
      </c>
      <c r="D434" s="1" t="s">
        <v>20</v>
      </c>
      <c r="E434" s="1">
        <v>3761</v>
      </c>
      <c r="F434" s="4">
        <v>40000000</v>
      </c>
      <c r="G434" s="4">
        <v>10635</v>
      </c>
      <c r="H434" s="1">
        <v>2</v>
      </c>
      <c r="I434" s="1">
        <v>1</v>
      </c>
      <c r="J434" s="1">
        <v>7</v>
      </c>
      <c r="K434" s="1" t="s">
        <v>28</v>
      </c>
      <c r="L434" s="1" t="s">
        <v>921</v>
      </c>
      <c r="M434" s="1">
        <v>3</v>
      </c>
      <c r="N434" s="1">
        <v>6</v>
      </c>
      <c r="O434" s="1">
        <v>162803</v>
      </c>
      <c r="P434" s="1">
        <v>4.88</v>
      </c>
      <c r="Q434" s="1" t="s">
        <v>14</v>
      </c>
      <c r="R434" s="3">
        <v>0.49420000000000003</v>
      </c>
      <c r="S434" s="2">
        <v>45872</v>
      </c>
      <c r="T434" s="1">
        <v>329</v>
      </c>
      <c r="U434" s="1" t="s">
        <v>23</v>
      </c>
      <c r="V434" s="1">
        <v>43</v>
      </c>
      <c r="W434" s="1" t="b">
        <v>1</v>
      </c>
      <c r="X434" s="1" t="b">
        <v>1</v>
      </c>
      <c r="Y434" s="1">
        <v>80000</v>
      </c>
    </row>
    <row r="435" spans="1:25" x14ac:dyDescent="0.35">
      <c r="A435" s="1" t="s">
        <v>922</v>
      </c>
      <c r="B435" s="1" t="s">
        <v>9</v>
      </c>
      <c r="C435" s="1" t="s">
        <v>142</v>
      </c>
      <c r="D435" s="1" t="s">
        <v>20</v>
      </c>
      <c r="E435" s="1">
        <v>4091</v>
      </c>
      <c r="F435" s="4">
        <v>50000000</v>
      </c>
      <c r="G435" s="4">
        <v>12221</v>
      </c>
      <c r="H435" s="1">
        <v>4</v>
      </c>
      <c r="I435" s="1">
        <v>3</v>
      </c>
      <c r="J435" s="1">
        <v>2</v>
      </c>
      <c r="K435" s="1" t="s">
        <v>28</v>
      </c>
      <c r="L435" s="1" t="s">
        <v>923</v>
      </c>
      <c r="M435" s="1">
        <v>8</v>
      </c>
      <c r="N435" s="1">
        <v>4</v>
      </c>
      <c r="O435" s="1">
        <v>143273</v>
      </c>
      <c r="P435" s="1">
        <v>3.44</v>
      </c>
      <c r="Q435" s="1" t="s">
        <v>14</v>
      </c>
      <c r="R435" s="3">
        <v>0.4219</v>
      </c>
      <c r="S435" s="2">
        <v>45870</v>
      </c>
      <c r="T435" s="1">
        <v>337</v>
      </c>
      <c r="U435" s="1" t="s">
        <v>7</v>
      </c>
      <c r="V435" s="1">
        <v>167</v>
      </c>
      <c r="W435" s="1" t="b">
        <v>1</v>
      </c>
      <c r="X435" s="1" t="b">
        <v>0</v>
      </c>
      <c r="Y435" s="1">
        <v>0</v>
      </c>
    </row>
    <row r="436" spans="1:25" x14ac:dyDescent="0.35">
      <c r="A436" s="1" t="s">
        <v>924</v>
      </c>
      <c r="B436" s="1" t="s">
        <v>1</v>
      </c>
      <c r="C436" s="1" t="s">
        <v>45</v>
      </c>
      <c r="D436" s="1" t="s">
        <v>38</v>
      </c>
      <c r="E436" s="1">
        <v>7512</v>
      </c>
      <c r="F436" s="4">
        <v>10000000</v>
      </c>
      <c r="G436" s="4">
        <v>1331</v>
      </c>
      <c r="H436" s="1">
        <v>4</v>
      </c>
      <c r="I436" s="1">
        <v>3</v>
      </c>
      <c r="J436" s="1">
        <v>7</v>
      </c>
      <c r="K436" s="1" t="s">
        <v>4</v>
      </c>
      <c r="L436" s="1" t="s">
        <v>925</v>
      </c>
      <c r="M436" s="1">
        <v>5</v>
      </c>
      <c r="N436" s="1">
        <v>4</v>
      </c>
      <c r="O436" s="1">
        <v>32231</v>
      </c>
      <c r="P436" s="1">
        <v>3.87</v>
      </c>
      <c r="Q436" s="1" t="s">
        <v>6</v>
      </c>
      <c r="R436" s="3">
        <v>0.44340000000000002</v>
      </c>
      <c r="S436" s="2">
        <v>46005</v>
      </c>
      <c r="T436" s="1">
        <v>93</v>
      </c>
      <c r="U436" s="1" t="s">
        <v>23</v>
      </c>
      <c r="V436" s="1">
        <v>156</v>
      </c>
      <c r="W436" s="1" t="b">
        <v>0</v>
      </c>
      <c r="X436" s="1" t="b">
        <v>1</v>
      </c>
      <c r="Y436" s="1">
        <v>20000</v>
      </c>
    </row>
    <row r="437" spans="1:25" x14ac:dyDescent="0.35">
      <c r="A437" s="1" t="s">
        <v>926</v>
      </c>
      <c r="B437" s="1" t="s">
        <v>25</v>
      </c>
      <c r="C437" s="1" t="s">
        <v>37</v>
      </c>
      <c r="D437" s="1" t="s">
        <v>11</v>
      </c>
      <c r="E437" s="1">
        <v>342</v>
      </c>
      <c r="F437" s="4">
        <v>25291572</v>
      </c>
      <c r="G437" s="4">
        <v>73951</v>
      </c>
      <c r="H437" s="1">
        <v>1</v>
      </c>
      <c r="I437" s="1">
        <v>1</v>
      </c>
      <c r="J437" s="1">
        <v>9</v>
      </c>
      <c r="K437" s="1" t="s">
        <v>61</v>
      </c>
      <c r="L437" s="1" t="s">
        <v>927</v>
      </c>
      <c r="M437" s="1">
        <v>4</v>
      </c>
      <c r="N437" s="1">
        <v>4</v>
      </c>
      <c r="O437" s="1">
        <v>73567</v>
      </c>
      <c r="P437" s="1">
        <v>3.49</v>
      </c>
      <c r="Q437" s="1" t="s">
        <v>14</v>
      </c>
      <c r="R437" s="3">
        <v>0.42450000000000004</v>
      </c>
      <c r="S437" s="2">
        <v>45496</v>
      </c>
      <c r="T437" s="1">
        <v>71</v>
      </c>
      <c r="U437" s="1" t="s">
        <v>23</v>
      </c>
      <c r="V437" s="1">
        <v>164</v>
      </c>
      <c r="W437" s="1" t="b">
        <v>1</v>
      </c>
      <c r="X437" s="1" t="b">
        <v>1</v>
      </c>
      <c r="Y437" s="1">
        <v>0</v>
      </c>
    </row>
    <row r="438" spans="1:25" x14ac:dyDescent="0.35">
      <c r="A438" s="1" t="s">
        <v>928</v>
      </c>
      <c r="B438" s="1" t="s">
        <v>18</v>
      </c>
      <c r="C438" s="1" t="s">
        <v>169</v>
      </c>
      <c r="D438" s="1" t="s">
        <v>3</v>
      </c>
      <c r="E438" s="1">
        <v>455</v>
      </c>
      <c r="F438" s="4">
        <v>15000000</v>
      </c>
      <c r="G438" s="4">
        <v>32967</v>
      </c>
      <c r="H438" s="1">
        <v>1</v>
      </c>
      <c r="I438" s="1">
        <v>1</v>
      </c>
      <c r="J438" s="1">
        <v>7</v>
      </c>
      <c r="K438" s="1" t="s">
        <v>28</v>
      </c>
      <c r="L438" s="1" t="s">
        <v>929</v>
      </c>
      <c r="M438" s="1">
        <v>3</v>
      </c>
      <c r="N438" s="1">
        <v>4</v>
      </c>
      <c r="O438" s="1">
        <v>40158</v>
      </c>
      <c r="P438" s="1">
        <v>3.21</v>
      </c>
      <c r="Q438" s="1" t="s">
        <v>6</v>
      </c>
      <c r="R438" s="3">
        <v>0.41060000000000002</v>
      </c>
      <c r="S438" s="2">
        <v>45810</v>
      </c>
      <c r="T438" s="1">
        <v>72</v>
      </c>
      <c r="U438" s="1" t="s">
        <v>23</v>
      </c>
      <c r="V438" s="1">
        <v>81</v>
      </c>
      <c r="W438" s="1" t="b">
        <v>0</v>
      </c>
      <c r="X438" s="1" t="b">
        <v>0</v>
      </c>
      <c r="Y438" s="1">
        <v>30000</v>
      </c>
    </row>
    <row r="439" spans="1:25" x14ac:dyDescent="0.35">
      <c r="A439" s="1" t="s">
        <v>930</v>
      </c>
      <c r="B439" s="1" t="s">
        <v>54</v>
      </c>
      <c r="C439" s="1" t="s">
        <v>72</v>
      </c>
      <c r="D439" s="1" t="s">
        <v>11</v>
      </c>
      <c r="E439" s="1">
        <v>329</v>
      </c>
      <c r="F439" s="4">
        <v>30272733</v>
      </c>
      <c r="G439" s="4">
        <v>92014</v>
      </c>
      <c r="H439" s="1">
        <v>0</v>
      </c>
      <c r="I439" s="1">
        <v>1</v>
      </c>
      <c r="J439" s="1">
        <v>17</v>
      </c>
      <c r="K439" s="1" t="s">
        <v>21</v>
      </c>
      <c r="L439" s="1" t="s">
        <v>931</v>
      </c>
      <c r="M439" s="1">
        <v>8</v>
      </c>
      <c r="N439" s="1">
        <v>7</v>
      </c>
      <c r="O439" s="1">
        <v>121704</v>
      </c>
      <c r="P439" s="1">
        <v>4.82</v>
      </c>
      <c r="Q439" s="1" t="s">
        <v>14</v>
      </c>
      <c r="R439" s="3">
        <v>0.49119999999999997</v>
      </c>
      <c r="S439" s="2">
        <v>46132</v>
      </c>
      <c r="T439" s="1">
        <v>181</v>
      </c>
      <c r="U439" s="1" t="s">
        <v>7</v>
      </c>
      <c r="V439" s="1">
        <v>67</v>
      </c>
      <c r="W439" s="1" t="b">
        <v>0</v>
      </c>
      <c r="X439" s="1" t="b">
        <v>1</v>
      </c>
      <c r="Y439" s="1">
        <v>0</v>
      </c>
    </row>
    <row r="440" spans="1:25" x14ac:dyDescent="0.35">
      <c r="A440" s="1" t="s">
        <v>932</v>
      </c>
      <c r="B440" s="1" t="s">
        <v>1</v>
      </c>
      <c r="C440" s="1" t="s">
        <v>45</v>
      </c>
      <c r="D440" s="1" t="s">
        <v>3</v>
      </c>
      <c r="E440" s="1">
        <v>2414</v>
      </c>
      <c r="F440" s="4">
        <v>10000000</v>
      </c>
      <c r="G440" s="4">
        <v>4142</v>
      </c>
      <c r="H440" s="1">
        <v>2</v>
      </c>
      <c r="I440" s="1">
        <v>1</v>
      </c>
      <c r="J440" s="1">
        <v>7</v>
      </c>
      <c r="K440" s="1" t="s">
        <v>12</v>
      </c>
      <c r="L440" s="1" t="s">
        <v>933</v>
      </c>
      <c r="M440" s="1">
        <v>3</v>
      </c>
      <c r="N440" s="1">
        <v>8</v>
      </c>
      <c r="O440" s="1">
        <v>40388</v>
      </c>
      <c r="P440" s="1">
        <v>4.8499999999999996</v>
      </c>
      <c r="Q440" s="1" t="s">
        <v>6</v>
      </c>
      <c r="R440" s="3">
        <v>0.49229999999999996</v>
      </c>
      <c r="S440" s="2">
        <v>46070</v>
      </c>
      <c r="T440" s="1">
        <v>92</v>
      </c>
      <c r="U440" s="1" t="s">
        <v>23</v>
      </c>
      <c r="V440" s="1">
        <v>68</v>
      </c>
      <c r="W440" s="1" t="b">
        <v>0</v>
      </c>
      <c r="X440" s="1" t="b">
        <v>0</v>
      </c>
      <c r="Y440" s="1">
        <v>20000</v>
      </c>
    </row>
    <row r="441" spans="1:25" x14ac:dyDescent="0.35">
      <c r="A441" s="1" t="s">
        <v>934</v>
      </c>
      <c r="B441" s="1" t="s">
        <v>1</v>
      </c>
      <c r="C441" s="1" t="s">
        <v>48</v>
      </c>
      <c r="D441" s="1" t="s">
        <v>27</v>
      </c>
      <c r="E441" s="1">
        <v>7466</v>
      </c>
      <c r="F441" s="4">
        <v>10000000</v>
      </c>
      <c r="G441" s="4">
        <v>1339</v>
      </c>
      <c r="H441" s="1">
        <v>5</v>
      </c>
      <c r="I441" s="1">
        <v>3</v>
      </c>
      <c r="J441" s="1">
        <v>11</v>
      </c>
      <c r="K441" s="1" t="s">
        <v>34</v>
      </c>
      <c r="L441" s="1" t="s">
        <v>935</v>
      </c>
      <c r="M441" s="1">
        <v>3</v>
      </c>
      <c r="N441" s="1">
        <v>10</v>
      </c>
      <c r="O441" s="1">
        <v>36855</v>
      </c>
      <c r="P441" s="1">
        <v>4.42</v>
      </c>
      <c r="Q441" s="1" t="s">
        <v>6</v>
      </c>
      <c r="R441" s="3">
        <v>0.47110000000000002</v>
      </c>
      <c r="S441" s="2">
        <v>46078</v>
      </c>
      <c r="T441" s="1">
        <v>336</v>
      </c>
      <c r="U441" s="1" t="s">
        <v>30</v>
      </c>
      <c r="V441" s="1">
        <v>68</v>
      </c>
      <c r="W441" s="1" t="b">
        <v>1</v>
      </c>
      <c r="X441" s="1" t="b">
        <v>0</v>
      </c>
      <c r="Y441" s="1">
        <v>20000</v>
      </c>
    </row>
    <row r="442" spans="1:25" x14ac:dyDescent="0.35">
      <c r="A442" s="1" t="s">
        <v>936</v>
      </c>
      <c r="B442" s="1" t="s">
        <v>18</v>
      </c>
      <c r="C442" s="1" t="s">
        <v>19</v>
      </c>
      <c r="D442" s="1" t="s">
        <v>11</v>
      </c>
      <c r="E442" s="1">
        <v>284</v>
      </c>
      <c r="F442" s="4">
        <v>15000000</v>
      </c>
      <c r="G442" s="4">
        <v>52816</v>
      </c>
      <c r="H442" s="1">
        <v>0</v>
      </c>
      <c r="I442" s="1">
        <v>2</v>
      </c>
      <c r="J442" s="1">
        <v>30</v>
      </c>
      <c r="K442" s="1" t="s">
        <v>12</v>
      </c>
      <c r="L442" s="1" t="s">
        <v>937</v>
      </c>
      <c r="M442" s="1">
        <v>8</v>
      </c>
      <c r="N442" s="1">
        <v>9</v>
      </c>
      <c r="O442" s="1">
        <v>49532</v>
      </c>
      <c r="P442" s="1">
        <v>3.96</v>
      </c>
      <c r="Q442" s="1" t="s">
        <v>6</v>
      </c>
      <c r="R442" s="3">
        <v>0.4481</v>
      </c>
      <c r="S442" s="2">
        <v>45733</v>
      </c>
      <c r="T442" s="1">
        <v>71</v>
      </c>
      <c r="U442" s="1" t="s">
        <v>30</v>
      </c>
      <c r="V442" s="1">
        <v>115</v>
      </c>
      <c r="W442" s="1" t="b">
        <v>1</v>
      </c>
      <c r="X442" s="1" t="b">
        <v>0</v>
      </c>
      <c r="Y442" s="1">
        <v>0</v>
      </c>
    </row>
    <row r="443" spans="1:25" x14ac:dyDescent="0.35">
      <c r="A443" s="1" t="s">
        <v>938</v>
      </c>
      <c r="B443" s="1" t="s">
        <v>32</v>
      </c>
      <c r="C443" s="1" t="s">
        <v>197</v>
      </c>
      <c r="D443" s="1" t="s">
        <v>38</v>
      </c>
      <c r="E443" s="1">
        <v>7372</v>
      </c>
      <c r="F443" s="4">
        <v>12000000</v>
      </c>
      <c r="G443" s="4">
        <v>1627</v>
      </c>
      <c r="H443" s="1">
        <v>5</v>
      </c>
      <c r="I443" s="1">
        <v>2</v>
      </c>
      <c r="J443" s="1">
        <v>12</v>
      </c>
      <c r="K443" s="1" t="s">
        <v>58</v>
      </c>
      <c r="L443" s="1" t="s">
        <v>939</v>
      </c>
      <c r="M443" s="1">
        <v>3</v>
      </c>
      <c r="N443" s="1">
        <v>7</v>
      </c>
      <c r="O443" s="1">
        <v>30057</v>
      </c>
      <c r="P443" s="1">
        <v>3.01</v>
      </c>
      <c r="Q443" s="1" t="s">
        <v>6</v>
      </c>
      <c r="R443" s="3">
        <v>0.40029999999999999</v>
      </c>
      <c r="S443" s="2">
        <v>46139</v>
      </c>
      <c r="T443" s="1">
        <v>57</v>
      </c>
      <c r="U443" s="1" t="s">
        <v>7</v>
      </c>
      <c r="V443" s="1">
        <v>64</v>
      </c>
      <c r="W443" s="1" t="b">
        <v>1</v>
      </c>
      <c r="X443" s="1" t="b">
        <v>0</v>
      </c>
      <c r="Y443" s="1">
        <v>0</v>
      </c>
    </row>
    <row r="444" spans="1:25" x14ac:dyDescent="0.35">
      <c r="A444" s="1" t="s">
        <v>940</v>
      </c>
      <c r="B444" s="1" t="s">
        <v>25</v>
      </c>
      <c r="C444" s="1" t="s">
        <v>26</v>
      </c>
      <c r="D444" s="1" t="s">
        <v>11</v>
      </c>
      <c r="E444" s="1">
        <v>323</v>
      </c>
      <c r="F444" s="4">
        <v>26558706</v>
      </c>
      <c r="G444" s="4">
        <v>82225</v>
      </c>
      <c r="H444" s="1">
        <v>1</v>
      </c>
      <c r="I444" s="1">
        <v>1</v>
      </c>
      <c r="J444" s="1">
        <v>6</v>
      </c>
      <c r="K444" s="1" t="s">
        <v>61</v>
      </c>
      <c r="L444" s="1" t="s">
        <v>941</v>
      </c>
      <c r="M444" s="1">
        <v>4</v>
      </c>
      <c r="N444" s="1">
        <v>9</v>
      </c>
      <c r="O444" s="1">
        <v>67562</v>
      </c>
      <c r="P444" s="1">
        <v>3.05</v>
      </c>
      <c r="Q444" s="1" t="s">
        <v>14</v>
      </c>
      <c r="R444" s="3">
        <v>0.40259999999999996</v>
      </c>
      <c r="S444" s="2">
        <v>45722</v>
      </c>
      <c r="T444" s="1">
        <v>340</v>
      </c>
      <c r="U444" s="1" t="s">
        <v>7</v>
      </c>
      <c r="V444" s="1">
        <v>57</v>
      </c>
      <c r="W444" s="1" t="b">
        <v>1</v>
      </c>
      <c r="X444" s="1" t="b">
        <v>0</v>
      </c>
      <c r="Y444" s="1">
        <v>53117</v>
      </c>
    </row>
    <row r="445" spans="1:25" x14ac:dyDescent="0.35">
      <c r="A445" s="1" t="s">
        <v>942</v>
      </c>
      <c r="B445" s="1" t="s">
        <v>9</v>
      </c>
      <c r="C445" s="1" t="s">
        <v>10</v>
      </c>
      <c r="D445" s="1" t="s">
        <v>20</v>
      </c>
      <c r="E445" s="1">
        <v>2078</v>
      </c>
      <c r="F445" s="4">
        <v>50000000</v>
      </c>
      <c r="G445" s="4">
        <v>24061</v>
      </c>
      <c r="H445" s="1">
        <v>2</v>
      </c>
      <c r="I445" s="1">
        <v>1</v>
      </c>
      <c r="J445" s="1">
        <v>2</v>
      </c>
      <c r="K445" s="1" t="s">
        <v>61</v>
      </c>
      <c r="L445" s="1" t="s">
        <v>943</v>
      </c>
      <c r="M445" s="1">
        <v>3</v>
      </c>
      <c r="N445" s="1">
        <v>6</v>
      </c>
      <c r="O445" s="1">
        <v>136676</v>
      </c>
      <c r="P445" s="1">
        <v>3.28</v>
      </c>
      <c r="Q445" s="1" t="s">
        <v>14</v>
      </c>
      <c r="R445" s="3">
        <v>0.41399999999999998</v>
      </c>
      <c r="S445" s="2">
        <v>45616</v>
      </c>
      <c r="T445" s="1">
        <v>211</v>
      </c>
      <c r="U445" s="1" t="s">
        <v>30</v>
      </c>
      <c r="V445" s="1">
        <v>150</v>
      </c>
      <c r="W445" s="1" t="b">
        <v>0</v>
      </c>
      <c r="X445" s="1" t="b">
        <v>0</v>
      </c>
      <c r="Y445" s="1">
        <v>100000</v>
      </c>
    </row>
    <row r="446" spans="1:25" x14ac:dyDescent="0.35">
      <c r="A446" s="1" t="s">
        <v>944</v>
      </c>
      <c r="B446" s="1" t="s">
        <v>54</v>
      </c>
      <c r="C446" s="1" t="s">
        <v>64</v>
      </c>
      <c r="D446" s="1" t="s">
        <v>27</v>
      </c>
      <c r="E446" s="1">
        <v>2491</v>
      </c>
      <c r="F446" s="4">
        <v>40000000</v>
      </c>
      <c r="G446" s="4">
        <v>16057</v>
      </c>
      <c r="H446" s="1">
        <v>3</v>
      </c>
      <c r="I446" s="1">
        <v>1</v>
      </c>
      <c r="J446" s="1">
        <v>16</v>
      </c>
      <c r="K446" s="1" t="s">
        <v>42</v>
      </c>
      <c r="L446" s="1" t="s">
        <v>945</v>
      </c>
      <c r="M446" s="1">
        <v>4</v>
      </c>
      <c r="N446" s="1">
        <v>9</v>
      </c>
      <c r="O446" s="1">
        <v>155301</v>
      </c>
      <c r="P446" s="1">
        <v>4.66</v>
      </c>
      <c r="Q446" s="1" t="s">
        <v>14</v>
      </c>
      <c r="R446" s="3">
        <v>0.48299999999999998</v>
      </c>
      <c r="S446" s="2">
        <v>45571</v>
      </c>
      <c r="T446" s="1">
        <v>217</v>
      </c>
      <c r="U446" s="1" t="s">
        <v>7</v>
      </c>
      <c r="V446" s="1">
        <v>88</v>
      </c>
      <c r="W446" s="1" t="b">
        <v>1</v>
      </c>
      <c r="X446" s="1" t="b">
        <v>0</v>
      </c>
      <c r="Y446" s="1">
        <v>80000</v>
      </c>
    </row>
    <row r="447" spans="1:25" x14ac:dyDescent="0.35">
      <c r="A447" s="1" t="s">
        <v>946</v>
      </c>
      <c r="B447" s="1" t="s">
        <v>32</v>
      </c>
      <c r="C447" s="1" t="s">
        <v>197</v>
      </c>
      <c r="D447" s="1" t="s">
        <v>27</v>
      </c>
      <c r="E447" s="1">
        <v>3735</v>
      </c>
      <c r="F447" s="4">
        <v>12000000</v>
      </c>
      <c r="G447" s="4">
        <v>3212</v>
      </c>
      <c r="H447" s="1">
        <v>6</v>
      </c>
      <c r="I447" s="1">
        <v>3</v>
      </c>
      <c r="J447" s="1">
        <v>7</v>
      </c>
      <c r="K447" s="1" t="s">
        <v>42</v>
      </c>
      <c r="L447" s="1" t="s">
        <v>947</v>
      </c>
      <c r="M447" s="1">
        <v>6</v>
      </c>
      <c r="N447" s="1">
        <v>10</v>
      </c>
      <c r="O447" s="1">
        <v>42837</v>
      </c>
      <c r="P447" s="1">
        <v>4.28</v>
      </c>
      <c r="Q447" s="1" t="s">
        <v>6</v>
      </c>
      <c r="R447" s="3">
        <v>0.4642</v>
      </c>
      <c r="S447" s="2">
        <v>45767</v>
      </c>
      <c r="T447" s="1">
        <v>332</v>
      </c>
      <c r="U447" s="1" t="s">
        <v>7</v>
      </c>
      <c r="V447" s="1">
        <v>125</v>
      </c>
      <c r="W447" s="1" t="b">
        <v>0</v>
      </c>
      <c r="X447" s="1" t="b">
        <v>1</v>
      </c>
      <c r="Y447" s="1">
        <v>0</v>
      </c>
    </row>
    <row r="448" spans="1:25" x14ac:dyDescent="0.35">
      <c r="A448" s="1" t="s">
        <v>948</v>
      </c>
      <c r="B448" s="1" t="s">
        <v>9</v>
      </c>
      <c r="C448" s="1" t="s">
        <v>189</v>
      </c>
      <c r="D448" s="1" t="s">
        <v>3</v>
      </c>
      <c r="E448" s="1">
        <v>1885</v>
      </c>
      <c r="F448" s="4">
        <v>50000000</v>
      </c>
      <c r="G448" s="4">
        <v>26525</v>
      </c>
      <c r="H448" s="1">
        <v>3</v>
      </c>
      <c r="I448" s="1">
        <v>1</v>
      </c>
      <c r="J448" s="1">
        <v>7</v>
      </c>
      <c r="K448" s="1" t="s">
        <v>28</v>
      </c>
      <c r="L448" s="1" t="s">
        <v>949</v>
      </c>
      <c r="M448" s="1">
        <v>5</v>
      </c>
      <c r="N448" s="1">
        <v>4</v>
      </c>
      <c r="O448" s="1">
        <v>150760</v>
      </c>
      <c r="P448" s="1">
        <v>3.62</v>
      </c>
      <c r="Q448" s="1" t="s">
        <v>14</v>
      </c>
      <c r="R448" s="3">
        <v>0.43090000000000006</v>
      </c>
      <c r="S448" s="2">
        <v>45592</v>
      </c>
      <c r="T448" s="1">
        <v>138</v>
      </c>
      <c r="U448" s="1" t="s">
        <v>7</v>
      </c>
      <c r="V448" s="1">
        <v>91</v>
      </c>
      <c r="W448" s="1" t="b">
        <v>1</v>
      </c>
      <c r="X448" s="1" t="b">
        <v>1</v>
      </c>
      <c r="Y448" s="1">
        <v>0</v>
      </c>
    </row>
    <row r="449" spans="1:25" x14ac:dyDescent="0.35">
      <c r="A449" s="1" t="s">
        <v>950</v>
      </c>
      <c r="B449" s="1" t="s">
        <v>9</v>
      </c>
      <c r="C449" s="1" t="s">
        <v>189</v>
      </c>
      <c r="D449" s="1" t="s">
        <v>20</v>
      </c>
      <c r="E449" s="1">
        <v>1881</v>
      </c>
      <c r="F449" s="4">
        <v>50000000</v>
      </c>
      <c r="G449" s="4">
        <v>26581</v>
      </c>
      <c r="H449" s="1">
        <v>4</v>
      </c>
      <c r="I449" s="1">
        <v>2</v>
      </c>
      <c r="J449" s="1">
        <v>11</v>
      </c>
      <c r="K449" s="1" t="s">
        <v>12</v>
      </c>
      <c r="L449" s="1" t="s">
        <v>951</v>
      </c>
      <c r="M449" s="1">
        <v>5</v>
      </c>
      <c r="N449" s="1">
        <v>9</v>
      </c>
      <c r="O449" s="1">
        <v>183554</v>
      </c>
      <c r="P449" s="1">
        <v>4.41</v>
      </c>
      <c r="Q449" s="1" t="s">
        <v>14</v>
      </c>
      <c r="R449" s="3">
        <v>0.4703</v>
      </c>
      <c r="S449" s="2">
        <v>46057</v>
      </c>
      <c r="T449" s="1">
        <v>52</v>
      </c>
      <c r="U449" s="1" t="s">
        <v>7</v>
      </c>
      <c r="V449" s="1">
        <v>158</v>
      </c>
      <c r="W449" s="1" t="b">
        <v>1</v>
      </c>
      <c r="X449" s="1" t="b">
        <v>1</v>
      </c>
      <c r="Y449" s="1">
        <v>0</v>
      </c>
    </row>
    <row r="450" spans="1:25" x14ac:dyDescent="0.35">
      <c r="A450" s="1" t="s">
        <v>952</v>
      </c>
      <c r="B450" s="1" t="s">
        <v>18</v>
      </c>
      <c r="C450" s="1" t="s">
        <v>166</v>
      </c>
      <c r="D450" s="1" t="s">
        <v>3</v>
      </c>
      <c r="E450" s="1">
        <v>1588</v>
      </c>
      <c r="F450" s="4">
        <v>15000000</v>
      </c>
      <c r="G450" s="4">
        <v>9445</v>
      </c>
      <c r="H450" s="1">
        <v>2</v>
      </c>
      <c r="I450" s="1">
        <v>1</v>
      </c>
      <c r="J450" s="1">
        <v>21</v>
      </c>
      <c r="K450" s="1" t="s">
        <v>61</v>
      </c>
      <c r="L450" s="1" t="s">
        <v>953</v>
      </c>
      <c r="M450" s="1">
        <v>6</v>
      </c>
      <c r="N450" s="1">
        <v>10</v>
      </c>
      <c r="O450" s="1">
        <v>50040</v>
      </c>
      <c r="P450" s="1">
        <v>4</v>
      </c>
      <c r="Q450" s="1" t="s">
        <v>6</v>
      </c>
      <c r="R450" s="3">
        <v>0.45020000000000004</v>
      </c>
      <c r="S450" s="2">
        <v>45533</v>
      </c>
      <c r="T450" s="1">
        <v>230</v>
      </c>
      <c r="U450" s="1" t="s">
        <v>30</v>
      </c>
      <c r="V450" s="1">
        <v>117</v>
      </c>
      <c r="W450" s="1" t="b">
        <v>1</v>
      </c>
      <c r="X450" s="1" t="b">
        <v>0</v>
      </c>
      <c r="Y450" s="1">
        <v>0</v>
      </c>
    </row>
    <row r="451" spans="1:25" x14ac:dyDescent="0.35">
      <c r="A451" s="1" t="s">
        <v>954</v>
      </c>
      <c r="B451" s="1" t="s">
        <v>54</v>
      </c>
      <c r="C451" s="1" t="s">
        <v>79</v>
      </c>
      <c r="D451" s="1" t="s">
        <v>11</v>
      </c>
      <c r="E451" s="1">
        <v>270</v>
      </c>
      <c r="F451" s="4">
        <v>28507727</v>
      </c>
      <c r="G451" s="4">
        <v>105584</v>
      </c>
      <c r="H451" s="1">
        <v>1</v>
      </c>
      <c r="I451" s="1">
        <v>1</v>
      </c>
      <c r="J451" s="1">
        <v>6</v>
      </c>
      <c r="K451" s="1" t="s">
        <v>28</v>
      </c>
      <c r="L451" s="1" t="s">
        <v>955</v>
      </c>
      <c r="M451" s="1">
        <v>7</v>
      </c>
      <c r="N451" s="1">
        <v>10</v>
      </c>
      <c r="O451" s="1">
        <v>112627</v>
      </c>
      <c r="P451" s="1">
        <v>4.74</v>
      </c>
      <c r="Q451" s="1" t="s">
        <v>14</v>
      </c>
      <c r="R451" s="3">
        <v>0.48700000000000004</v>
      </c>
      <c r="S451" s="2">
        <v>45596</v>
      </c>
      <c r="T451" s="1">
        <v>256</v>
      </c>
      <c r="U451" s="1" t="s">
        <v>23</v>
      </c>
      <c r="V451" s="1">
        <v>52</v>
      </c>
      <c r="W451" s="1" t="b">
        <v>1</v>
      </c>
      <c r="X451" s="1" t="b">
        <v>0</v>
      </c>
      <c r="Y451" s="1">
        <v>0</v>
      </c>
    </row>
    <row r="452" spans="1:25" x14ac:dyDescent="0.35">
      <c r="A452" s="1" t="s">
        <v>956</v>
      </c>
      <c r="B452" s="1" t="s">
        <v>25</v>
      </c>
      <c r="C452" s="1" t="s">
        <v>26</v>
      </c>
      <c r="D452" s="1" t="s">
        <v>27</v>
      </c>
      <c r="E452" s="1">
        <v>2558</v>
      </c>
      <c r="F452" s="4">
        <v>30000000</v>
      </c>
      <c r="G452" s="4">
        <v>11727</v>
      </c>
      <c r="H452" s="1">
        <v>5</v>
      </c>
      <c r="I452" s="1">
        <v>3</v>
      </c>
      <c r="J452" s="1">
        <v>11</v>
      </c>
      <c r="K452" s="1" t="s">
        <v>34</v>
      </c>
      <c r="L452" s="1" t="s">
        <v>957</v>
      </c>
      <c r="M452" s="1">
        <v>3</v>
      </c>
      <c r="N452" s="1">
        <v>5</v>
      </c>
      <c r="O452" s="1">
        <v>123924</v>
      </c>
      <c r="P452" s="1">
        <v>4.96</v>
      </c>
      <c r="Q452" s="1" t="s">
        <v>14</v>
      </c>
      <c r="R452" s="3">
        <v>0.49780000000000002</v>
      </c>
      <c r="S452" s="2">
        <v>45704</v>
      </c>
      <c r="T452" s="1">
        <v>292</v>
      </c>
      <c r="U452" s="1" t="s">
        <v>30</v>
      </c>
      <c r="V452" s="1">
        <v>61</v>
      </c>
      <c r="W452" s="1" t="b">
        <v>0</v>
      </c>
      <c r="X452" s="1" t="b">
        <v>1</v>
      </c>
      <c r="Y452" s="1">
        <v>0</v>
      </c>
    </row>
    <row r="453" spans="1:25" x14ac:dyDescent="0.35">
      <c r="A453" s="1" t="s">
        <v>958</v>
      </c>
      <c r="B453" s="1" t="s">
        <v>54</v>
      </c>
      <c r="C453" s="1" t="s">
        <v>89</v>
      </c>
      <c r="D453" s="1" t="s">
        <v>11</v>
      </c>
      <c r="E453" s="1">
        <v>567</v>
      </c>
      <c r="F453" s="4">
        <v>40000000</v>
      </c>
      <c r="G453" s="4">
        <v>70546</v>
      </c>
      <c r="H453" s="1">
        <v>0</v>
      </c>
      <c r="I453" s="1">
        <v>2</v>
      </c>
      <c r="J453" s="1">
        <v>11</v>
      </c>
      <c r="K453" s="1" t="s">
        <v>34</v>
      </c>
      <c r="L453" s="1" t="s">
        <v>959</v>
      </c>
      <c r="M453" s="1">
        <v>7</v>
      </c>
      <c r="N453" s="1">
        <v>9</v>
      </c>
      <c r="O453" s="1">
        <v>166083</v>
      </c>
      <c r="P453" s="1">
        <v>4.9800000000000004</v>
      </c>
      <c r="Q453" s="1" t="s">
        <v>14</v>
      </c>
      <c r="R453" s="3">
        <v>0.49909999999999999</v>
      </c>
      <c r="S453" s="2">
        <v>46113</v>
      </c>
      <c r="T453" s="1">
        <v>126</v>
      </c>
      <c r="U453" s="1" t="s">
        <v>30</v>
      </c>
      <c r="V453" s="1">
        <v>44</v>
      </c>
      <c r="W453" s="1" t="b">
        <v>1</v>
      </c>
      <c r="X453" s="1" t="b">
        <v>1</v>
      </c>
      <c r="Y453" s="1">
        <v>80000</v>
      </c>
    </row>
    <row r="454" spans="1:25" x14ac:dyDescent="0.35">
      <c r="A454" s="1" t="s">
        <v>960</v>
      </c>
      <c r="B454" s="1" t="s">
        <v>54</v>
      </c>
      <c r="C454" s="1" t="s">
        <v>89</v>
      </c>
      <c r="D454" s="1" t="s">
        <v>27</v>
      </c>
      <c r="E454" s="1">
        <v>6670</v>
      </c>
      <c r="F454" s="4">
        <v>40000000</v>
      </c>
      <c r="G454" s="4">
        <v>5997</v>
      </c>
      <c r="H454" s="1">
        <v>6</v>
      </c>
      <c r="I454" s="1">
        <v>3</v>
      </c>
      <c r="J454" s="1">
        <v>7</v>
      </c>
      <c r="K454" s="1" t="s">
        <v>42</v>
      </c>
      <c r="L454" s="1" t="s">
        <v>961</v>
      </c>
      <c r="M454" s="1">
        <v>6</v>
      </c>
      <c r="N454" s="1">
        <v>7</v>
      </c>
      <c r="O454" s="1">
        <v>112018</v>
      </c>
      <c r="P454" s="1">
        <v>3.36</v>
      </c>
      <c r="Q454" s="1" t="s">
        <v>14</v>
      </c>
      <c r="R454" s="3">
        <v>0.41799999999999998</v>
      </c>
      <c r="S454" s="2">
        <v>46046</v>
      </c>
      <c r="T454" s="1">
        <v>103</v>
      </c>
      <c r="U454" s="1" t="s">
        <v>23</v>
      </c>
      <c r="V454" s="1">
        <v>140</v>
      </c>
      <c r="W454" s="1" t="b">
        <v>0</v>
      </c>
      <c r="X454" s="1" t="b">
        <v>0</v>
      </c>
      <c r="Y454" s="1">
        <v>80000</v>
      </c>
    </row>
    <row r="455" spans="1:25" x14ac:dyDescent="0.35">
      <c r="A455" s="1" t="s">
        <v>962</v>
      </c>
      <c r="B455" s="1" t="s">
        <v>54</v>
      </c>
      <c r="C455" s="1" t="s">
        <v>72</v>
      </c>
      <c r="D455" s="1" t="s">
        <v>38</v>
      </c>
      <c r="E455" s="1">
        <v>6983</v>
      </c>
      <c r="F455" s="4">
        <v>40000000</v>
      </c>
      <c r="G455" s="4">
        <v>5728</v>
      </c>
      <c r="H455" s="1">
        <v>4</v>
      </c>
      <c r="I455" s="1">
        <v>3</v>
      </c>
      <c r="J455" s="1">
        <v>3</v>
      </c>
      <c r="K455" s="1" t="s">
        <v>4</v>
      </c>
      <c r="L455" s="1" t="s">
        <v>963</v>
      </c>
      <c r="M455" s="1">
        <v>5</v>
      </c>
      <c r="N455" s="1">
        <v>4</v>
      </c>
      <c r="O455" s="1">
        <v>102088</v>
      </c>
      <c r="P455" s="1">
        <v>3.06</v>
      </c>
      <c r="Q455" s="1" t="s">
        <v>14</v>
      </c>
      <c r="R455" s="3">
        <v>0.40310000000000001</v>
      </c>
      <c r="S455" s="2">
        <v>45541</v>
      </c>
      <c r="T455" s="1">
        <v>221</v>
      </c>
      <c r="U455" s="1" t="s">
        <v>30</v>
      </c>
      <c r="V455" s="1">
        <v>122</v>
      </c>
      <c r="W455" s="1" t="b">
        <v>0</v>
      </c>
      <c r="X455" s="1" t="b">
        <v>1</v>
      </c>
      <c r="Y455" s="1">
        <v>80000</v>
      </c>
    </row>
    <row r="456" spans="1:25" x14ac:dyDescent="0.35">
      <c r="A456" s="1" t="s">
        <v>964</v>
      </c>
      <c r="B456" s="1" t="s">
        <v>25</v>
      </c>
      <c r="C456" s="1" t="s">
        <v>314</v>
      </c>
      <c r="D456" s="1" t="s">
        <v>11</v>
      </c>
      <c r="E456" s="1">
        <v>388</v>
      </c>
      <c r="F456" s="4">
        <v>30000000</v>
      </c>
      <c r="G456" s="4">
        <v>77319</v>
      </c>
      <c r="H456" s="1">
        <v>1</v>
      </c>
      <c r="I456" s="1">
        <v>1</v>
      </c>
      <c r="J456" s="1">
        <v>2</v>
      </c>
      <c r="K456" s="1" t="s">
        <v>34</v>
      </c>
      <c r="L456" s="1" t="s">
        <v>965</v>
      </c>
      <c r="M456" s="1">
        <v>4</v>
      </c>
      <c r="N456" s="1">
        <v>9</v>
      </c>
      <c r="O456" s="1">
        <v>97571</v>
      </c>
      <c r="P456" s="1">
        <v>3.9</v>
      </c>
      <c r="Q456" s="1" t="s">
        <v>14</v>
      </c>
      <c r="R456" s="3">
        <v>0.4451</v>
      </c>
      <c r="S456" s="2">
        <v>45727</v>
      </c>
      <c r="T456" s="1">
        <v>95</v>
      </c>
      <c r="U456" s="1" t="s">
        <v>7</v>
      </c>
      <c r="V456" s="1">
        <v>96</v>
      </c>
      <c r="W456" s="1" t="b">
        <v>1</v>
      </c>
      <c r="X456" s="1" t="b">
        <v>1</v>
      </c>
      <c r="Y456" s="1">
        <v>0</v>
      </c>
    </row>
    <row r="457" spans="1:25" x14ac:dyDescent="0.35">
      <c r="A457" s="1" t="s">
        <v>966</v>
      </c>
      <c r="B457" s="1" t="s">
        <v>54</v>
      </c>
      <c r="C457" s="1" t="s">
        <v>72</v>
      </c>
      <c r="D457" s="1" t="s">
        <v>27</v>
      </c>
      <c r="E457" s="1">
        <v>3626</v>
      </c>
      <c r="F457" s="4">
        <v>40000000</v>
      </c>
      <c r="G457" s="4">
        <v>11031</v>
      </c>
      <c r="H457" s="1">
        <v>5</v>
      </c>
      <c r="I457" s="1">
        <v>3</v>
      </c>
      <c r="J457" s="1">
        <v>15</v>
      </c>
      <c r="K457" s="1" t="s">
        <v>21</v>
      </c>
      <c r="L457" s="1" t="s">
        <v>967</v>
      </c>
      <c r="M457" s="1">
        <v>6</v>
      </c>
      <c r="N457" s="1">
        <v>9</v>
      </c>
      <c r="O457" s="1">
        <v>137393</v>
      </c>
      <c r="P457" s="1">
        <v>4.12</v>
      </c>
      <c r="Q457" s="1" t="s">
        <v>14</v>
      </c>
      <c r="R457" s="3">
        <v>0.45610000000000001</v>
      </c>
      <c r="S457" s="2">
        <v>45545</v>
      </c>
      <c r="T457" s="1">
        <v>316</v>
      </c>
      <c r="U457" s="1" t="s">
        <v>7</v>
      </c>
      <c r="V457" s="1">
        <v>178</v>
      </c>
      <c r="W457" s="1" t="b">
        <v>1</v>
      </c>
      <c r="X457" s="1" t="b">
        <v>0</v>
      </c>
      <c r="Y457" s="1">
        <v>0</v>
      </c>
    </row>
    <row r="458" spans="1:25" x14ac:dyDescent="0.35">
      <c r="A458" s="1" t="s">
        <v>968</v>
      </c>
      <c r="B458" s="1" t="s">
        <v>9</v>
      </c>
      <c r="C458" s="1" t="s">
        <v>10</v>
      </c>
      <c r="D458" s="1" t="s">
        <v>11</v>
      </c>
      <c r="E458" s="1">
        <v>325</v>
      </c>
      <c r="F458" s="4">
        <v>50000000</v>
      </c>
      <c r="G458" s="4">
        <v>153846</v>
      </c>
      <c r="H458" s="1">
        <v>1</v>
      </c>
      <c r="I458" s="1">
        <v>2</v>
      </c>
      <c r="J458" s="1">
        <v>3</v>
      </c>
      <c r="K458" s="1" t="s">
        <v>4</v>
      </c>
      <c r="L458" s="1" t="s">
        <v>969</v>
      </c>
      <c r="M458" s="1">
        <v>8</v>
      </c>
      <c r="N458" s="1">
        <v>5</v>
      </c>
      <c r="O458" s="1">
        <v>140638</v>
      </c>
      <c r="P458" s="1">
        <v>3.38</v>
      </c>
      <c r="Q458" s="1" t="s">
        <v>14</v>
      </c>
      <c r="R458" s="3">
        <v>0.41880000000000001</v>
      </c>
      <c r="S458" s="2">
        <v>45443</v>
      </c>
      <c r="T458" s="1">
        <v>111</v>
      </c>
      <c r="U458" s="1" t="s">
        <v>7</v>
      </c>
      <c r="V458" s="1">
        <v>126</v>
      </c>
      <c r="W458" s="1" t="b">
        <v>0</v>
      </c>
      <c r="X458" s="1" t="b">
        <v>1</v>
      </c>
      <c r="Y458" s="1">
        <v>100000</v>
      </c>
    </row>
    <row r="459" spans="1:25" x14ac:dyDescent="0.35">
      <c r="A459" s="1" t="s">
        <v>970</v>
      </c>
      <c r="B459" s="1" t="s">
        <v>1</v>
      </c>
      <c r="C459" s="1" t="s">
        <v>51</v>
      </c>
      <c r="D459" s="1" t="s">
        <v>3</v>
      </c>
      <c r="E459" s="1">
        <v>1916</v>
      </c>
      <c r="F459" s="4">
        <v>10000000</v>
      </c>
      <c r="G459" s="4">
        <v>5219</v>
      </c>
      <c r="H459" s="1">
        <v>3</v>
      </c>
      <c r="I459" s="1">
        <v>1</v>
      </c>
      <c r="J459" s="1">
        <v>9</v>
      </c>
      <c r="K459" s="1" t="s">
        <v>21</v>
      </c>
      <c r="L459" s="1" t="s">
        <v>971</v>
      </c>
      <c r="M459" s="1">
        <v>5</v>
      </c>
      <c r="N459" s="1">
        <v>10</v>
      </c>
      <c r="O459" s="1">
        <v>30870</v>
      </c>
      <c r="P459" s="1">
        <v>3.7</v>
      </c>
      <c r="Q459" s="1" t="s">
        <v>6</v>
      </c>
      <c r="R459" s="3">
        <v>0.43520000000000003</v>
      </c>
      <c r="S459" s="2">
        <v>45601</v>
      </c>
      <c r="T459" s="1">
        <v>59</v>
      </c>
      <c r="U459" s="1" t="s">
        <v>7</v>
      </c>
      <c r="V459" s="1">
        <v>115</v>
      </c>
      <c r="W459" s="1" t="b">
        <v>1</v>
      </c>
      <c r="X459" s="1" t="b">
        <v>0</v>
      </c>
      <c r="Y459" s="1">
        <v>0</v>
      </c>
    </row>
    <row r="460" spans="1:25" x14ac:dyDescent="0.35">
      <c r="A460" s="1" t="s">
        <v>972</v>
      </c>
      <c r="B460" s="1" t="s">
        <v>54</v>
      </c>
      <c r="C460" s="1" t="s">
        <v>55</v>
      </c>
      <c r="D460" s="1" t="s">
        <v>38</v>
      </c>
      <c r="E460" s="1">
        <v>7873</v>
      </c>
      <c r="F460" s="4">
        <v>40000000</v>
      </c>
      <c r="G460" s="4">
        <v>5080</v>
      </c>
      <c r="H460" s="1">
        <v>4</v>
      </c>
      <c r="I460" s="1">
        <v>3</v>
      </c>
      <c r="J460" s="1">
        <v>12</v>
      </c>
      <c r="K460" s="1" t="s">
        <v>58</v>
      </c>
      <c r="L460" s="1" t="s">
        <v>973</v>
      </c>
      <c r="M460" s="1">
        <v>5</v>
      </c>
      <c r="N460" s="1">
        <v>9</v>
      </c>
      <c r="O460" s="1">
        <v>141084</v>
      </c>
      <c r="P460" s="1">
        <v>4.2300000000000004</v>
      </c>
      <c r="Q460" s="1" t="s">
        <v>14</v>
      </c>
      <c r="R460" s="3">
        <v>0.46159999999999995</v>
      </c>
      <c r="S460" s="2">
        <v>45735</v>
      </c>
      <c r="T460" s="1">
        <v>52</v>
      </c>
      <c r="U460" s="1" t="s">
        <v>7</v>
      </c>
      <c r="V460" s="1">
        <v>169</v>
      </c>
      <c r="W460" s="1" t="b">
        <v>0</v>
      </c>
      <c r="X460" s="1" t="b">
        <v>1</v>
      </c>
      <c r="Y460" s="1">
        <v>0</v>
      </c>
    </row>
    <row r="461" spans="1:25" x14ac:dyDescent="0.35">
      <c r="A461" s="1" t="s">
        <v>974</v>
      </c>
      <c r="B461" s="1" t="s">
        <v>18</v>
      </c>
      <c r="C461" s="1" t="s">
        <v>217</v>
      </c>
      <c r="D461" s="1" t="s">
        <v>27</v>
      </c>
      <c r="E461" s="1">
        <v>5724</v>
      </c>
      <c r="F461" s="4">
        <v>15000000</v>
      </c>
      <c r="G461" s="4">
        <v>2620</v>
      </c>
      <c r="H461" s="1">
        <v>6</v>
      </c>
      <c r="I461" s="1">
        <v>3</v>
      </c>
      <c r="J461" s="1">
        <v>6</v>
      </c>
      <c r="K461" s="1" t="s">
        <v>28</v>
      </c>
      <c r="L461" s="1" t="s">
        <v>975</v>
      </c>
      <c r="M461" s="1">
        <v>6</v>
      </c>
      <c r="N461" s="1">
        <v>9</v>
      </c>
      <c r="O461" s="1">
        <v>57054</v>
      </c>
      <c r="P461" s="1">
        <v>4.5599999999999996</v>
      </c>
      <c r="Q461" s="1" t="s">
        <v>6</v>
      </c>
      <c r="R461" s="3">
        <v>0.47820000000000001</v>
      </c>
      <c r="S461" s="2">
        <v>45637</v>
      </c>
      <c r="T461" s="1">
        <v>158</v>
      </c>
      <c r="U461" s="1" t="s">
        <v>7</v>
      </c>
      <c r="V461" s="1">
        <v>97</v>
      </c>
      <c r="W461" s="1" t="b">
        <v>0</v>
      </c>
      <c r="X461" s="1" t="b">
        <v>1</v>
      </c>
      <c r="Y461" s="1">
        <v>30000</v>
      </c>
    </row>
    <row r="462" spans="1:25" x14ac:dyDescent="0.35">
      <c r="A462" s="1" t="s">
        <v>976</v>
      </c>
      <c r="B462" s="1" t="s">
        <v>18</v>
      </c>
      <c r="C462" s="1" t="s">
        <v>169</v>
      </c>
      <c r="D462" s="1" t="s">
        <v>3</v>
      </c>
      <c r="E462" s="1">
        <v>507</v>
      </c>
      <c r="F462" s="4">
        <v>15000000</v>
      </c>
      <c r="G462" s="4">
        <v>29585</v>
      </c>
      <c r="H462" s="1">
        <v>2</v>
      </c>
      <c r="I462" s="1">
        <v>2</v>
      </c>
      <c r="J462" s="1">
        <v>26</v>
      </c>
      <c r="K462" s="1" t="s">
        <v>21</v>
      </c>
      <c r="L462" s="1" t="s">
        <v>977</v>
      </c>
      <c r="M462" s="1">
        <v>7</v>
      </c>
      <c r="N462" s="1">
        <v>8</v>
      </c>
      <c r="O462" s="1">
        <v>53610</v>
      </c>
      <c r="P462" s="1">
        <v>4.29</v>
      </c>
      <c r="Q462" s="1" t="s">
        <v>6</v>
      </c>
      <c r="R462" s="3">
        <v>0.46439999999999998</v>
      </c>
      <c r="S462" s="2">
        <v>46104</v>
      </c>
      <c r="T462" s="1">
        <v>66</v>
      </c>
      <c r="U462" s="1" t="s">
        <v>30</v>
      </c>
      <c r="V462" s="1">
        <v>139</v>
      </c>
      <c r="W462" s="1" t="b">
        <v>0</v>
      </c>
      <c r="X462" s="1" t="b">
        <v>1</v>
      </c>
      <c r="Y462" s="1">
        <v>0</v>
      </c>
    </row>
    <row r="463" spans="1:25" x14ac:dyDescent="0.35">
      <c r="A463" s="1" t="s">
        <v>978</v>
      </c>
      <c r="B463" s="1" t="s">
        <v>54</v>
      </c>
      <c r="C463" s="1" t="s">
        <v>79</v>
      </c>
      <c r="D463" s="1" t="s">
        <v>27</v>
      </c>
      <c r="E463" s="1">
        <v>5583</v>
      </c>
      <c r="F463" s="4">
        <v>40000000</v>
      </c>
      <c r="G463" s="4">
        <v>7164</v>
      </c>
      <c r="H463" s="1">
        <v>4</v>
      </c>
      <c r="I463" s="1">
        <v>2</v>
      </c>
      <c r="J463" s="1">
        <v>22</v>
      </c>
      <c r="K463" s="1" t="s">
        <v>34</v>
      </c>
      <c r="L463" s="1" t="s">
        <v>979</v>
      </c>
      <c r="M463" s="1">
        <v>4</v>
      </c>
      <c r="N463" s="1">
        <v>4</v>
      </c>
      <c r="O463" s="1">
        <v>110603</v>
      </c>
      <c r="P463" s="1">
        <v>3.32</v>
      </c>
      <c r="Q463" s="1" t="s">
        <v>14</v>
      </c>
      <c r="R463" s="3">
        <v>0.41590000000000005</v>
      </c>
      <c r="S463" s="2">
        <v>45826</v>
      </c>
      <c r="T463" s="1">
        <v>224</v>
      </c>
      <c r="U463" s="1" t="s">
        <v>7</v>
      </c>
      <c r="V463" s="1">
        <v>36</v>
      </c>
      <c r="W463" s="1" t="b">
        <v>1</v>
      </c>
      <c r="X463" s="1" t="b">
        <v>1</v>
      </c>
      <c r="Y463" s="1">
        <v>80000</v>
      </c>
    </row>
    <row r="464" spans="1:25" x14ac:dyDescent="0.35">
      <c r="A464" s="1" t="s">
        <v>980</v>
      </c>
      <c r="B464" s="1" t="s">
        <v>32</v>
      </c>
      <c r="C464" s="1" t="s">
        <v>194</v>
      </c>
      <c r="D464" s="1" t="s">
        <v>38</v>
      </c>
      <c r="E464" s="1">
        <v>3645</v>
      </c>
      <c r="F464" s="4">
        <v>12000000</v>
      </c>
      <c r="G464" s="4">
        <v>3292</v>
      </c>
      <c r="H464" s="1">
        <v>6</v>
      </c>
      <c r="I464" s="1">
        <v>4</v>
      </c>
      <c r="J464" s="1">
        <v>0</v>
      </c>
      <c r="K464" s="1" t="s">
        <v>4</v>
      </c>
      <c r="L464" s="1" t="s">
        <v>981</v>
      </c>
      <c r="M464" s="1">
        <v>8</v>
      </c>
      <c r="N464" s="1">
        <v>9</v>
      </c>
      <c r="O464" s="1">
        <v>46141</v>
      </c>
      <c r="P464" s="1">
        <v>4.6100000000000003</v>
      </c>
      <c r="Q464" s="1" t="s">
        <v>6</v>
      </c>
      <c r="R464" s="3">
        <v>0.48070000000000002</v>
      </c>
      <c r="S464" s="2">
        <v>45769</v>
      </c>
      <c r="T464" s="1">
        <v>141</v>
      </c>
      <c r="U464" s="1" t="s">
        <v>30</v>
      </c>
      <c r="V464" s="1">
        <v>43</v>
      </c>
      <c r="W464" s="1" t="b">
        <v>1</v>
      </c>
      <c r="X464" s="1" t="b">
        <v>1</v>
      </c>
      <c r="Y464" s="1">
        <v>24000</v>
      </c>
    </row>
    <row r="465" spans="1:25" x14ac:dyDescent="0.35">
      <c r="A465" s="1" t="s">
        <v>982</v>
      </c>
      <c r="B465" s="1" t="s">
        <v>1</v>
      </c>
      <c r="C465" s="1" t="s">
        <v>51</v>
      </c>
      <c r="D465" s="1" t="s">
        <v>3</v>
      </c>
      <c r="E465" s="1">
        <v>854</v>
      </c>
      <c r="F465" s="4">
        <v>10000000</v>
      </c>
      <c r="G465" s="4">
        <v>11709</v>
      </c>
      <c r="H465" s="1">
        <v>4</v>
      </c>
      <c r="I465" s="1">
        <v>2</v>
      </c>
      <c r="J465" s="1">
        <v>3</v>
      </c>
      <c r="K465" s="1" t="s">
        <v>58</v>
      </c>
      <c r="L465" s="1" t="s">
        <v>983</v>
      </c>
      <c r="M465" s="1">
        <v>4</v>
      </c>
      <c r="N465" s="1">
        <v>7</v>
      </c>
      <c r="O465" s="1">
        <v>31023</v>
      </c>
      <c r="P465" s="1">
        <v>3.72</v>
      </c>
      <c r="Q465" s="1" t="s">
        <v>6</v>
      </c>
      <c r="R465" s="3">
        <v>0.43609999999999999</v>
      </c>
      <c r="S465" s="2">
        <v>45944</v>
      </c>
      <c r="T465" s="1">
        <v>212</v>
      </c>
      <c r="U465" s="1" t="s">
        <v>7</v>
      </c>
      <c r="V465" s="1">
        <v>35</v>
      </c>
      <c r="W465" s="1" t="b">
        <v>1</v>
      </c>
      <c r="X465" s="1" t="b">
        <v>0</v>
      </c>
      <c r="Y465" s="1">
        <v>20000</v>
      </c>
    </row>
    <row r="466" spans="1:25" x14ac:dyDescent="0.35">
      <c r="A466" s="1" t="s">
        <v>984</v>
      </c>
      <c r="B466" s="1" t="s">
        <v>25</v>
      </c>
      <c r="C466" s="1" t="s">
        <v>182</v>
      </c>
      <c r="D466" s="1" t="s">
        <v>11</v>
      </c>
      <c r="E466" s="1">
        <v>442</v>
      </c>
      <c r="F466" s="4">
        <v>30000000</v>
      </c>
      <c r="G466" s="4">
        <v>67873</v>
      </c>
      <c r="H466" s="1">
        <v>1</v>
      </c>
      <c r="I466" s="1">
        <v>2</v>
      </c>
      <c r="J466" s="1">
        <v>25</v>
      </c>
      <c r="K466" s="1" t="s">
        <v>28</v>
      </c>
      <c r="L466" s="1" t="s">
        <v>985</v>
      </c>
      <c r="M466" s="1">
        <v>4</v>
      </c>
      <c r="N466" s="1">
        <v>8</v>
      </c>
      <c r="O466" s="1">
        <v>92140</v>
      </c>
      <c r="P466" s="1">
        <v>3.69</v>
      </c>
      <c r="Q466" s="1" t="s">
        <v>14</v>
      </c>
      <c r="R466" s="3">
        <v>0.43430000000000002</v>
      </c>
      <c r="S466" s="2">
        <v>45801</v>
      </c>
      <c r="T466" s="1">
        <v>3</v>
      </c>
      <c r="U466" s="1" t="s">
        <v>7</v>
      </c>
      <c r="V466" s="1">
        <v>169</v>
      </c>
      <c r="W466" s="1" t="b">
        <v>1</v>
      </c>
      <c r="X466" s="1" t="b">
        <v>0</v>
      </c>
      <c r="Y466" s="1">
        <v>60000</v>
      </c>
    </row>
    <row r="467" spans="1:25" x14ac:dyDescent="0.35">
      <c r="A467" s="1" t="s">
        <v>986</v>
      </c>
      <c r="B467" s="1" t="s">
        <v>25</v>
      </c>
      <c r="C467" s="1" t="s">
        <v>37</v>
      </c>
      <c r="D467" s="1" t="s">
        <v>3</v>
      </c>
      <c r="E467" s="1">
        <v>2595</v>
      </c>
      <c r="F467" s="4">
        <v>30000000</v>
      </c>
      <c r="G467" s="4">
        <v>11560</v>
      </c>
      <c r="H467" s="1">
        <v>1</v>
      </c>
      <c r="I467" s="1">
        <v>1</v>
      </c>
      <c r="J467" s="1">
        <v>6</v>
      </c>
      <c r="K467" s="1" t="s">
        <v>4</v>
      </c>
      <c r="L467" s="1" t="s">
        <v>987</v>
      </c>
      <c r="M467" s="1">
        <v>5</v>
      </c>
      <c r="N467" s="1">
        <v>7</v>
      </c>
      <c r="O467" s="1">
        <v>109580</v>
      </c>
      <c r="P467" s="1">
        <v>4.38</v>
      </c>
      <c r="Q467" s="1" t="s">
        <v>14</v>
      </c>
      <c r="R467" s="3">
        <v>0.46920000000000001</v>
      </c>
      <c r="S467" s="2">
        <v>46027</v>
      </c>
      <c r="T467" s="1">
        <v>48</v>
      </c>
      <c r="U467" s="1" t="s">
        <v>7</v>
      </c>
      <c r="V467" s="1">
        <v>81</v>
      </c>
      <c r="W467" s="1" t="b">
        <v>0</v>
      </c>
      <c r="X467" s="1" t="b">
        <v>0</v>
      </c>
      <c r="Y467" s="1">
        <v>0</v>
      </c>
    </row>
    <row r="468" spans="1:25" x14ac:dyDescent="0.35">
      <c r="A468" s="1" t="s">
        <v>988</v>
      </c>
      <c r="B468" s="1" t="s">
        <v>1</v>
      </c>
      <c r="C468" s="1" t="s">
        <v>48</v>
      </c>
      <c r="D468" s="1" t="s">
        <v>11</v>
      </c>
      <c r="E468" s="1">
        <v>512</v>
      </c>
      <c r="F468" s="4">
        <v>10000000</v>
      </c>
      <c r="G468" s="4">
        <v>19531</v>
      </c>
      <c r="H468" s="1">
        <v>1</v>
      </c>
      <c r="I468" s="1">
        <v>1</v>
      </c>
      <c r="J468" s="1">
        <v>8</v>
      </c>
      <c r="K468" s="1" t="s">
        <v>34</v>
      </c>
      <c r="L468" s="1" t="s">
        <v>989</v>
      </c>
      <c r="M468" s="1">
        <v>4</v>
      </c>
      <c r="N468" s="1">
        <v>7</v>
      </c>
      <c r="O468" s="1">
        <v>28430</v>
      </c>
      <c r="P468" s="1">
        <v>3.41</v>
      </c>
      <c r="Q468" s="1" t="s">
        <v>6</v>
      </c>
      <c r="R468" s="3">
        <v>0.42060000000000003</v>
      </c>
      <c r="S468" s="2">
        <v>45657</v>
      </c>
      <c r="T468" s="1">
        <v>306</v>
      </c>
      <c r="U468" s="1" t="s">
        <v>7</v>
      </c>
      <c r="V468" s="1">
        <v>138</v>
      </c>
      <c r="W468" s="1" t="b">
        <v>0</v>
      </c>
      <c r="X468" s="1" t="b">
        <v>0</v>
      </c>
      <c r="Y468" s="1">
        <v>20000</v>
      </c>
    </row>
    <row r="469" spans="1:25" x14ac:dyDescent="0.35">
      <c r="A469" s="1" t="s">
        <v>990</v>
      </c>
      <c r="B469" s="1" t="s">
        <v>32</v>
      </c>
      <c r="C469" s="1" t="s">
        <v>197</v>
      </c>
      <c r="D469" s="1" t="s">
        <v>11</v>
      </c>
      <c r="E469" s="1">
        <v>352</v>
      </c>
      <c r="F469" s="4">
        <v>12000000</v>
      </c>
      <c r="G469" s="4">
        <v>34090</v>
      </c>
      <c r="H469" s="1">
        <v>1</v>
      </c>
      <c r="I469" s="1">
        <v>2</v>
      </c>
      <c r="J469" s="1">
        <v>28</v>
      </c>
      <c r="K469" s="1" t="s">
        <v>12</v>
      </c>
      <c r="L469" s="1" t="s">
        <v>991</v>
      </c>
      <c r="M469" s="1">
        <v>8</v>
      </c>
      <c r="N469" s="1">
        <v>5</v>
      </c>
      <c r="O469" s="1">
        <v>32292</v>
      </c>
      <c r="P469" s="1">
        <v>3.23</v>
      </c>
      <c r="Q469" s="1" t="s">
        <v>6</v>
      </c>
      <c r="R469" s="3">
        <v>0.41149999999999998</v>
      </c>
      <c r="S469" s="2">
        <v>45826</v>
      </c>
      <c r="T469" s="1">
        <v>126</v>
      </c>
      <c r="U469" s="1" t="s">
        <v>7</v>
      </c>
      <c r="V469" s="1">
        <v>121</v>
      </c>
      <c r="W469" s="1" t="b">
        <v>1</v>
      </c>
      <c r="X469" s="1" t="b">
        <v>1</v>
      </c>
      <c r="Y469" s="1">
        <v>0</v>
      </c>
    </row>
    <row r="470" spans="1:25" x14ac:dyDescent="0.35">
      <c r="A470" s="1" t="s">
        <v>992</v>
      </c>
      <c r="B470" s="1" t="s">
        <v>54</v>
      </c>
      <c r="C470" s="1" t="s">
        <v>55</v>
      </c>
      <c r="D470" s="1" t="s">
        <v>20</v>
      </c>
      <c r="E470" s="1">
        <v>2000</v>
      </c>
      <c r="F470" s="4">
        <v>40000000</v>
      </c>
      <c r="G470" s="4">
        <v>20000</v>
      </c>
      <c r="H470" s="1">
        <v>2</v>
      </c>
      <c r="I470" s="1">
        <v>2</v>
      </c>
      <c r="J470" s="1">
        <v>22</v>
      </c>
      <c r="K470" s="1" t="s">
        <v>12</v>
      </c>
      <c r="L470" s="1" t="s">
        <v>993</v>
      </c>
      <c r="M470" s="1">
        <v>3</v>
      </c>
      <c r="N470" s="1">
        <v>5</v>
      </c>
      <c r="O470" s="1">
        <v>137442</v>
      </c>
      <c r="P470" s="1">
        <v>4.12</v>
      </c>
      <c r="Q470" s="1" t="s">
        <v>14</v>
      </c>
      <c r="R470" s="3">
        <v>0.45619999999999999</v>
      </c>
      <c r="S470" s="2">
        <v>45762</v>
      </c>
      <c r="T470" s="1">
        <v>112</v>
      </c>
      <c r="U470" s="1" t="s">
        <v>7</v>
      </c>
      <c r="V470" s="1">
        <v>164</v>
      </c>
      <c r="W470" s="1" t="b">
        <v>1</v>
      </c>
      <c r="X470" s="1" t="b">
        <v>0</v>
      </c>
      <c r="Y470" s="1">
        <v>80000</v>
      </c>
    </row>
    <row r="471" spans="1:25" x14ac:dyDescent="0.35">
      <c r="A471" s="1" t="s">
        <v>994</v>
      </c>
      <c r="B471" s="1" t="s">
        <v>32</v>
      </c>
      <c r="C471" s="1" t="s">
        <v>194</v>
      </c>
      <c r="D471" s="1" t="s">
        <v>11</v>
      </c>
      <c r="E471" s="1">
        <v>599</v>
      </c>
      <c r="F471" s="4">
        <v>12000000</v>
      </c>
      <c r="G471" s="4">
        <v>20033</v>
      </c>
      <c r="H471" s="1">
        <v>1</v>
      </c>
      <c r="I471" s="1">
        <v>2</v>
      </c>
      <c r="J471" s="1">
        <v>26</v>
      </c>
      <c r="K471" s="1" t="s">
        <v>42</v>
      </c>
      <c r="L471" s="1" t="s">
        <v>995</v>
      </c>
      <c r="M471" s="1">
        <v>5</v>
      </c>
      <c r="N471" s="1">
        <v>5</v>
      </c>
      <c r="O471" s="1">
        <v>35488</v>
      </c>
      <c r="P471" s="1">
        <v>3.55</v>
      </c>
      <c r="Q471" s="1" t="s">
        <v>6</v>
      </c>
      <c r="R471" s="3">
        <v>0.4274</v>
      </c>
      <c r="S471" s="2">
        <v>46034</v>
      </c>
      <c r="T471" s="1">
        <v>303</v>
      </c>
      <c r="U471" s="1" t="s">
        <v>7</v>
      </c>
      <c r="V471" s="1">
        <v>113</v>
      </c>
      <c r="W471" s="1" t="b">
        <v>0</v>
      </c>
      <c r="X471" s="1" t="b">
        <v>1</v>
      </c>
      <c r="Y471" s="1">
        <v>24000</v>
      </c>
    </row>
    <row r="472" spans="1:25" x14ac:dyDescent="0.35">
      <c r="A472" s="1" t="s">
        <v>996</v>
      </c>
      <c r="B472" s="1" t="s">
        <v>54</v>
      </c>
      <c r="C472" s="1" t="s">
        <v>64</v>
      </c>
      <c r="D472" s="1" t="s">
        <v>38</v>
      </c>
      <c r="E472" s="1">
        <v>3038</v>
      </c>
      <c r="F472" s="4">
        <v>40000000</v>
      </c>
      <c r="G472" s="4">
        <v>13166</v>
      </c>
      <c r="H472" s="1">
        <v>5</v>
      </c>
      <c r="I472" s="1">
        <v>3</v>
      </c>
      <c r="J472" s="1">
        <v>4</v>
      </c>
      <c r="K472" s="1" t="s">
        <v>58</v>
      </c>
      <c r="L472" s="1" t="s">
        <v>997</v>
      </c>
      <c r="M472" s="1">
        <v>6</v>
      </c>
      <c r="N472" s="1">
        <v>6</v>
      </c>
      <c r="O472" s="1">
        <v>155323</v>
      </c>
      <c r="P472" s="1">
        <v>4.66</v>
      </c>
      <c r="Q472" s="1" t="s">
        <v>14</v>
      </c>
      <c r="R472" s="3">
        <v>0.48299999999999998</v>
      </c>
      <c r="S472" s="2">
        <v>45731</v>
      </c>
      <c r="T472" s="1">
        <v>178</v>
      </c>
      <c r="U472" s="1" t="s">
        <v>30</v>
      </c>
      <c r="V472" s="1">
        <v>111</v>
      </c>
      <c r="W472" s="1" t="b">
        <v>0</v>
      </c>
      <c r="X472" s="1" t="b">
        <v>1</v>
      </c>
      <c r="Y472" s="1">
        <v>0</v>
      </c>
    </row>
    <row r="473" spans="1:25" x14ac:dyDescent="0.35">
      <c r="A473" s="1" t="s">
        <v>998</v>
      </c>
      <c r="B473" s="1" t="s">
        <v>18</v>
      </c>
      <c r="C473" s="1" t="s">
        <v>166</v>
      </c>
      <c r="D473" s="1" t="s">
        <v>3</v>
      </c>
      <c r="E473" s="1">
        <v>2011</v>
      </c>
      <c r="F473" s="4">
        <v>15000000</v>
      </c>
      <c r="G473" s="4">
        <v>7458</v>
      </c>
      <c r="H473" s="1">
        <v>3</v>
      </c>
      <c r="I473" s="1">
        <v>2</v>
      </c>
      <c r="J473" s="1">
        <v>15</v>
      </c>
      <c r="K473" s="1" t="s">
        <v>58</v>
      </c>
      <c r="L473" s="1" t="s">
        <v>999</v>
      </c>
      <c r="M473" s="1">
        <v>8</v>
      </c>
      <c r="N473" s="1">
        <v>4</v>
      </c>
      <c r="O473" s="1">
        <v>59034</v>
      </c>
      <c r="P473" s="1">
        <v>4.72</v>
      </c>
      <c r="Q473" s="1" t="s">
        <v>6</v>
      </c>
      <c r="R473" s="3">
        <v>0.48609999999999998</v>
      </c>
      <c r="S473" s="2">
        <v>45710</v>
      </c>
      <c r="T473" s="1">
        <v>189</v>
      </c>
      <c r="U473" s="1" t="s">
        <v>7</v>
      </c>
      <c r="V473" s="1">
        <v>78</v>
      </c>
      <c r="W473" s="1" t="b">
        <v>1</v>
      </c>
      <c r="X473" s="1" t="b">
        <v>1</v>
      </c>
      <c r="Y473" s="1">
        <v>0</v>
      </c>
    </row>
    <row r="474" spans="1:25" x14ac:dyDescent="0.35">
      <c r="A474" s="1" t="s">
        <v>1000</v>
      </c>
      <c r="B474" s="1" t="s">
        <v>9</v>
      </c>
      <c r="C474" s="1" t="s">
        <v>189</v>
      </c>
      <c r="D474" s="1" t="s">
        <v>3</v>
      </c>
      <c r="E474" s="1">
        <v>1646</v>
      </c>
      <c r="F474" s="4">
        <v>50000000</v>
      </c>
      <c r="G474" s="4">
        <v>30376</v>
      </c>
      <c r="H474" s="1">
        <v>1</v>
      </c>
      <c r="I474" s="1">
        <v>2</v>
      </c>
      <c r="J474" s="1">
        <v>10</v>
      </c>
      <c r="K474" s="1" t="s">
        <v>61</v>
      </c>
      <c r="L474" s="1" t="s">
        <v>1001</v>
      </c>
      <c r="M474" s="1">
        <v>8</v>
      </c>
      <c r="N474" s="1">
        <v>7</v>
      </c>
      <c r="O474" s="1">
        <v>137333</v>
      </c>
      <c r="P474" s="1">
        <v>3.3</v>
      </c>
      <c r="Q474" s="1" t="s">
        <v>14</v>
      </c>
      <c r="R474" s="3">
        <v>0.41479999999999995</v>
      </c>
      <c r="S474" s="2">
        <v>45558</v>
      </c>
      <c r="T474" s="1">
        <v>343</v>
      </c>
      <c r="U474" s="1" t="s">
        <v>23</v>
      </c>
      <c r="V474" s="1">
        <v>144</v>
      </c>
      <c r="W474" s="1" t="b">
        <v>1</v>
      </c>
      <c r="X474" s="1" t="b">
        <v>1</v>
      </c>
      <c r="Y474" s="1">
        <v>0</v>
      </c>
    </row>
    <row r="475" spans="1:25" x14ac:dyDescent="0.35">
      <c r="A475" s="1" t="s">
        <v>1002</v>
      </c>
      <c r="B475" s="1" t="s">
        <v>1</v>
      </c>
      <c r="C475" s="1" t="s">
        <v>48</v>
      </c>
      <c r="D475" s="1" t="s">
        <v>20</v>
      </c>
      <c r="E475" s="1">
        <v>2818</v>
      </c>
      <c r="F475" s="4">
        <v>10000000</v>
      </c>
      <c r="G475" s="4">
        <v>3548</v>
      </c>
      <c r="H475" s="1">
        <v>5</v>
      </c>
      <c r="I475" s="1">
        <v>2</v>
      </c>
      <c r="J475" s="1">
        <v>2</v>
      </c>
      <c r="K475" s="1" t="s">
        <v>4</v>
      </c>
      <c r="L475" s="1" t="s">
        <v>1003</v>
      </c>
      <c r="M475" s="1">
        <v>5</v>
      </c>
      <c r="N475" s="1">
        <v>4</v>
      </c>
      <c r="O475" s="1">
        <v>26252</v>
      </c>
      <c r="P475" s="1">
        <v>3.15</v>
      </c>
      <c r="Q475" s="1" t="s">
        <v>6</v>
      </c>
      <c r="R475" s="3">
        <v>0.40749999999999997</v>
      </c>
      <c r="S475" s="2">
        <v>45650</v>
      </c>
      <c r="T475" s="1">
        <v>240</v>
      </c>
      <c r="U475" s="1" t="s">
        <v>7</v>
      </c>
      <c r="V475" s="1">
        <v>85</v>
      </c>
      <c r="W475" s="1" t="b">
        <v>0</v>
      </c>
      <c r="X475" s="1" t="b">
        <v>1</v>
      </c>
      <c r="Y475" s="1">
        <v>0</v>
      </c>
    </row>
    <row r="476" spans="1:25" x14ac:dyDescent="0.35">
      <c r="A476" s="1" t="s">
        <v>1004</v>
      </c>
      <c r="B476" s="1" t="s">
        <v>9</v>
      </c>
      <c r="C476" s="1" t="s">
        <v>163</v>
      </c>
      <c r="D476" s="1" t="s">
        <v>27</v>
      </c>
      <c r="E476" s="1">
        <v>6837</v>
      </c>
      <c r="F476" s="4">
        <v>50000000</v>
      </c>
      <c r="G476" s="4">
        <v>7313</v>
      </c>
      <c r="H476" s="1">
        <v>5</v>
      </c>
      <c r="I476" s="1">
        <v>3</v>
      </c>
      <c r="J476" s="1">
        <v>22</v>
      </c>
      <c r="K476" s="1" t="s">
        <v>21</v>
      </c>
      <c r="L476" s="1" t="s">
        <v>1005</v>
      </c>
      <c r="M476" s="1">
        <v>6</v>
      </c>
      <c r="N476" s="1">
        <v>7</v>
      </c>
      <c r="O476" s="1">
        <v>197321</v>
      </c>
      <c r="P476" s="1">
        <v>4.74</v>
      </c>
      <c r="Q476" s="1" t="s">
        <v>14</v>
      </c>
      <c r="R476" s="3">
        <v>0.48680000000000001</v>
      </c>
      <c r="S476" s="2">
        <v>45631</v>
      </c>
      <c r="T476" s="1">
        <v>36</v>
      </c>
      <c r="U476" s="1" t="s">
        <v>7</v>
      </c>
      <c r="V476" s="1">
        <v>78</v>
      </c>
      <c r="W476" s="1" t="b">
        <v>0</v>
      </c>
      <c r="X476" s="1" t="b">
        <v>0</v>
      </c>
      <c r="Y476" s="1">
        <v>100000</v>
      </c>
    </row>
    <row r="477" spans="1:25" x14ac:dyDescent="0.35">
      <c r="A477" s="1" t="s">
        <v>1006</v>
      </c>
      <c r="B477" s="1" t="s">
        <v>1</v>
      </c>
      <c r="C477" s="1" t="s">
        <v>97</v>
      </c>
      <c r="D477" s="1" t="s">
        <v>38</v>
      </c>
      <c r="E477" s="1">
        <v>8311</v>
      </c>
      <c r="F477" s="4">
        <v>10000000</v>
      </c>
      <c r="G477" s="4">
        <v>1203</v>
      </c>
      <c r="H477" s="1">
        <v>4</v>
      </c>
      <c r="I477" s="1">
        <v>2</v>
      </c>
      <c r="J477" s="1">
        <v>14</v>
      </c>
      <c r="K477" s="1" t="s">
        <v>42</v>
      </c>
      <c r="L477" s="1" t="s">
        <v>1007</v>
      </c>
      <c r="M477" s="1">
        <v>3</v>
      </c>
      <c r="N477" s="1">
        <v>6</v>
      </c>
      <c r="O477" s="1">
        <v>25476</v>
      </c>
      <c r="P477" s="1">
        <v>3.06</v>
      </c>
      <c r="Q477" s="1" t="s">
        <v>6</v>
      </c>
      <c r="R477" s="3">
        <v>0.40289999999999998</v>
      </c>
      <c r="S477" s="2">
        <v>45479</v>
      </c>
      <c r="T477" s="1">
        <v>61</v>
      </c>
      <c r="U477" s="1" t="s">
        <v>7</v>
      </c>
      <c r="V477" s="1">
        <v>97</v>
      </c>
      <c r="W477" s="1" t="b">
        <v>1</v>
      </c>
      <c r="X477" s="1" t="b">
        <v>0</v>
      </c>
      <c r="Y477" s="1">
        <v>0</v>
      </c>
    </row>
    <row r="478" spans="1:25" x14ac:dyDescent="0.35">
      <c r="A478" s="1" t="s">
        <v>1008</v>
      </c>
      <c r="B478" s="1" t="s">
        <v>25</v>
      </c>
      <c r="C478" s="1" t="s">
        <v>82</v>
      </c>
      <c r="D478" s="1" t="s">
        <v>11</v>
      </c>
      <c r="E478" s="1">
        <v>507</v>
      </c>
      <c r="F478" s="4">
        <v>30000000</v>
      </c>
      <c r="G478" s="4">
        <v>59171</v>
      </c>
      <c r="H478" s="1">
        <v>1</v>
      </c>
      <c r="I478" s="1">
        <v>2</v>
      </c>
      <c r="J478" s="1">
        <v>1</v>
      </c>
      <c r="K478" s="1" t="s">
        <v>21</v>
      </c>
      <c r="L478" s="1" t="s">
        <v>1009</v>
      </c>
      <c r="M478" s="1">
        <v>6</v>
      </c>
      <c r="N478" s="1">
        <v>8</v>
      </c>
      <c r="O478" s="1">
        <v>84472</v>
      </c>
      <c r="P478" s="1">
        <v>3.38</v>
      </c>
      <c r="Q478" s="1" t="s">
        <v>14</v>
      </c>
      <c r="R478" s="3">
        <v>0.41889999999999999</v>
      </c>
      <c r="S478" s="2">
        <v>45976</v>
      </c>
      <c r="T478" s="1">
        <v>266</v>
      </c>
      <c r="U478" s="1" t="s">
        <v>7</v>
      </c>
      <c r="V478" s="1">
        <v>156</v>
      </c>
      <c r="W478" s="1" t="b">
        <v>0</v>
      </c>
      <c r="X478" s="1" t="b">
        <v>1</v>
      </c>
      <c r="Y478" s="1">
        <v>60000</v>
      </c>
    </row>
    <row r="479" spans="1:25" x14ac:dyDescent="0.35">
      <c r="A479" s="1" t="s">
        <v>1010</v>
      </c>
      <c r="B479" s="1" t="s">
        <v>1</v>
      </c>
      <c r="C479" s="1" t="s">
        <v>303</v>
      </c>
      <c r="D479" s="1" t="s">
        <v>3</v>
      </c>
      <c r="E479" s="1">
        <v>1299</v>
      </c>
      <c r="F479" s="4">
        <v>10000000</v>
      </c>
      <c r="G479" s="4">
        <v>7698</v>
      </c>
      <c r="H479" s="1">
        <v>1</v>
      </c>
      <c r="I479" s="1">
        <v>1</v>
      </c>
      <c r="J479" s="1">
        <v>28</v>
      </c>
      <c r="K479" s="1" t="s">
        <v>58</v>
      </c>
      <c r="L479" s="1" t="s">
        <v>1011</v>
      </c>
      <c r="M479" s="1">
        <v>3</v>
      </c>
      <c r="N479" s="1">
        <v>7</v>
      </c>
      <c r="O479" s="1">
        <v>29590</v>
      </c>
      <c r="P479" s="1">
        <v>3.55</v>
      </c>
      <c r="Q479" s="1" t="s">
        <v>6</v>
      </c>
      <c r="R479" s="3">
        <v>0.42749999999999999</v>
      </c>
      <c r="S479" s="2">
        <v>45521</v>
      </c>
      <c r="T479" s="1">
        <v>202</v>
      </c>
      <c r="U479" s="1" t="s">
        <v>30</v>
      </c>
      <c r="V479" s="1">
        <v>130</v>
      </c>
      <c r="W479" s="1" t="b">
        <v>1</v>
      </c>
      <c r="X479" s="1" t="b">
        <v>1</v>
      </c>
      <c r="Y479" s="1">
        <v>0</v>
      </c>
    </row>
    <row r="480" spans="1:25" x14ac:dyDescent="0.35">
      <c r="A480" s="1" t="s">
        <v>1012</v>
      </c>
      <c r="B480" s="1" t="s">
        <v>18</v>
      </c>
      <c r="C480" s="1" t="s">
        <v>217</v>
      </c>
      <c r="D480" s="1" t="s">
        <v>27</v>
      </c>
      <c r="E480" s="1">
        <v>3667</v>
      </c>
      <c r="F480" s="4">
        <v>15000000</v>
      </c>
      <c r="G480" s="4">
        <v>4090</v>
      </c>
      <c r="H480" s="1">
        <v>5</v>
      </c>
      <c r="I480" s="1">
        <v>3</v>
      </c>
      <c r="J480" s="1">
        <v>22</v>
      </c>
      <c r="K480" s="1" t="s">
        <v>34</v>
      </c>
      <c r="L480" s="1" t="s">
        <v>1013</v>
      </c>
      <c r="M480" s="1">
        <v>7</v>
      </c>
      <c r="N480" s="1">
        <v>4</v>
      </c>
      <c r="O480" s="1">
        <v>54698</v>
      </c>
      <c r="P480" s="1">
        <v>4.38</v>
      </c>
      <c r="Q480" s="1" t="s">
        <v>6</v>
      </c>
      <c r="R480" s="3">
        <v>0.46880000000000005</v>
      </c>
      <c r="S480" s="2">
        <v>45982</v>
      </c>
      <c r="T480" s="1">
        <v>96</v>
      </c>
      <c r="U480" s="1" t="s">
        <v>7</v>
      </c>
      <c r="V480" s="1">
        <v>72</v>
      </c>
      <c r="W480" s="1" t="b">
        <v>0</v>
      </c>
      <c r="X480" s="1" t="b">
        <v>0</v>
      </c>
      <c r="Y480" s="1">
        <v>30000</v>
      </c>
    </row>
    <row r="481" spans="1:25" x14ac:dyDescent="0.35">
      <c r="A481" s="1" t="s">
        <v>1014</v>
      </c>
      <c r="B481" s="1" t="s">
        <v>9</v>
      </c>
      <c r="C481" s="1" t="s">
        <v>142</v>
      </c>
      <c r="D481" s="1" t="s">
        <v>11</v>
      </c>
      <c r="E481" s="1">
        <v>469</v>
      </c>
      <c r="F481" s="4">
        <v>50000000</v>
      </c>
      <c r="G481" s="4">
        <v>106609</v>
      </c>
      <c r="H481" s="1">
        <v>1</v>
      </c>
      <c r="I481" s="1">
        <v>1</v>
      </c>
      <c r="J481" s="1">
        <v>5</v>
      </c>
      <c r="K481" s="1" t="s">
        <v>42</v>
      </c>
      <c r="L481" s="1" t="s">
        <v>1015</v>
      </c>
      <c r="M481" s="1">
        <v>5</v>
      </c>
      <c r="N481" s="1">
        <v>4</v>
      </c>
      <c r="O481" s="1">
        <v>165692</v>
      </c>
      <c r="P481" s="1">
        <v>3.98</v>
      </c>
      <c r="Q481" s="1" t="s">
        <v>14</v>
      </c>
      <c r="R481" s="3">
        <v>0.44880000000000003</v>
      </c>
      <c r="S481" s="2">
        <v>45903</v>
      </c>
      <c r="T481" s="1">
        <v>291</v>
      </c>
      <c r="U481" s="1" t="s">
        <v>7</v>
      </c>
      <c r="V481" s="1">
        <v>34</v>
      </c>
      <c r="W481" s="1" t="b">
        <v>0</v>
      </c>
      <c r="X481" s="1" t="b">
        <v>1</v>
      </c>
      <c r="Y481" s="1">
        <v>100000</v>
      </c>
    </row>
    <row r="482" spans="1:25" x14ac:dyDescent="0.35">
      <c r="A482" s="1" t="s">
        <v>1016</v>
      </c>
      <c r="B482" s="1" t="s">
        <v>25</v>
      </c>
      <c r="C482" s="1" t="s">
        <v>314</v>
      </c>
      <c r="D482" s="1" t="s">
        <v>3</v>
      </c>
      <c r="E482" s="1">
        <v>1647</v>
      </c>
      <c r="F482" s="4">
        <v>30000000</v>
      </c>
      <c r="G482" s="4">
        <v>18214</v>
      </c>
      <c r="H482" s="1">
        <v>3</v>
      </c>
      <c r="I482" s="1">
        <v>2</v>
      </c>
      <c r="J482" s="1">
        <v>15</v>
      </c>
      <c r="K482" s="1" t="s">
        <v>28</v>
      </c>
      <c r="L482" s="1" t="s">
        <v>1017</v>
      </c>
      <c r="M482" s="1">
        <v>8</v>
      </c>
      <c r="N482" s="1">
        <v>10</v>
      </c>
      <c r="O482" s="1">
        <v>90056</v>
      </c>
      <c r="P482" s="1">
        <v>3.6</v>
      </c>
      <c r="Q482" s="1" t="s">
        <v>14</v>
      </c>
      <c r="R482" s="3">
        <v>0.43009999999999998</v>
      </c>
      <c r="S482" s="2">
        <v>45815</v>
      </c>
      <c r="T482" s="1">
        <v>58</v>
      </c>
      <c r="U482" s="1" t="s">
        <v>23</v>
      </c>
      <c r="V482" s="1">
        <v>153</v>
      </c>
      <c r="W482" s="1" t="b">
        <v>0</v>
      </c>
      <c r="X482" s="1" t="b">
        <v>1</v>
      </c>
      <c r="Y482" s="1">
        <v>60000</v>
      </c>
    </row>
    <row r="483" spans="1:25" x14ac:dyDescent="0.35">
      <c r="A483" s="1" t="s">
        <v>1018</v>
      </c>
      <c r="B483" s="1" t="s">
        <v>18</v>
      </c>
      <c r="C483" s="1" t="s">
        <v>217</v>
      </c>
      <c r="D483" s="1" t="s">
        <v>27</v>
      </c>
      <c r="E483" s="1">
        <v>4926</v>
      </c>
      <c r="F483" s="4">
        <v>15000000</v>
      </c>
      <c r="G483" s="4">
        <v>3045</v>
      </c>
      <c r="H483" s="1">
        <v>6</v>
      </c>
      <c r="I483" s="1">
        <v>3</v>
      </c>
      <c r="J483" s="1">
        <v>7</v>
      </c>
      <c r="K483" s="1" t="s">
        <v>58</v>
      </c>
      <c r="L483" s="1" t="s">
        <v>1019</v>
      </c>
      <c r="M483" s="1">
        <v>7</v>
      </c>
      <c r="N483" s="1">
        <v>7</v>
      </c>
      <c r="O483" s="1">
        <v>59428</v>
      </c>
      <c r="P483" s="1">
        <v>4.75</v>
      </c>
      <c r="Q483" s="1" t="s">
        <v>6</v>
      </c>
      <c r="R483" s="3">
        <v>0.48770000000000002</v>
      </c>
      <c r="S483" s="2">
        <v>45461</v>
      </c>
      <c r="T483" s="1">
        <v>90</v>
      </c>
      <c r="U483" s="1" t="s">
        <v>7</v>
      </c>
      <c r="V483" s="1">
        <v>164</v>
      </c>
      <c r="W483" s="1" t="b">
        <v>0</v>
      </c>
      <c r="X483" s="1" t="b">
        <v>0</v>
      </c>
      <c r="Y483" s="1">
        <v>0</v>
      </c>
    </row>
    <row r="484" spans="1:25" x14ac:dyDescent="0.35">
      <c r="A484" s="1" t="s">
        <v>1020</v>
      </c>
      <c r="B484" s="1" t="s">
        <v>18</v>
      </c>
      <c r="C484" s="1" t="s">
        <v>166</v>
      </c>
      <c r="D484" s="1" t="s">
        <v>11</v>
      </c>
      <c r="E484" s="1">
        <v>391</v>
      </c>
      <c r="F484" s="4">
        <v>15000000</v>
      </c>
      <c r="G484" s="4">
        <v>38363</v>
      </c>
      <c r="H484" s="1">
        <v>1</v>
      </c>
      <c r="I484" s="1">
        <v>1</v>
      </c>
      <c r="J484" s="1">
        <v>1</v>
      </c>
      <c r="K484" s="1" t="s">
        <v>34</v>
      </c>
      <c r="L484" s="1" t="s">
        <v>1021</v>
      </c>
      <c r="M484" s="1">
        <v>7</v>
      </c>
      <c r="N484" s="1">
        <v>9</v>
      </c>
      <c r="O484" s="1">
        <v>37708</v>
      </c>
      <c r="P484" s="1">
        <v>3.02</v>
      </c>
      <c r="Q484" s="1" t="s">
        <v>6</v>
      </c>
      <c r="R484" s="3">
        <v>0.40079999999999999</v>
      </c>
      <c r="S484" s="2">
        <v>45455</v>
      </c>
      <c r="T484" s="1">
        <v>268</v>
      </c>
      <c r="U484" s="1" t="s">
        <v>7</v>
      </c>
      <c r="V484" s="1">
        <v>68</v>
      </c>
      <c r="W484" s="1" t="b">
        <v>0</v>
      </c>
      <c r="X484" s="1" t="b">
        <v>1</v>
      </c>
      <c r="Y484" s="1">
        <v>0</v>
      </c>
    </row>
    <row r="485" spans="1:25" x14ac:dyDescent="0.35">
      <c r="A485" s="1" t="s">
        <v>1022</v>
      </c>
      <c r="B485" s="1" t="s">
        <v>18</v>
      </c>
      <c r="C485" s="1" t="s">
        <v>139</v>
      </c>
      <c r="D485" s="1" t="s">
        <v>3</v>
      </c>
      <c r="E485" s="1">
        <v>1607</v>
      </c>
      <c r="F485" s="4">
        <v>15000000</v>
      </c>
      <c r="G485" s="4">
        <v>9334</v>
      </c>
      <c r="H485" s="1">
        <v>1</v>
      </c>
      <c r="I485" s="1">
        <v>2</v>
      </c>
      <c r="J485" s="1">
        <v>1</v>
      </c>
      <c r="K485" s="1" t="s">
        <v>34</v>
      </c>
      <c r="L485" s="1" t="s">
        <v>1023</v>
      </c>
      <c r="M485" s="1">
        <v>4</v>
      </c>
      <c r="N485" s="1">
        <v>5</v>
      </c>
      <c r="O485" s="1">
        <v>46306</v>
      </c>
      <c r="P485" s="1">
        <v>3.7</v>
      </c>
      <c r="Q485" s="1" t="s">
        <v>6</v>
      </c>
      <c r="R485" s="3">
        <v>0.43520000000000003</v>
      </c>
      <c r="S485" s="2">
        <v>46156</v>
      </c>
      <c r="T485" s="1">
        <v>146</v>
      </c>
      <c r="U485" s="1" t="s">
        <v>7</v>
      </c>
      <c r="V485" s="1">
        <v>119</v>
      </c>
      <c r="W485" s="1" t="b">
        <v>1</v>
      </c>
      <c r="X485" s="1" t="b">
        <v>1</v>
      </c>
      <c r="Y485" s="1">
        <v>0</v>
      </c>
    </row>
    <row r="486" spans="1:25" x14ac:dyDescent="0.35">
      <c r="A486" s="1" t="s">
        <v>1024</v>
      </c>
      <c r="B486" s="1" t="s">
        <v>25</v>
      </c>
      <c r="C486" s="1" t="s">
        <v>182</v>
      </c>
      <c r="D486" s="1" t="s">
        <v>27</v>
      </c>
      <c r="E486" s="1">
        <v>5539</v>
      </c>
      <c r="F486" s="4">
        <v>30000000</v>
      </c>
      <c r="G486" s="4">
        <v>5416</v>
      </c>
      <c r="H486" s="1">
        <v>3</v>
      </c>
      <c r="I486" s="1">
        <v>2</v>
      </c>
      <c r="J486" s="1">
        <v>7</v>
      </c>
      <c r="K486" s="1" t="s">
        <v>21</v>
      </c>
      <c r="L486" s="1" t="s">
        <v>1025</v>
      </c>
      <c r="M486" s="1">
        <v>3</v>
      </c>
      <c r="N486" s="1">
        <v>6</v>
      </c>
      <c r="O486" s="1">
        <v>123345</v>
      </c>
      <c r="P486" s="1">
        <v>4.93</v>
      </c>
      <c r="Q486" s="1" t="s">
        <v>14</v>
      </c>
      <c r="R486" s="3">
        <v>0.49670000000000003</v>
      </c>
      <c r="S486" s="2">
        <v>46056</v>
      </c>
      <c r="T486" s="1">
        <v>89</v>
      </c>
      <c r="U486" s="1" t="s">
        <v>23</v>
      </c>
      <c r="V486" s="1">
        <v>109</v>
      </c>
      <c r="W486" s="1" t="b">
        <v>0</v>
      </c>
      <c r="X486" s="1" t="b">
        <v>0</v>
      </c>
      <c r="Y486" s="1">
        <v>60000</v>
      </c>
    </row>
    <row r="487" spans="1:25" x14ac:dyDescent="0.35">
      <c r="A487" s="1" t="s">
        <v>1026</v>
      </c>
      <c r="B487" s="1" t="s">
        <v>1</v>
      </c>
      <c r="C487" s="1" t="s">
        <v>303</v>
      </c>
      <c r="D487" s="1" t="s">
        <v>20</v>
      </c>
      <c r="E487" s="1">
        <v>2055</v>
      </c>
      <c r="F487" s="4">
        <v>10000000</v>
      </c>
      <c r="G487" s="4">
        <v>4866</v>
      </c>
      <c r="H487" s="1">
        <v>5</v>
      </c>
      <c r="I487" s="1">
        <v>2</v>
      </c>
      <c r="J487" s="1">
        <v>9</v>
      </c>
      <c r="K487" s="1" t="s">
        <v>21</v>
      </c>
      <c r="L487" s="1" t="s">
        <v>1027</v>
      </c>
      <c r="M487" s="1">
        <v>5</v>
      </c>
      <c r="N487" s="1">
        <v>7</v>
      </c>
      <c r="O487" s="1">
        <v>38897</v>
      </c>
      <c r="P487" s="1">
        <v>4.67</v>
      </c>
      <c r="Q487" s="1" t="s">
        <v>6</v>
      </c>
      <c r="R487" s="3">
        <v>0.48340000000000005</v>
      </c>
      <c r="S487" s="2">
        <v>46058</v>
      </c>
      <c r="T487" s="1">
        <v>258</v>
      </c>
      <c r="U487" s="1" t="s">
        <v>7</v>
      </c>
      <c r="V487" s="1">
        <v>110</v>
      </c>
      <c r="W487" s="1" t="b">
        <v>0</v>
      </c>
      <c r="X487" s="1" t="b">
        <v>0</v>
      </c>
      <c r="Y487" s="1">
        <v>0</v>
      </c>
    </row>
    <row r="488" spans="1:25" x14ac:dyDescent="0.35">
      <c r="A488" s="1" t="s">
        <v>1028</v>
      </c>
      <c r="B488" s="1" t="s">
        <v>18</v>
      </c>
      <c r="C488" s="1" t="s">
        <v>19</v>
      </c>
      <c r="D488" s="1" t="s">
        <v>11</v>
      </c>
      <c r="E488" s="1">
        <v>460</v>
      </c>
      <c r="F488" s="4">
        <v>15000000</v>
      </c>
      <c r="G488" s="4">
        <v>32608</v>
      </c>
      <c r="H488" s="1">
        <v>1</v>
      </c>
      <c r="I488" s="1">
        <v>1</v>
      </c>
      <c r="J488" s="1">
        <v>29</v>
      </c>
      <c r="K488" s="1" t="s">
        <v>4</v>
      </c>
      <c r="L488" s="1" t="s">
        <v>1029</v>
      </c>
      <c r="M488" s="1">
        <v>7</v>
      </c>
      <c r="N488" s="1">
        <v>8</v>
      </c>
      <c r="O488" s="1">
        <v>46827</v>
      </c>
      <c r="P488" s="1">
        <v>3.75</v>
      </c>
      <c r="Q488" s="1" t="s">
        <v>6</v>
      </c>
      <c r="R488" s="3">
        <v>0.43729999999999997</v>
      </c>
      <c r="S488" s="2">
        <v>45521</v>
      </c>
      <c r="T488" s="1">
        <v>28</v>
      </c>
      <c r="U488" s="1" t="s">
        <v>7</v>
      </c>
      <c r="V488" s="1">
        <v>105</v>
      </c>
      <c r="W488" s="1" t="b">
        <v>0</v>
      </c>
      <c r="X488" s="1" t="b">
        <v>1</v>
      </c>
      <c r="Y488" s="1">
        <v>0</v>
      </c>
    </row>
    <row r="489" spans="1:25" x14ac:dyDescent="0.35">
      <c r="A489" s="1" t="s">
        <v>1030</v>
      </c>
      <c r="B489" s="1" t="s">
        <v>1</v>
      </c>
      <c r="C489" s="1" t="s">
        <v>2</v>
      </c>
      <c r="D489" s="1" t="s">
        <v>11</v>
      </c>
      <c r="E489" s="1">
        <v>515</v>
      </c>
      <c r="F489" s="4">
        <v>10000000</v>
      </c>
      <c r="G489" s="4">
        <v>19417</v>
      </c>
      <c r="H489" s="1">
        <v>1</v>
      </c>
      <c r="I489" s="1">
        <v>1</v>
      </c>
      <c r="J489" s="1">
        <v>2</v>
      </c>
      <c r="K489" s="1" t="s">
        <v>58</v>
      </c>
      <c r="L489" s="1" t="s">
        <v>1031</v>
      </c>
      <c r="M489" s="1">
        <v>3</v>
      </c>
      <c r="N489" s="1">
        <v>4</v>
      </c>
      <c r="O489" s="1">
        <v>34424</v>
      </c>
      <c r="P489" s="1">
        <v>4.13</v>
      </c>
      <c r="Q489" s="1" t="s">
        <v>6</v>
      </c>
      <c r="R489" s="3">
        <v>0.45649999999999996</v>
      </c>
      <c r="S489" s="2">
        <v>45449</v>
      </c>
      <c r="T489" s="1">
        <v>300</v>
      </c>
      <c r="U489" s="1" t="s">
        <v>7</v>
      </c>
      <c r="V489" s="1">
        <v>61</v>
      </c>
      <c r="W489" s="1" t="b">
        <v>1</v>
      </c>
      <c r="X489" s="1" t="b">
        <v>1</v>
      </c>
      <c r="Y489" s="1">
        <v>20000</v>
      </c>
    </row>
    <row r="490" spans="1:25" x14ac:dyDescent="0.35">
      <c r="A490" s="1" t="s">
        <v>1032</v>
      </c>
      <c r="B490" s="1" t="s">
        <v>32</v>
      </c>
      <c r="C490" s="1" t="s">
        <v>194</v>
      </c>
      <c r="D490" s="1" t="s">
        <v>11</v>
      </c>
      <c r="E490" s="1">
        <v>319</v>
      </c>
      <c r="F490" s="4">
        <v>12000000</v>
      </c>
      <c r="G490" s="4">
        <v>37617</v>
      </c>
      <c r="H490" s="1">
        <v>0</v>
      </c>
      <c r="I490" s="1">
        <v>1</v>
      </c>
      <c r="J490" s="1">
        <v>9</v>
      </c>
      <c r="K490" s="1" t="s">
        <v>28</v>
      </c>
      <c r="L490" s="1" t="s">
        <v>1033</v>
      </c>
      <c r="M490" s="1">
        <v>8</v>
      </c>
      <c r="N490" s="1">
        <v>5</v>
      </c>
      <c r="O490" s="1">
        <v>47597</v>
      </c>
      <c r="P490" s="1">
        <v>4.76</v>
      </c>
      <c r="Q490" s="1" t="s">
        <v>6</v>
      </c>
      <c r="R490" s="3">
        <v>0.48799999999999999</v>
      </c>
      <c r="S490" s="2">
        <v>45624</v>
      </c>
      <c r="T490" s="1">
        <v>243</v>
      </c>
      <c r="U490" s="1" t="s">
        <v>7</v>
      </c>
      <c r="V490" s="1">
        <v>56</v>
      </c>
      <c r="W490" s="1" t="b">
        <v>1</v>
      </c>
      <c r="X490" s="1" t="b">
        <v>0</v>
      </c>
      <c r="Y490" s="1">
        <v>0</v>
      </c>
    </row>
    <row r="491" spans="1:25" x14ac:dyDescent="0.35">
      <c r="A491" s="1" t="s">
        <v>1034</v>
      </c>
      <c r="B491" s="1" t="s">
        <v>9</v>
      </c>
      <c r="C491" s="1" t="s">
        <v>189</v>
      </c>
      <c r="D491" s="1" t="s">
        <v>20</v>
      </c>
      <c r="E491" s="1">
        <v>3157</v>
      </c>
      <c r="F491" s="4">
        <v>50000000</v>
      </c>
      <c r="G491" s="4">
        <v>15837</v>
      </c>
      <c r="H491" s="1">
        <v>5</v>
      </c>
      <c r="I491" s="1">
        <v>2</v>
      </c>
      <c r="J491" s="1">
        <v>26</v>
      </c>
      <c r="K491" s="1" t="s">
        <v>58</v>
      </c>
      <c r="L491" s="1" t="s">
        <v>1035</v>
      </c>
      <c r="M491" s="1">
        <v>4</v>
      </c>
      <c r="N491" s="1">
        <v>9</v>
      </c>
      <c r="O491" s="1">
        <v>178016</v>
      </c>
      <c r="P491" s="1">
        <v>4.2699999999999996</v>
      </c>
      <c r="Q491" s="1" t="s">
        <v>14</v>
      </c>
      <c r="R491" s="3">
        <v>0.46360000000000001</v>
      </c>
      <c r="S491" s="2">
        <v>45967</v>
      </c>
      <c r="T491" s="1">
        <v>88</v>
      </c>
      <c r="U491" s="1" t="s">
        <v>7</v>
      </c>
      <c r="V491" s="1">
        <v>91</v>
      </c>
      <c r="W491" s="1" t="b">
        <v>1</v>
      </c>
      <c r="X491" s="1" t="b">
        <v>0</v>
      </c>
      <c r="Y491" s="1">
        <v>0</v>
      </c>
    </row>
    <row r="492" spans="1:25" x14ac:dyDescent="0.35">
      <c r="A492" s="1" t="s">
        <v>1036</v>
      </c>
      <c r="B492" s="1" t="s">
        <v>54</v>
      </c>
      <c r="C492" s="1" t="s">
        <v>72</v>
      </c>
      <c r="D492" s="1" t="s">
        <v>3</v>
      </c>
      <c r="E492" s="1">
        <v>2811</v>
      </c>
      <c r="F492" s="4">
        <v>40000000</v>
      </c>
      <c r="G492" s="4">
        <v>14229</v>
      </c>
      <c r="H492" s="1">
        <v>4</v>
      </c>
      <c r="I492" s="1">
        <v>3</v>
      </c>
      <c r="J492" s="1">
        <v>21</v>
      </c>
      <c r="K492" s="1" t="s">
        <v>21</v>
      </c>
      <c r="L492" s="1" t="s">
        <v>1037</v>
      </c>
      <c r="M492" s="1">
        <v>5</v>
      </c>
      <c r="N492" s="1">
        <v>4</v>
      </c>
      <c r="O492" s="1">
        <v>118894</v>
      </c>
      <c r="P492" s="1">
        <v>3.57</v>
      </c>
      <c r="Q492" s="1" t="s">
        <v>14</v>
      </c>
      <c r="R492" s="3">
        <v>0.42829999999999996</v>
      </c>
      <c r="S492" s="2">
        <v>46033</v>
      </c>
      <c r="T492" s="1">
        <v>156</v>
      </c>
      <c r="U492" s="1" t="s">
        <v>7</v>
      </c>
      <c r="V492" s="1">
        <v>178</v>
      </c>
      <c r="W492" s="1" t="b">
        <v>1</v>
      </c>
      <c r="X492" s="1" t="b">
        <v>0</v>
      </c>
      <c r="Y492" s="1">
        <v>80000</v>
      </c>
    </row>
    <row r="493" spans="1:25" x14ac:dyDescent="0.35">
      <c r="A493" s="1" t="s">
        <v>1038</v>
      </c>
      <c r="B493" s="1" t="s">
        <v>54</v>
      </c>
      <c r="C493" s="1" t="s">
        <v>55</v>
      </c>
      <c r="D493" s="1" t="s">
        <v>11</v>
      </c>
      <c r="E493" s="1">
        <v>484</v>
      </c>
      <c r="F493" s="4">
        <v>40000000</v>
      </c>
      <c r="G493" s="4">
        <v>82644</v>
      </c>
      <c r="H493" s="1">
        <v>1</v>
      </c>
      <c r="I493" s="1">
        <v>1</v>
      </c>
      <c r="J493" s="1">
        <v>5</v>
      </c>
      <c r="K493" s="1" t="s">
        <v>21</v>
      </c>
      <c r="L493" s="1" t="s">
        <v>1039</v>
      </c>
      <c r="M493" s="1">
        <v>5</v>
      </c>
      <c r="N493" s="1">
        <v>9</v>
      </c>
      <c r="O493" s="1">
        <v>111633</v>
      </c>
      <c r="P493" s="1">
        <v>3.35</v>
      </c>
      <c r="Q493" s="1" t="s">
        <v>14</v>
      </c>
      <c r="R493" s="3">
        <v>0.41739999999999999</v>
      </c>
      <c r="S493" s="2">
        <v>46001</v>
      </c>
      <c r="T493" s="1">
        <v>174</v>
      </c>
      <c r="U493" s="1" t="s">
        <v>7</v>
      </c>
      <c r="V493" s="1">
        <v>174</v>
      </c>
      <c r="W493" s="1" t="b">
        <v>0</v>
      </c>
      <c r="X493" s="1" t="b">
        <v>1</v>
      </c>
      <c r="Y493" s="1">
        <v>0</v>
      </c>
    </row>
    <row r="494" spans="1:25" x14ac:dyDescent="0.35">
      <c r="A494" s="1" t="s">
        <v>1040</v>
      </c>
      <c r="B494" s="1" t="s">
        <v>1</v>
      </c>
      <c r="C494" s="1" t="s">
        <v>97</v>
      </c>
      <c r="D494" s="1" t="s">
        <v>11</v>
      </c>
      <c r="E494" s="1">
        <v>284</v>
      </c>
      <c r="F494" s="4">
        <v>10000000</v>
      </c>
      <c r="G494" s="4">
        <v>35211</v>
      </c>
      <c r="H494" s="1">
        <v>1</v>
      </c>
      <c r="I494" s="1">
        <v>2</v>
      </c>
      <c r="J494" s="1">
        <v>30</v>
      </c>
      <c r="K494" s="1" t="s">
        <v>12</v>
      </c>
      <c r="L494" s="1" t="s">
        <v>1041</v>
      </c>
      <c r="M494" s="1">
        <v>6</v>
      </c>
      <c r="N494" s="1">
        <v>10</v>
      </c>
      <c r="O494" s="1">
        <v>38831</v>
      </c>
      <c r="P494" s="1">
        <v>4.66</v>
      </c>
      <c r="Q494" s="1" t="s">
        <v>6</v>
      </c>
      <c r="R494" s="3">
        <v>0.48299999999999998</v>
      </c>
      <c r="S494" s="2">
        <v>46087</v>
      </c>
      <c r="T494" s="1">
        <v>119</v>
      </c>
      <c r="U494" s="1" t="s">
        <v>7</v>
      </c>
      <c r="V494" s="1">
        <v>70</v>
      </c>
      <c r="W494" s="1" t="b">
        <v>1</v>
      </c>
      <c r="X494" s="1" t="b">
        <v>1</v>
      </c>
      <c r="Y494" s="1">
        <v>0</v>
      </c>
    </row>
    <row r="495" spans="1:25" x14ac:dyDescent="0.35">
      <c r="A495" s="1" t="s">
        <v>1042</v>
      </c>
      <c r="B495" s="1" t="s">
        <v>1</v>
      </c>
      <c r="C495" s="1" t="s">
        <v>48</v>
      </c>
      <c r="D495" s="1" t="s">
        <v>20</v>
      </c>
      <c r="E495" s="1">
        <v>4612</v>
      </c>
      <c r="F495" s="4">
        <v>10000000</v>
      </c>
      <c r="G495" s="4">
        <v>2168</v>
      </c>
      <c r="H495" s="1">
        <v>3</v>
      </c>
      <c r="I495" s="1">
        <v>1</v>
      </c>
      <c r="J495" s="1">
        <v>3</v>
      </c>
      <c r="K495" s="1" t="s">
        <v>34</v>
      </c>
      <c r="L495" s="1" t="s">
        <v>1043</v>
      </c>
      <c r="M495" s="1">
        <v>4</v>
      </c>
      <c r="N495" s="1">
        <v>6</v>
      </c>
      <c r="O495" s="1">
        <v>39113</v>
      </c>
      <c r="P495" s="1">
        <v>4.6900000000000004</v>
      </c>
      <c r="Q495" s="1" t="s">
        <v>6</v>
      </c>
      <c r="R495" s="3">
        <v>0.48469999999999996</v>
      </c>
      <c r="S495" s="2">
        <v>46082</v>
      </c>
      <c r="T495" s="1">
        <v>90</v>
      </c>
      <c r="U495" s="1" t="s">
        <v>7</v>
      </c>
      <c r="V495" s="1">
        <v>37</v>
      </c>
      <c r="W495" s="1" t="b">
        <v>0</v>
      </c>
      <c r="X495" s="1" t="b">
        <v>1</v>
      </c>
      <c r="Y495" s="1">
        <v>0</v>
      </c>
    </row>
    <row r="496" spans="1:25" x14ac:dyDescent="0.35">
      <c r="A496" s="1" t="s">
        <v>1044</v>
      </c>
      <c r="B496" s="1" t="s">
        <v>18</v>
      </c>
      <c r="C496" s="1" t="s">
        <v>217</v>
      </c>
      <c r="D496" s="1" t="s">
        <v>38</v>
      </c>
      <c r="E496" s="1">
        <v>7558</v>
      </c>
      <c r="F496" s="4">
        <v>15000000</v>
      </c>
      <c r="G496" s="4">
        <v>1984</v>
      </c>
      <c r="H496" s="1">
        <v>4</v>
      </c>
      <c r="I496" s="1">
        <v>2</v>
      </c>
      <c r="J496" s="1">
        <v>8</v>
      </c>
      <c r="K496" s="1" t="s">
        <v>21</v>
      </c>
      <c r="L496" s="1" t="s">
        <v>1045</v>
      </c>
      <c r="M496" s="1">
        <v>6</v>
      </c>
      <c r="N496" s="1">
        <v>4</v>
      </c>
      <c r="O496" s="1">
        <v>57716</v>
      </c>
      <c r="P496" s="1">
        <v>4.62</v>
      </c>
      <c r="Q496" s="1" t="s">
        <v>6</v>
      </c>
      <c r="R496" s="3">
        <v>0.48090000000000005</v>
      </c>
      <c r="S496" s="2">
        <v>45960</v>
      </c>
      <c r="T496" s="1">
        <v>105</v>
      </c>
      <c r="U496" s="1" t="s">
        <v>7</v>
      </c>
      <c r="V496" s="1">
        <v>54</v>
      </c>
      <c r="W496" s="1" t="b">
        <v>1</v>
      </c>
      <c r="X496" s="1" t="b">
        <v>1</v>
      </c>
      <c r="Y496" s="1">
        <v>30000</v>
      </c>
    </row>
    <row r="497" spans="1:25" x14ac:dyDescent="0.35">
      <c r="A497" s="1" t="s">
        <v>1046</v>
      </c>
      <c r="B497" s="1" t="s">
        <v>54</v>
      </c>
      <c r="C497" s="1" t="s">
        <v>89</v>
      </c>
      <c r="D497" s="1" t="s">
        <v>38</v>
      </c>
      <c r="E497" s="1">
        <v>7477</v>
      </c>
      <c r="F497" s="4">
        <v>40000000</v>
      </c>
      <c r="G497" s="4">
        <v>5349</v>
      </c>
      <c r="H497" s="1">
        <v>4</v>
      </c>
      <c r="I497" s="1">
        <v>3</v>
      </c>
      <c r="J497" s="1">
        <v>5</v>
      </c>
      <c r="K497" s="1" t="s">
        <v>12</v>
      </c>
      <c r="L497" s="1" t="s">
        <v>1047</v>
      </c>
      <c r="M497" s="1">
        <v>8</v>
      </c>
      <c r="N497" s="1">
        <v>7</v>
      </c>
      <c r="O497" s="1">
        <v>159983</v>
      </c>
      <c r="P497" s="1">
        <v>4.8</v>
      </c>
      <c r="Q497" s="1" t="s">
        <v>14</v>
      </c>
      <c r="R497" s="3">
        <v>0.49</v>
      </c>
      <c r="S497" s="2">
        <v>46015</v>
      </c>
      <c r="T497" s="1">
        <v>321</v>
      </c>
      <c r="U497" s="1" t="s">
        <v>30</v>
      </c>
      <c r="V497" s="1">
        <v>139</v>
      </c>
      <c r="W497" s="1" t="b">
        <v>0</v>
      </c>
      <c r="X497" s="1" t="b">
        <v>1</v>
      </c>
      <c r="Y497" s="1">
        <v>80000</v>
      </c>
    </row>
    <row r="498" spans="1:25" x14ac:dyDescent="0.35">
      <c r="A498" s="1" t="s">
        <v>1048</v>
      </c>
      <c r="B498" s="1" t="s">
        <v>25</v>
      </c>
      <c r="C498" s="1" t="s">
        <v>37</v>
      </c>
      <c r="D498" s="1" t="s">
        <v>20</v>
      </c>
      <c r="E498" s="1">
        <v>1913</v>
      </c>
      <c r="F498" s="4">
        <v>30000000</v>
      </c>
      <c r="G498" s="4">
        <v>15682</v>
      </c>
      <c r="H498" s="1">
        <v>2</v>
      </c>
      <c r="I498" s="1">
        <v>2</v>
      </c>
      <c r="J498" s="1">
        <v>7</v>
      </c>
      <c r="K498" s="1" t="s">
        <v>28</v>
      </c>
      <c r="L498" s="1" t="s">
        <v>1049</v>
      </c>
      <c r="M498" s="1">
        <v>3</v>
      </c>
      <c r="N498" s="1">
        <v>6</v>
      </c>
      <c r="O498" s="1">
        <v>122030</v>
      </c>
      <c r="P498" s="1">
        <v>4.88</v>
      </c>
      <c r="Q498" s="1" t="s">
        <v>14</v>
      </c>
      <c r="R498" s="3">
        <v>0.49409999999999998</v>
      </c>
      <c r="S498" s="2">
        <v>45899</v>
      </c>
      <c r="T498" s="1">
        <v>81</v>
      </c>
      <c r="U498" s="1" t="s">
        <v>7</v>
      </c>
      <c r="V498" s="1">
        <v>47</v>
      </c>
      <c r="W498" s="1" t="b">
        <v>0</v>
      </c>
      <c r="X498" s="1" t="b">
        <v>1</v>
      </c>
      <c r="Y498" s="1">
        <v>60000</v>
      </c>
    </row>
    <row r="499" spans="1:25" x14ac:dyDescent="0.35">
      <c r="A499" s="1" t="s">
        <v>1050</v>
      </c>
      <c r="B499" s="1" t="s">
        <v>32</v>
      </c>
      <c r="C499" s="1" t="s">
        <v>67</v>
      </c>
      <c r="D499" s="1" t="s">
        <v>38</v>
      </c>
      <c r="E499" s="1">
        <v>5557</v>
      </c>
      <c r="F499" s="4">
        <v>12000000</v>
      </c>
      <c r="G499" s="4">
        <v>2159</v>
      </c>
      <c r="H499" s="1">
        <v>5</v>
      </c>
      <c r="I499" s="1">
        <v>2</v>
      </c>
      <c r="J499" s="1">
        <v>17</v>
      </c>
      <c r="K499" s="1" t="s">
        <v>34</v>
      </c>
      <c r="L499" s="1" t="s">
        <v>1051</v>
      </c>
      <c r="M499" s="1">
        <v>8</v>
      </c>
      <c r="N499" s="1">
        <v>8</v>
      </c>
      <c r="O499" s="1">
        <v>47760</v>
      </c>
      <c r="P499" s="1">
        <v>4.78</v>
      </c>
      <c r="Q499" s="1" t="s">
        <v>6</v>
      </c>
      <c r="R499" s="3">
        <v>0.48880000000000001</v>
      </c>
      <c r="S499" s="2">
        <v>46096</v>
      </c>
      <c r="T499" s="1">
        <v>340</v>
      </c>
      <c r="U499" s="1" t="s">
        <v>7</v>
      </c>
      <c r="V499" s="1">
        <v>114</v>
      </c>
      <c r="W499" s="1" t="b">
        <v>1</v>
      </c>
      <c r="X499" s="1" t="b">
        <v>1</v>
      </c>
      <c r="Y499" s="1">
        <v>0</v>
      </c>
    </row>
    <row r="500" spans="1:25" x14ac:dyDescent="0.35">
      <c r="A500" s="1" t="s">
        <v>1052</v>
      </c>
      <c r="B500" s="1" t="s">
        <v>9</v>
      </c>
      <c r="C500" s="1" t="s">
        <v>109</v>
      </c>
      <c r="D500" s="1" t="s">
        <v>38</v>
      </c>
      <c r="E500" s="1">
        <v>8759</v>
      </c>
      <c r="F500" s="4">
        <v>50000000</v>
      </c>
      <c r="G500" s="4">
        <v>5708</v>
      </c>
      <c r="H500" s="1">
        <v>4</v>
      </c>
      <c r="I500" s="1">
        <v>3</v>
      </c>
      <c r="J500" s="1">
        <v>2</v>
      </c>
      <c r="K500" s="1" t="s">
        <v>58</v>
      </c>
      <c r="L500" s="1" t="s">
        <v>1053</v>
      </c>
      <c r="M500" s="1">
        <v>6</v>
      </c>
      <c r="N500" s="1">
        <v>7</v>
      </c>
      <c r="O500" s="1">
        <v>167300</v>
      </c>
      <c r="P500" s="1">
        <v>4.0199999999999996</v>
      </c>
      <c r="Q500" s="1" t="s">
        <v>14</v>
      </c>
      <c r="R500" s="3">
        <v>0.45079999999999998</v>
      </c>
      <c r="S500" s="2">
        <v>45491</v>
      </c>
      <c r="T500" s="1">
        <v>117</v>
      </c>
      <c r="U500" s="1" t="s">
        <v>7</v>
      </c>
      <c r="V500" s="1">
        <v>107</v>
      </c>
      <c r="W500" s="1" t="b">
        <v>1</v>
      </c>
      <c r="X500" s="1" t="b">
        <v>1</v>
      </c>
      <c r="Y500" s="1">
        <v>100000</v>
      </c>
    </row>
    <row r="501" spans="1:25" x14ac:dyDescent="0.35">
      <c r="A501" s="1" t="s">
        <v>1054</v>
      </c>
      <c r="B501" s="1" t="s">
        <v>25</v>
      </c>
      <c r="C501" s="1" t="s">
        <v>37</v>
      </c>
      <c r="D501" s="1" t="s">
        <v>38</v>
      </c>
      <c r="E501" s="1">
        <v>6107</v>
      </c>
      <c r="F501" s="4">
        <v>30000000</v>
      </c>
      <c r="G501" s="4">
        <v>4912</v>
      </c>
      <c r="H501" s="1">
        <v>6</v>
      </c>
      <c r="I501" s="1">
        <v>3</v>
      </c>
      <c r="J501" s="1">
        <v>17</v>
      </c>
      <c r="K501" s="1" t="s">
        <v>21</v>
      </c>
      <c r="L501" s="1" t="s">
        <v>1055</v>
      </c>
      <c r="M501" s="1">
        <v>6</v>
      </c>
      <c r="N501" s="1">
        <v>6</v>
      </c>
      <c r="O501" s="1">
        <v>80779</v>
      </c>
      <c r="P501" s="1">
        <v>3.23</v>
      </c>
      <c r="Q501" s="1" t="s">
        <v>14</v>
      </c>
      <c r="R501" s="3">
        <v>0.41159999999999997</v>
      </c>
      <c r="S501" s="2">
        <v>46036</v>
      </c>
      <c r="T501" s="1">
        <v>100</v>
      </c>
      <c r="U501" s="1" t="s">
        <v>23</v>
      </c>
      <c r="V501" s="1">
        <v>120</v>
      </c>
      <c r="W501" s="1" t="b">
        <v>0</v>
      </c>
      <c r="X501" s="1" t="b">
        <v>0</v>
      </c>
      <c r="Y501" s="1">
        <v>60000</v>
      </c>
    </row>
    <row r="502" spans="1:25" x14ac:dyDescent="0.35">
      <c r="A502" s="1" t="s">
        <v>1056</v>
      </c>
      <c r="B502" s="1" t="s">
        <v>25</v>
      </c>
      <c r="C502" s="1" t="s">
        <v>82</v>
      </c>
      <c r="D502" s="1" t="s">
        <v>3</v>
      </c>
      <c r="E502" s="1">
        <v>2810</v>
      </c>
      <c r="F502" s="4">
        <v>30000000</v>
      </c>
      <c r="G502" s="4">
        <v>10676</v>
      </c>
      <c r="H502" s="1">
        <v>1</v>
      </c>
      <c r="I502" s="1">
        <v>1</v>
      </c>
      <c r="J502" s="1">
        <v>13</v>
      </c>
      <c r="K502" s="1" t="s">
        <v>28</v>
      </c>
      <c r="L502" s="1" t="s">
        <v>1057</v>
      </c>
      <c r="M502" s="1">
        <v>8</v>
      </c>
      <c r="N502" s="1">
        <v>8</v>
      </c>
      <c r="O502" s="1">
        <v>84029</v>
      </c>
      <c r="P502" s="1">
        <v>3.36</v>
      </c>
      <c r="Q502" s="1" t="s">
        <v>14</v>
      </c>
      <c r="R502" s="3">
        <v>0.41810000000000003</v>
      </c>
      <c r="S502" s="2">
        <v>46112</v>
      </c>
      <c r="T502" s="1">
        <v>150</v>
      </c>
      <c r="U502" s="1" t="s">
        <v>7</v>
      </c>
      <c r="V502" s="1">
        <v>92</v>
      </c>
      <c r="W502" s="1" t="b">
        <v>1</v>
      </c>
      <c r="X502" s="1" t="b">
        <v>0</v>
      </c>
      <c r="Y502" s="1">
        <v>0</v>
      </c>
    </row>
    <row r="503" spans="1:25" x14ac:dyDescent="0.35">
      <c r="A503" s="1" t="s">
        <v>1058</v>
      </c>
      <c r="B503" s="1" t="s">
        <v>1</v>
      </c>
      <c r="C503" s="1" t="s">
        <v>2</v>
      </c>
      <c r="D503" s="1" t="s">
        <v>3</v>
      </c>
      <c r="E503" s="1">
        <v>712</v>
      </c>
      <c r="F503" s="4">
        <v>10000000</v>
      </c>
      <c r="G503" s="4">
        <v>14044</v>
      </c>
      <c r="H503" s="1">
        <v>3</v>
      </c>
      <c r="I503" s="1">
        <v>1</v>
      </c>
      <c r="J503" s="1">
        <v>15</v>
      </c>
      <c r="K503" s="1" t="s">
        <v>4</v>
      </c>
      <c r="L503" s="1" t="s">
        <v>1059</v>
      </c>
      <c r="M503" s="1">
        <v>8</v>
      </c>
      <c r="N503" s="1">
        <v>4</v>
      </c>
      <c r="O503" s="1">
        <v>29458</v>
      </c>
      <c r="P503" s="1">
        <v>3.53</v>
      </c>
      <c r="Q503" s="1" t="s">
        <v>6</v>
      </c>
      <c r="R503" s="3">
        <v>0.42670000000000002</v>
      </c>
      <c r="S503" s="2">
        <v>45442</v>
      </c>
      <c r="T503" s="1">
        <v>178</v>
      </c>
      <c r="U503" s="1" t="s">
        <v>7</v>
      </c>
      <c r="V503" s="1">
        <v>43</v>
      </c>
      <c r="W503" s="1" t="b">
        <v>0</v>
      </c>
      <c r="X503" s="1" t="b">
        <v>0</v>
      </c>
      <c r="Y503" s="1">
        <v>0</v>
      </c>
    </row>
    <row r="504" spans="1:25" x14ac:dyDescent="0.35">
      <c r="A504" s="1" t="s">
        <v>1060</v>
      </c>
      <c r="B504" s="1" t="s">
        <v>9</v>
      </c>
      <c r="C504" s="1" t="s">
        <v>10</v>
      </c>
      <c r="D504" s="1" t="s">
        <v>27</v>
      </c>
      <c r="E504" s="1">
        <v>6267</v>
      </c>
      <c r="F504" s="4">
        <v>50000000</v>
      </c>
      <c r="G504" s="4">
        <v>7978</v>
      </c>
      <c r="H504" s="1">
        <v>4</v>
      </c>
      <c r="I504" s="1">
        <v>3</v>
      </c>
      <c r="J504" s="1">
        <v>23</v>
      </c>
      <c r="K504" s="1" t="s">
        <v>42</v>
      </c>
      <c r="L504" s="1" t="s">
        <v>1061</v>
      </c>
      <c r="M504" s="1">
        <v>7</v>
      </c>
      <c r="N504" s="1">
        <v>10</v>
      </c>
      <c r="O504" s="1">
        <v>162813</v>
      </c>
      <c r="P504" s="1">
        <v>3.91</v>
      </c>
      <c r="Q504" s="1" t="s">
        <v>14</v>
      </c>
      <c r="R504" s="3">
        <v>0.44540000000000002</v>
      </c>
      <c r="S504" s="2">
        <v>46040</v>
      </c>
      <c r="T504" s="1">
        <v>139</v>
      </c>
      <c r="U504" s="1" t="s">
        <v>7</v>
      </c>
      <c r="V504" s="1">
        <v>38</v>
      </c>
      <c r="W504" s="1" t="b">
        <v>0</v>
      </c>
      <c r="X504" s="1" t="b">
        <v>0</v>
      </c>
      <c r="Y504" s="1">
        <v>0</v>
      </c>
    </row>
    <row r="505" spans="1:25" x14ac:dyDescent="0.35">
      <c r="A505" s="1" t="s">
        <v>1062</v>
      </c>
      <c r="B505" s="1" t="s">
        <v>9</v>
      </c>
      <c r="C505" s="1" t="s">
        <v>189</v>
      </c>
      <c r="D505" s="1" t="s">
        <v>20</v>
      </c>
      <c r="E505" s="1">
        <v>5000</v>
      </c>
      <c r="F505" s="4">
        <v>50000000</v>
      </c>
      <c r="G505" s="4">
        <v>10000</v>
      </c>
      <c r="H505" s="1">
        <v>5</v>
      </c>
      <c r="I505" s="1">
        <v>3</v>
      </c>
      <c r="J505" s="1">
        <v>0</v>
      </c>
      <c r="K505" s="1" t="s">
        <v>61</v>
      </c>
      <c r="L505" s="1" t="s">
        <v>1063</v>
      </c>
      <c r="M505" s="1">
        <v>6</v>
      </c>
      <c r="N505" s="1">
        <v>8</v>
      </c>
      <c r="O505" s="1">
        <v>169374</v>
      </c>
      <c r="P505" s="1">
        <v>4.0599999999999996</v>
      </c>
      <c r="Q505" s="1" t="s">
        <v>14</v>
      </c>
      <c r="R505" s="3">
        <v>0.45319999999999999</v>
      </c>
      <c r="S505" s="2">
        <v>45480</v>
      </c>
      <c r="T505" s="1">
        <v>14</v>
      </c>
      <c r="U505" s="1" t="s">
        <v>7</v>
      </c>
      <c r="V505" s="1">
        <v>119</v>
      </c>
      <c r="W505" s="1" t="b">
        <v>0</v>
      </c>
      <c r="X505" s="1" t="b">
        <v>0</v>
      </c>
      <c r="Y505" s="1">
        <v>100000</v>
      </c>
    </row>
    <row r="506" spans="1:25" x14ac:dyDescent="0.35">
      <c r="A506" s="1" t="s">
        <v>1064</v>
      </c>
      <c r="B506" s="1" t="s">
        <v>9</v>
      </c>
      <c r="C506" s="1" t="s">
        <v>163</v>
      </c>
      <c r="D506" s="1" t="s">
        <v>38</v>
      </c>
      <c r="E506" s="1">
        <v>6555</v>
      </c>
      <c r="F506" s="4">
        <v>50000000</v>
      </c>
      <c r="G506" s="4">
        <v>7627</v>
      </c>
      <c r="H506" s="1">
        <v>5</v>
      </c>
      <c r="I506" s="1">
        <v>2</v>
      </c>
      <c r="J506" s="1">
        <v>25</v>
      </c>
      <c r="K506" s="1" t="s">
        <v>42</v>
      </c>
      <c r="L506" s="1" t="s">
        <v>1065</v>
      </c>
      <c r="M506" s="1">
        <v>3</v>
      </c>
      <c r="N506" s="1">
        <v>7</v>
      </c>
      <c r="O506" s="1">
        <v>184935</v>
      </c>
      <c r="P506" s="1">
        <v>4.4400000000000004</v>
      </c>
      <c r="Q506" s="1" t="s">
        <v>14</v>
      </c>
      <c r="R506" s="3">
        <v>0.47189999999999999</v>
      </c>
      <c r="S506" s="2">
        <v>45625</v>
      </c>
      <c r="T506" s="1">
        <v>122</v>
      </c>
      <c r="U506" s="1" t="s">
        <v>7</v>
      </c>
      <c r="V506" s="1">
        <v>149</v>
      </c>
      <c r="W506" s="1" t="b">
        <v>1</v>
      </c>
      <c r="X506" s="1" t="b">
        <v>1</v>
      </c>
      <c r="Y506" s="1">
        <v>0</v>
      </c>
    </row>
    <row r="507" spans="1:25" x14ac:dyDescent="0.35">
      <c r="A507" s="1" t="s">
        <v>1066</v>
      </c>
      <c r="B507" s="1" t="s">
        <v>1</v>
      </c>
      <c r="C507" s="1" t="s">
        <v>97</v>
      </c>
      <c r="D507" s="1" t="s">
        <v>3</v>
      </c>
      <c r="E507" s="1">
        <v>1423</v>
      </c>
      <c r="F507" s="4">
        <v>10000000</v>
      </c>
      <c r="G507" s="4">
        <v>7027</v>
      </c>
      <c r="H507" s="1">
        <v>3</v>
      </c>
      <c r="I507" s="1">
        <v>2</v>
      </c>
      <c r="J507" s="1">
        <v>18</v>
      </c>
      <c r="K507" s="1" t="s">
        <v>28</v>
      </c>
      <c r="L507" s="1" t="s">
        <v>1067</v>
      </c>
      <c r="M507" s="1">
        <v>6</v>
      </c>
      <c r="N507" s="1">
        <v>10</v>
      </c>
      <c r="O507" s="1">
        <v>34474</v>
      </c>
      <c r="P507" s="1">
        <v>4.1399999999999997</v>
      </c>
      <c r="Q507" s="1" t="s">
        <v>6</v>
      </c>
      <c r="R507" s="3">
        <v>0.45679999999999998</v>
      </c>
      <c r="S507" s="2">
        <v>45828</v>
      </c>
      <c r="T507" s="1">
        <v>228</v>
      </c>
      <c r="U507" s="1" t="s">
        <v>30</v>
      </c>
      <c r="V507" s="1">
        <v>75</v>
      </c>
      <c r="W507" s="1" t="b">
        <v>0</v>
      </c>
      <c r="X507" s="1" t="b">
        <v>1</v>
      </c>
      <c r="Y507" s="1">
        <v>0</v>
      </c>
    </row>
    <row r="508" spans="1:25" x14ac:dyDescent="0.35">
      <c r="A508" s="1" t="s">
        <v>1068</v>
      </c>
      <c r="B508" s="1" t="s">
        <v>9</v>
      </c>
      <c r="C508" s="1" t="s">
        <v>114</v>
      </c>
      <c r="D508" s="1" t="s">
        <v>3</v>
      </c>
      <c r="E508" s="1">
        <v>1869</v>
      </c>
      <c r="F508" s="4">
        <v>50000000</v>
      </c>
      <c r="G508" s="4">
        <v>26752</v>
      </c>
      <c r="H508" s="1">
        <v>4</v>
      </c>
      <c r="I508" s="1">
        <v>2</v>
      </c>
      <c r="J508" s="1">
        <v>13</v>
      </c>
      <c r="K508" s="1" t="s">
        <v>12</v>
      </c>
      <c r="L508" s="1" t="s">
        <v>367</v>
      </c>
      <c r="M508" s="1">
        <v>3</v>
      </c>
      <c r="N508" s="1">
        <v>6</v>
      </c>
      <c r="O508" s="1">
        <v>161703</v>
      </c>
      <c r="P508" s="1">
        <v>3.88</v>
      </c>
      <c r="Q508" s="1" t="s">
        <v>14</v>
      </c>
      <c r="R508" s="3">
        <v>0.44400000000000001</v>
      </c>
      <c r="S508" s="2">
        <v>45892</v>
      </c>
      <c r="T508" s="1">
        <v>254</v>
      </c>
      <c r="U508" s="1" t="s">
        <v>30</v>
      </c>
      <c r="V508" s="1">
        <v>96</v>
      </c>
      <c r="W508" s="1" t="b">
        <v>1</v>
      </c>
      <c r="X508" s="1" t="b">
        <v>1</v>
      </c>
      <c r="Y508" s="1">
        <v>100000</v>
      </c>
    </row>
    <row r="509" spans="1:25" x14ac:dyDescent="0.35">
      <c r="A509" s="1" t="s">
        <v>1069</v>
      </c>
      <c r="B509" s="1" t="s">
        <v>25</v>
      </c>
      <c r="C509" s="1" t="s">
        <v>37</v>
      </c>
      <c r="D509" s="1" t="s">
        <v>3</v>
      </c>
      <c r="E509" s="1">
        <v>1353</v>
      </c>
      <c r="F509" s="4">
        <v>30000000</v>
      </c>
      <c r="G509" s="4">
        <v>22172</v>
      </c>
      <c r="H509" s="1">
        <v>1</v>
      </c>
      <c r="I509" s="1">
        <v>1</v>
      </c>
      <c r="J509" s="1">
        <v>5</v>
      </c>
      <c r="K509" s="1" t="s">
        <v>34</v>
      </c>
      <c r="L509" s="1" t="s">
        <v>1070</v>
      </c>
      <c r="M509" s="1">
        <v>8</v>
      </c>
      <c r="N509" s="1">
        <v>4</v>
      </c>
      <c r="O509" s="1">
        <v>75805</v>
      </c>
      <c r="P509" s="1">
        <v>3.03</v>
      </c>
      <c r="Q509" s="1" t="s">
        <v>14</v>
      </c>
      <c r="R509" s="3">
        <v>0.40159999999999996</v>
      </c>
      <c r="S509" s="2">
        <v>45795</v>
      </c>
      <c r="T509" s="1">
        <v>180</v>
      </c>
      <c r="U509" s="1" t="s">
        <v>7</v>
      </c>
      <c r="V509" s="1">
        <v>90</v>
      </c>
      <c r="W509" s="1" t="b">
        <v>1</v>
      </c>
      <c r="X509" s="1" t="b">
        <v>1</v>
      </c>
      <c r="Y509" s="1">
        <v>0</v>
      </c>
    </row>
    <row r="510" spans="1:25" x14ac:dyDescent="0.35">
      <c r="A510" s="1" t="s">
        <v>1071</v>
      </c>
      <c r="B510" s="1" t="s">
        <v>9</v>
      </c>
      <c r="C510" s="1" t="s">
        <v>109</v>
      </c>
      <c r="D510" s="1" t="s">
        <v>3</v>
      </c>
      <c r="E510" s="1">
        <v>1370</v>
      </c>
      <c r="F510" s="4">
        <v>50000000</v>
      </c>
      <c r="G510" s="4">
        <v>36496</v>
      </c>
      <c r="H510" s="1">
        <v>2</v>
      </c>
      <c r="I510" s="1">
        <v>2</v>
      </c>
      <c r="J510" s="1">
        <v>18</v>
      </c>
      <c r="K510" s="1" t="s">
        <v>28</v>
      </c>
      <c r="L510" s="1" t="s">
        <v>1072</v>
      </c>
      <c r="M510" s="1">
        <v>5</v>
      </c>
      <c r="N510" s="1">
        <v>9</v>
      </c>
      <c r="O510" s="1">
        <v>190680</v>
      </c>
      <c r="P510" s="1">
        <v>4.58</v>
      </c>
      <c r="Q510" s="1" t="s">
        <v>14</v>
      </c>
      <c r="R510" s="3">
        <v>0.4788</v>
      </c>
      <c r="S510" s="2">
        <v>45813</v>
      </c>
      <c r="T510" s="1">
        <v>241</v>
      </c>
      <c r="U510" s="1" t="s">
        <v>23</v>
      </c>
      <c r="V510" s="1">
        <v>125</v>
      </c>
      <c r="W510" s="1" t="b">
        <v>0</v>
      </c>
      <c r="X510" s="1" t="b">
        <v>1</v>
      </c>
      <c r="Y510" s="1">
        <v>100000</v>
      </c>
    </row>
    <row r="511" spans="1:25" x14ac:dyDescent="0.35">
      <c r="A511" s="1" t="s">
        <v>1073</v>
      </c>
      <c r="B511" s="1" t="s">
        <v>54</v>
      </c>
      <c r="C511" s="1" t="s">
        <v>64</v>
      </c>
      <c r="D511" s="1" t="s">
        <v>20</v>
      </c>
      <c r="E511" s="1">
        <v>2114</v>
      </c>
      <c r="F511" s="4">
        <v>40000000</v>
      </c>
      <c r="G511" s="4">
        <v>18921</v>
      </c>
      <c r="H511" s="1">
        <v>2</v>
      </c>
      <c r="I511" s="1">
        <v>1</v>
      </c>
      <c r="J511" s="1">
        <v>19</v>
      </c>
      <c r="K511" s="1" t="s">
        <v>21</v>
      </c>
      <c r="L511" s="1" t="s">
        <v>1074</v>
      </c>
      <c r="M511" s="1">
        <v>4</v>
      </c>
      <c r="N511" s="1">
        <v>9</v>
      </c>
      <c r="O511" s="1">
        <v>102173</v>
      </c>
      <c r="P511" s="1">
        <v>3.07</v>
      </c>
      <c r="Q511" s="1" t="s">
        <v>14</v>
      </c>
      <c r="R511" s="3">
        <v>0.40329999999999999</v>
      </c>
      <c r="S511" s="2">
        <v>46003</v>
      </c>
      <c r="T511" s="1">
        <v>40</v>
      </c>
      <c r="U511" s="1" t="s">
        <v>7</v>
      </c>
      <c r="V511" s="1">
        <v>50</v>
      </c>
      <c r="W511" s="1" t="b">
        <v>1</v>
      </c>
      <c r="X511" s="1" t="b">
        <v>0</v>
      </c>
      <c r="Y511" s="1">
        <v>80000</v>
      </c>
    </row>
    <row r="512" spans="1:25" x14ac:dyDescent="0.35">
      <c r="A512" s="1" t="s">
        <v>1075</v>
      </c>
      <c r="B512" s="1" t="s">
        <v>32</v>
      </c>
      <c r="C512" s="1" t="s">
        <v>33</v>
      </c>
      <c r="D512" s="1" t="s">
        <v>38</v>
      </c>
      <c r="E512" s="1">
        <v>6869</v>
      </c>
      <c r="F512" s="4">
        <v>12000000</v>
      </c>
      <c r="G512" s="4">
        <v>1746</v>
      </c>
      <c r="H512" s="1">
        <v>6</v>
      </c>
      <c r="I512" s="1">
        <v>4</v>
      </c>
      <c r="J512" s="1">
        <v>10</v>
      </c>
      <c r="K512" s="1" t="s">
        <v>12</v>
      </c>
      <c r="L512" s="1" t="s">
        <v>1076</v>
      </c>
      <c r="M512" s="1">
        <v>5</v>
      </c>
      <c r="N512" s="1">
        <v>7</v>
      </c>
      <c r="O512" s="1">
        <v>36296</v>
      </c>
      <c r="P512" s="1">
        <v>3.63</v>
      </c>
      <c r="Q512" s="1" t="s">
        <v>6</v>
      </c>
      <c r="R512" s="3">
        <v>0.43149999999999999</v>
      </c>
      <c r="S512" s="2">
        <v>46038</v>
      </c>
      <c r="T512" s="1">
        <v>186</v>
      </c>
      <c r="U512" s="1" t="s">
        <v>30</v>
      </c>
      <c r="V512" s="1">
        <v>134</v>
      </c>
      <c r="W512" s="1" t="b">
        <v>1</v>
      </c>
      <c r="X512" s="1" t="b">
        <v>0</v>
      </c>
      <c r="Y512" s="1">
        <v>24000</v>
      </c>
    </row>
    <row r="513" spans="1:25" x14ac:dyDescent="0.35">
      <c r="A513" s="1" t="s">
        <v>1077</v>
      </c>
      <c r="B513" s="1" t="s">
        <v>54</v>
      </c>
      <c r="C513" s="1" t="s">
        <v>104</v>
      </c>
      <c r="D513" s="1" t="s">
        <v>11</v>
      </c>
      <c r="E513" s="1">
        <v>559</v>
      </c>
      <c r="F513" s="4">
        <v>40000000</v>
      </c>
      <c r="G513" s="4">
        <v>71556</v>
      </c>
      <c r="H513" s="1">
        <v>0</v>
      </c>
      <c r="I513" s="1">
        <v>2</v>
      </c>
      <c r="J513" s="1">
        <v>25</v>
      </c>
      <c r="K513" s="1" t="s">
        <v>61</v>
      </c>
      <c r="L513" s="1" t="s">
        <v>1078</v>
      </c>
      <c r="M513" s="1">
        <v>6</v>
      </c>
      <c r="N513" s="1">
        <v>4</v>
      </c>
      <c r="O513" s="1">
        <v>153057</v>
      </c>
      <c r="P513" s="1">
        <v>4.59</v>
      </c>
      <c r="Q513" s="1" t="s">
        <v>14</v>
      </c>
      <c r="R513" s="3">
        <v>0.47960000000000003</v>
      </c>
      <c r="S513" s="2">
        <v>45807</v>
      </c>
      <c r="T513" s="1">
        <v>216</v>
      </c>
      <c r="U513" s="1" t="s">
        <v>7</v>
      </c>
      <c r="V513" s="1">
        <v>134</v>
      </c>
      <c r="W513" s="1" t="b">
        <v>1</v>
      </c>
      <c r="X513" s="1" t="b">
        <v>0</v>
      </c>
      <c r="Y513" s="1">
        <v>80000</v>
      </c>
    </row>
    <row r="514" spans="1:25" x14ac:dyDescent="0.35">
      <c r="A514" s="1" t="s">
        <v>1079</v>
      </c>
      <c r="B514" s="1" t="s">
        <v>25</v>
      </c>
      <c r="C514" s="1" t="s">
        <v>94</v>
      </c>
      <c r="D514" s="1" t="s">
        <v>3</v>
      </c>
      <c r="E514" s="1">
        <v>1083</v>
      </c>
      <c r="F514" s="4">
        <v>30000000</v>
      </c>
      <c r="G514" s="4">
        <v>27700</v>
      </c>
      <c r="H514" s="1">
        <v>1</v>
      </c>
      <c r="I514" s="1">
        <v>2</v>
      </c>
      <c r="J514" s="1">
        <v>8</v>
      </c>
      <c r="K514" s="1" t="s">
        <v>61</v>
      </c>
      <c r="L514" s="1" t="s">
        <v>1080</v>
      </c>
      <c r="M514" s="1">
        <v>7</v>
      </c>
      <c r="N514" s="1">
        <v>7</v>
      </c>
      <c r="O514" s="1">
        <v>81618</v>
      </c>
      <c r="P514" s="1">
        <v>3.26</v>
      </c>
      <c r="Q514" s="1" t="s">
        <v>14</v>
      </c>
      <c r="R514" s="3">
        <v>0.41320000000000001</v>
      </c>
      <c r="S514" s="2">
        <v>45614</v>
      </c>
      <c r="T514" s="1">
        <v>66</v>
      </c>
      <c r="U514" s="1" t="s">
        <v>23</v>
      </c>
      <c r="V514" s="1">
        <v>120</v>
      </c>
      <c r="W514" s="1" t="b">
        <v>0</v>
      </c>
      <c r="X514" s="1" t="b">
        <v>1</v>
      </c>
      <c r="Y514" s="1">
        <v>0</v>
      </c>
    </row>
    <row r="515" spans="1:25" x14ac:dyDescent="0.35">
      <c r="A515" s="1" t="s">
        <v>1081</v>
      </c>
      <c r="B515" s="1" t="s">
        <v>9</v>
      </c>
      <c r="C515" s="1" t="s">
        <v>163</v>
      </c>
      <c r="D515" s="1" t="s">
        <v>20</v>
      </c>
      <c r="E515" s="1">
        <v>3922</v>
      </c>
      <c r="F515" s="4">
        <v>50000000</v>
      </c>
      <c r="G515" s="4">
        <v>12748</v>
      </c>
      <c r="H515" s="1">
        <v>2</v>
      </c>
      <c r="I515" s="1">
        <v>1</v>
      </c>
      <c r="J515" s="1">
        <v>2</v>
      </c>
      <c r="K515" s="1" t="s">
        <v>61</v>
      </c>
      <c r="L515" s="1" t="s">
        <v>1082</v>
      </c>
      <c r="M515" s="1">
        <v>8</v>
      </c>
      <c r="N515" s="1">
        <v>8</v>
      </c>
      <c r="O515" s="1">
        <v>185308</v>
      </c>
      <c r="P515" s="1">
        <v>4.45</v>
      </c>
      <c r="Q515" s="1" t="s">
        <v>14</v>
      </c>
      <c r="R515" s="3">
        <v>0.47240000000000004</v>
      </c>
      <c r="S515" s="2">
        <v>45553</v>
      </c>
      <c r="T515" s="1">
        <v>78</v>
      </c>
      <c r="U515" s="1" t="s">
        <v>23</v>
      </c>
      <c r="V515" s="1">
        <v>51</v>
      </c>
      <c r="W515" s="1" t="b">
        <v>1</v>
      </c>
      <c r="X515" s="1" t="b">
        <v>0</v>
      </c>
      <c r="Y515" s="1">
        <v>0</v>
      </c>
    </row>
    <row r="516" spans="1:25" x14ac:dyDescent="0.35">
      <c r="A516" s="1" t="s">
        <v>1083</v>
      </c>
      <c r="B516" s="1" t="s">
        <v>18</v>
      </c>
      <c r="C516" s="1" t="s">
        <v>139</v>
      </c>
      <c r="D516" s="1" t="s">
        <v>11</v>
      </c>
      <c r="E516" s="1">
        <v>340</v>
      </c>
      <c r="F516" s="4">
        <v>15000000</v>
      </c>
      <c r="G516" s="4">
        <v>44117</v>
      </c>
      <c r="H516" s="1">
        <v>1</v>
      </c>
      <c r="I516" s="1">
        <v>1</v>
      </c>
      <c r="J516" s="1">
        <v>7</v>
      </c>
      <c r="K516" s="1" t="s">
        <v>21</v>
      </c>
      <c r="L516" s="1" t="s">
        <v>1084</v>
      </c>
      <c r="M516" s="1">
        <v>5</v>
      </c>
      <c r="N516" s="1">
        <v>4</v>
      </c>
      <c r="O516" s="1">
        <v>47101</v>
      </c>
      <c r="P516" s="1">
        <v>3.77</v>
      </c>
      <c r="Q516" s="1" t="s">
        <v>6</v>
      </c>
      <c r="R516" s="3">
        <v>0.43840000000000001</v>
      </c>
      <c r="S516" s="2">
        <v>45974</v>
      </c>
      <c r="T516" s="1">
        <v>221</v>
      </c>
      <c r="U516" s="1" t="s">
        <v>23</v>
      </c>
      <c r="V516" s="1">
        <v>83</v>
      </c>
      <c r="W516" s="1" t="b">
        <v>0</v>
      </c>
      <c r="X516" s="1" t="b">
        <v>0</v>
      </c>
      <c r="Y516" s="1">
        <v>30000</v>
      </c>
    </row>
    <row r="517" spans="1:25" x14ac:dyDescent="0.35">
      <c r="A517" s="1" t="s">
        <v>1085</v>
      </c>
      <c r="B517" s="1" t="s">
        <v>54</v>
      </c>
      <c r="C517" s="1" t="s">
        <v>72</v>
      </c>
      <c r="D517" s="1" t="s">
        <v>27</v>
      </c>
      <c r="E517" s="1">
        <v>2971</v>
      </c>
      <c r="F517" s="4">
        <v>40000000</v>
      </c>
      <c r="G517" s="4">
        <v>13463</v>
      </c>
      <c r="H517" s="1">
        <v>5</v>
      </c>
      <c r="I517" s="1">
        <v>3</v>
      </c>
      <c r="J517" s="1">
        <v>15</v>
      </c>
      <c r="K517" s="1" t="s">
        <v>4</v>
      </c>
      <c r="L517" s="1" t="s">
        <v>1086</v>
      </c>
      <c r="M517" s="1">
        <v>6</v>
      </c>
      <c r="N517" s="1">
        <v>8</v>
      </c>
      <c r="O517" s="1">
        <v>109400</v>
      </c>
      <c r="P517" s="1">
        <v>3.28</v>
      </c>
      <c r="Q517" s="1" t="s">
        <v>14</v>
      </c>
      <c r="R517" s="3">
        <v>0.41409999999999997</v>
      </c>
      <c r="S517" s="2">
        <v>45945</v>
      </c>
      <c r="T517" s="1">
        <v>15</v>
      </c>
      <c r="U517" s="1" t="s">
        <v>7</v>
      </c>
      <c r="V517" s="1">
        <v>73</v>
      </c>
      <c r="W517" s="1" t="b">
        <v>1</v>
      </c>
      <c r="X517" s="1" t="b">
        <v>1</v>
      </c>
      <c r="Y517" s="1">
        <v>80000</v>
      </c>
    </row>
    <row r="518" spans="1:25" x14ac:dyDescent="0.35">
      <c r="A518" s="1" t="s">
        <v>1087</v>
      </c>
      <c r="B518" s="1" t="s">
        <v>18</v>
      </c>
      <c r="C518" s="1" t="s">
        <v>169</v>
      </c>
      <c r="D518" s="1" t="s">
        <v>20</v>
      </c>
      <c r="E518" s="1">
        <v>2332</v>
      </c>
      <c r="F518" s="4">
        <v>15000000</v>
      </c>
      <c r="G518" s="4">
        <v>6432</v>
      </c>
      <c r="H518" s="1">
        <v>4</v>
      </c>
      <c r="I518" s="1">
        <v>3</v>
      </c>
      <c r="J518" s="1">
        <v>23</v>
      </c>
      <c r="K518" s="1" t="s">
        <v>42</v>
      </c>
      <c r="L518" s="1" t="s">
        <v>1088</v>
      </c>
      <c r="M518" s="1">
        <v>6</v>
      </c>
      <c r="N518" s="1">
        <v>6</v>
      </c>
      <c r="O518" s="1">
        <v>49831</v>
      </c>
      <c r="P518" s="1">
        <v>3.99</v>
      </c>
      <c r="Q518" s="1" t="s">
        <v>6</v>
      </c>
      <c r="R518" s="3">
        <v>0.44929999999999998</v>
      </c>
      <c r="S518" s="2">
        <v>46068</v>
      </c>
      <c r="T518" s="1">
        <v>182</v>
      </c>
      <c r="U518" s="1" t="s">
        <v>23</v>
      </c>
      <c r="V518" s="1">
        <v>59</v>
      </c>
      <c r="W518" s="1" t="b">
        <v>1</v>
      </c>
      <c r="X518" s="1" t="b">
        <v>1</v>
      </c>
      <c r="Y518" s="1">
        <v>30000</v>
      </c>
    </row>
    <row r="519" spans="1:25" x14ac:dyDescent="0.35">
      <c r="A519" s="1" t="s">
        <v>1089</v>
      </c>
      <c r="B519" s="1" t="s">
        <v>54</v>
      </c>
      <c r="C519" s="1" t="s">
        <v>55</v>
      </c>
      <c r="D519" s="1" t="s">
        <v>38</v>
      </c>
      <c r="E519" s="1">
        <v>5747</v>
      </c>
      <c r="F519" s="4">
        <v>40000000</v>
      </c>
      <c r="G519" s="4">
        <v>6960</v>
      </c>
      <c r="H519" s="1">
        <v>5</v>
      </c>
      <c r="I519" s="1">
        <v>3</v>
      </c>
      <c r="J519" s="1">
        <v>20</v>
      </c>
      <c r="K519" s="1" t="s">
        <v>28</v>
      </c>
      <c r="L519" s="1" t="s">
        <v>1090</v>
      </c>
      <c r="M519" s="1">
        <v>8</v>
      </c>
      <c r="N519" s="1">
        <v>7</v>
      </c>
      <c r="O519" s="1">
        <v>141819</v>
      </c>
      <c r="P519" s="1">
        <v>4.25</v>
      </c>
      <c r="Q519" s="1" t="s">
        <v>14</v>
      </c>
      <c r="R519" s="3">
        <v>0.46270000000000006</v>
      </c>
      <c r="S519" s="2">
        <v>45905</v>
      </c>
      <c r="T519" s="1">
        <v>345</v>
      </c>
      <c r="U519" s="1" t="s">
        <v>7</v>
      </c>
      <c r="V519" s="1">
        <v>86</v>
      </c>
      <c r="W519" s="1" t="b">
        <v>1</v>
      </c>
      <c r="X519" s="1" t="b">
        <v>0</v>
      </c>
      <c r="Y519" s="1">
        <v>0</v>
      </c>
    </row>
    <row r="520" spans="1:25" x14ac:dyDescent="0.35">
      <c r="A520" s="1" t="s">
        <v>1091</v>
      </c>
      <c r="B520" s="1" t="s">
        <v>25</v>
      </c>
      <c r="C520" s="1" t="s">
        <v>94</v>
      </c>
      <c r="D520" s="1" t="s">
        <v>27</v>
      </c>
      <c r="E520" s="1">
        <v>6069</v>
      </c>
      <c r="F520" s="4">
        <v>30000000</v>
      </c>
      <c r="G520" s="4">
        <v>4943</v>
      </c>
      <c r="H520" s="1">
        <v>5</v>
      </c>
      <c r="I520" s="1">
        <v>2</v>
      </c>
      <c r="J520" s="1">
        <v>6</v>
      </c>
      <c r="K520" s="1" t="s">
        <v>4</v>
      </c>
      <c r="L520" s="1" t="s">
        <v>1092</v>
      </c>
      <c r="M520" s="1">
        <v>8</v>
      </c>
      <c r="N520" s="1">
        <v>7</v>
      </c>
      <c r="O520" s="1">
        <v>76940</v>
      </c>
      <c r="P520" s="1">
        <v>3.08</v>
      </c>
      <c r="Q520" s="1" t="s">
        <v>14</v>
      </c>
      <c r="R520" s="3">
        <v>0.40389999999999998</v>
      </c>
      <c r="S520" s="2">
        <v>45452</v>
      </c>
      <c r="T520" s="1">
        <v>121</v>
      </c>
      <c r="U520" s="1" t="s">
        <v>7</v>
      </c>
      <c r="V520" s="1">
        <v>179</v>
      </c>
      <c r="W520" s="1" t="b">
        <v>0</v>
      </c>
      <c r="X520" s="1" t="b">
        <v>0</v>
      </c>
      <c r="Y520" s="1">
        <v>60000</v>
      </c>
    </row>
    <row r="521" spans="1:25" x14ac:dyDescent="0.35">
      <c r="A521" s="1" t="s">
        <v>1093</v>
      </c>
      <c r="B521" s="1" t="s">
        <v>54</v>
      </c>
      <c r="C521" s="1" t="s">
        <v>55</v>
      </c>
      <c r="D521" s="1" t="s">
        <v>20</v>
      </c>
      <c r="E521" s="1">
        <v>4236</v>
      </c>
      <c r="F521" s="4">
        <v>40000000</v>
      </c>
      <c r="G521" s="4">
        <v>9442</v>
      </c>
      <c r="H521" s="1">
        <v>5</v>
      </c>
      <c r="I521" s="1">
        <v>3</v>
      </c>
      <c r="J521" s="1">
        <v>25</v>
      </c>
      <c r="K521" s="1" t="s">
        <v>21</v>
      </c>
      <c r="L521" s="1" t="s">
        <v>1094</v>
      </c>
      <c r="M521" s="1">
        <v>8</v>
      </c>
      <c r="N521" s="1">
        <v>5</v>
      </c>
      <c r="O521" s="1">
        <v>121693</v>
      </c>
      <c r="P521" s="1">
        <v>3.65</v>
      </c>
      <c r="Q521" s="1" t="s">
        <v>14</v>
      </c>
      <c r="R521" s="3">
        <v>0.4325</v>
      </c>
      <c r="S521" s="2">
        <v>45478</v>
      </c>
      <c r="T521" s="1">
        <v>164</v>
      </c>
      <c r="U521" s="1" t="s">
        <v>7</v>
      </c>
      <c r="V521" s="1">
        <v>148</v>
      </c>
      <c r="W521" s="1" t="b">
        <v>1</v>
      </c>
      <c r="X521" s="1" t="b">
        <v>0</v>
      </c>
      <c r="Y521" s="1">
        <v>0</v>
      </c>
    </row>
    <row r="522" spans="1:25" x14ac:dyDescent="0.35">
      <c r="A522" s="1" t="s">
        <v>1095</v>
      </c>
      <c r="B522" s="1" t="s">
        <v>1</v>
      </c>
      <c r="C522" s="1" t="s">
        <v>303</v>
      </c>
      <c r="D522" s="1" t="s">
        <v>11</v>
      </c>
      <c r="E522" s="1">
        <v>500</v>
      </c>
      <c r="F522" s="4">
        <v>10000000</v>
      </c>
      <c r="G522" s="4">
        <v>20000</v>
      </c>
      <c r="H522" s="1">
        <v>1</v>
      </c>
      <c r="I522" s="1">
        <v>1</v>
      </c>
      <c r="J522" s="1">
        <v>0</v>
      </c>
      <c r="K522" s="1" t="s">
        <v>28</v>
      </c>
      <c r="L522" s="1" t="s">
        <v>1096</v>
      </c>
      <c r="M522" s="1">
        <v>5</v>
      </c>
      <c r="N522" s="1">
        <v>7</v>
      </c>
      <c r="O522" s="1">
        <v>30386</v>
      </c>
      <c r="P522" s="1">
        <v>3.65</v>
      </c>
      <c r="Q522" s="1" t="s">
        <v>6</v>
      </c>
      <c r="R522" s="3">
        <v>0.43229999999999996</v>
      </c>
      <c r="S522" s="2">
        <v>45465</v>
      </c>
      <c r="T522" s="1">
        <v>218</v>
      </c>
      <c r="U522" s="1" t="s">
        <v>7</v>
      </c>
      <c r="V522" s="1">
        <v>143</v>
      </c>
      <c r="W522" s="1" t="b">
        <v>0</v>
      </c>
      <c r="X522" s="1" t="b">
        <v>0</v>
      </c>
      <c r="Y522" s="1">
        <v>20000</v>
      </c>
    </row>
    <row r="523" spans="1:25" x14ac:dyDescent="0.35">
      <c r="A523" s="1" t="s">
        <v>1097</v>
      </c>
      <c r="B523" s="1" t="s">
        <v>54</v>
      </c>
      <c r="C523" s="1" t="s">
        <v>89</v>
      </c>
      <c r="D523" s="1" t="s">
        <v>27</v>
      </c>
      <c r="E523" s="1">
        <v>4783</v>
      </c>
      <c r="F523" s="4">
        <v>40000000</v>
      </c>
      <c r="G523" s="4">
        <v>8362</v>
      </c>
      <c r="H523" s="1">
        <v>3</v>
      </c>
      <c r="I523" s="1">
        <v>2</v>
      </c>
      <c r="J523" s="1">
        <v>14</v>
      </c>
      <c r="K523" s="1" t="s">
        <v>12</v>
      </c>
      <c r="L523" s="1" t="s">
        <v>1098</v>
      </c>
      <c r="M523" s="1">
        <v>6</v>
      </c>
      <c r="N523" s="1">
        <v>4</v>
      </c>
      <c r="O523" s="1">
        <v>135984</v>
      </c>
      <c r="P523" s="1">
        <v>4.08</v>
      </c>
      <c r="Q523" s="1" t="s">
        <v>14</v>
      </c>
      <c r="R523" s="3">
        <v>0.45399999999999996</v>
      </c>
      <c r="S523" s="2">
        <v>46135</v>
      </c>
      <c r="T523" s="1">
        <v>181</v>
      </c>
      <c r="U523" s="1" t="s">
        <v>30</v>
      </c>
      <c r="V523" s="1">
        <v>115</v>
      </c>
      <c r="W523" s="1" t="b">
        <v>1</v>
      </c>
      <c r="X523" s="1" t="b">
        <v>1</v>
      </c>
      <c r="Y523" s="1">
        <v>80000</v>
      </c>
    </row>
    <row r="524" spans="1:25" x14ac:dyDescent="0.35">
      <c r="A524" s="1" t="s">
        <v>1099</v>
      </c>
      <c r="B524" s="1" t="s">
        <v>54</v>
      </c>
      <c r="C524" s="1" t="s">
        <v>79</v>
      </c>
      <c r="D524" s="1" t="s">
        <v>27</v>
      </c>
      <c r="E524" s="1">
        <v>3286</v>
      </c>
      <c r="F524" s="4">
        <v>40000000</v>
      </c>
      <c r="G524" s="4">
        <v>12172</v>
      </c>
      <c r="H524" s="1">
        <v>6</v>
      </c>
      <c r="I524" s="1">
        <v>3</v>
      </c>
      <c r="J524" s="1">
        <v>9</v>
      </c>
      <c r="K524" s="1" t="s">
        <v>4</v>
      </c>
      <c r="L524" s="1" t="s">
        <v>1100</v>
      </c>
      <c r="M524" s="1">
        <v>4</v>
      </c>
      <c r="N524" s="1">
        <v>8</v>
      </c>
      <c r="O524" s="1">
        <v>102404</v>
      </c>
      <c r="P524" s="1">
        <v>3.07</v>
      </c>
      <c r="Q524" s="1" t="s">
        <v>14</v>
      </c>
      <c r="R524" s="3">
        <v>0.40360000000000001</v>
      </c>
      <c r="S524" s="2">
        <v>46136</v>
      </c>
      <c r="T524" s="1">
        <v>257</v>
      </c>
      <c r="U524" s="1" t="s">
        <v>30</v>
      </c>
      <c r="V524" s="1">
        <v>56</v>
      </c>
      <c r="W524" s="1" t="b">
        <v>0</v>
      </c>
      <c r="X524" s="1" t="b">
        <v>0</v>
      </c>
      <c r="Y524" s="1">
        <v>80000</v>
      </c>
    </row>
    <row r="525" spans="1:25" x14ac:dyDescent="0.35">
      <c r="A525" s="1" t="s">
        <v>1101</v>
      </c>
      <c r="B525" s="1" t="s">
        <v>25</v>
      </c>
      <c r="C525" s="1" t="s">
        <v>26</v>
      </c>
      <c r="D525" s="1" t="s">
        <v>20</v>
      </c>
      <c r="E525" s="1">
        <v>1599</v>
      </c>
      <c r="F525" s="4">
        <v>30000000</v>
      </c>
      <c r="G525" s="4">
        <v>18761</v>
      </c>
      <c r="H525" s="1">
        <v>3</v>
      </c>
      <c r="I525" s="1">
        <v>1</v>
      </c>
      <c r="J525" s="1">
        <v>1</v>
      </c>
      <c r="K525" s="1" t="s">
        <v>34</v>
      </c>
      <c r="L525" s="1" t="s">
        <v>1102</v>
      </c>
      <c r="M525" s="1">
        <v>5</v>
      </c>
      <c r="N525" s="1">
        <v>10</v>
      </c>
      <c r="O525" s="1">
        <v>78826</v>
      </c>
      <c r="P525" s="1">
        <v>3.15</v>
      </c>
      <c r="Q525" s="1" t="s">
        <v>14</v>
      </c>
      <c r="R525" s="3">
        <v>0.40770000000000001</v>
      </c>
      <c r="S525" s="2">
        <v>45640</v>
      </c>
      <c r="T525" s="1">
        <v>11</v>
      </c>
      <c r="U525" s="1" t="s">
        <v>30</v>
      </c>
      <c r="V525" s="1">
        <v>136</v>
      </c>
      <c r="W525" s="1" t="b">
        <v>1</v>
      </c>
      <c r="X525" s="1" t="b">
        <v>1</v>
      </c>
      <c r="Y525" s="1">
        <v>60000</v>
      </c>
    </row>
    <row r="526" spans="1:25" x14ac:dyDescent="0.35">
      <c r="A526" s="1" t="s">
        <v>1103</v>
      </c>
      <c r="B526" s="1" t="s">
        <v>1</v>
      </c>
      <c r="C526" s="1" t="s">
        <v>51</v>
      </c>
      <c r="D526" s="1" t="s">
        <v>11</v>
      </c>
      <c r="E526" s="1">
        <v>349</v>
      </c>
      <c r="F526" s="4">
        <v>10000000</v>
      </c>
      <c r="G526" s="4">
        <v>28653</v>
      </c>
      <c r="H526" s="1">
        <v>1</v>
      </c>
      <c r="I526" s="1">
        <v>2</v>
      </c>
      <c r="J526" s="1">
        <v>13</v>
      </c>
      <c r="K526" s="1" t="s">
        <v>42</v>
      </c>
      <c r="L526" s="1" t="s">
        <v>1104</v>
      </c>
      <c r="M526" s="1">
        <v>7</v>
      </c>
      <c r="N526" s="1">
        <v>8</v>
      </c>
      <c r="O526" s="1">
        <v>32158</v>
      </c>
      <c r="P526" s="1">
        <v>3.86</v>
      </c>
      <c r="Q526" s="1" t="s">
        <v>6</v>
      </c>
      <c r="R526" s="3">
        <v>0.44290000000000002</v>
      </c>
      <c r="S526" s="2">
        <v>45929</v>
      </c>
      <c r="T526" s="1">
        <v>248</v>
      </c>
      <c r="U526" s="1" t="s">
        <v>23</v>
      </c>
      <c r="V526" s="1">
        <v>101</v>
      </c>
      <c r="W526" s="1" t="b">
        <v>0</v>
      </c>
      <c r="X526" s="1" t="b">
        <v>1</v>
      </c>
      <c r="Y526" s="1">
        <v>0</v>
      </c>
    </row>
    <row r="527" spans="1:25" x14ac:dyDescent="0.35">
      <c r="A527" s="1" t="s">
        <v>1105</v>
      </c>
      <c r="B527" s="1" t="s">
        <v>9</v>
      </c>
      <c r="C527" s="1" t="s">
        <v>114</v>
      </c>
      <c r="D527" s="1" t="s">
        <v>11</v>
      </c>
      <c r="E527" s="1">
        <v>440</v>
      </c>
      <c r="F527" s="4">
        <v>50000000</v>
      </c>
      <c r="G527" s="4">
        <v>113636</v>
      </c>
      <c r="H527" s="1">
        <v>0</v>
      </c>
      <c r="I527" s="1">
        <v>2</v>
      </c>
      <c r="J527" s="1">
        <v>7</v>
      </c>
      <c r="K527" s="1" t="s">
        <v>34</v>
      </c>
      <c r="L527" s="1" t="s">
        <v>1106</v>
      </c>
      <c r="M527" s="1">
        <v>7</v>
      </c>
      <c r="N527" s="1">
        <v>5</v>
      </c>
      <c r="O527" s="1">
        <v>192473</v>
      </c>
      <c r="P527" s="1">
        <v>4.62</v>
      </c>
      <c r="Q527" s="1" t="s">
        <v>14</v>
      </c>
      <c r="R527" s="3">
        <v>0.48100000000000004</v>
      </c>
      <c r="S527" s="2">
        <v>46071</v>
      </c>
      <c r="T527" s="1">
        <v>251</v>
      </c>
      <c r="U527" s="1" t="s">
        <v>7</v>
      </c>
      <c r="V527" s="1">
        <v>83</v>
      </c>
      <c r="W527" s="1" t="b">
        <v>1</v>
      </c>
      <c r="X527" s="1" t="b">
        <v>1</v>
      </c>
      <c r="Y527" s="1">
        <v>100000</v>
      </c>
    </row>
    <row r="528" spans="1:25" x14ac:dyDescent="0.35">
      <c r="A528" s="1" t="s">
        <v>1107</v>
      </c>
      <c r="B528" s="1" t="s">
        <v>18</v>
      </c>
      <c r="C528" s="1" t="s">
        <v>166</v>
      </c>
      <c r="D528" s="1" t="s">
        <v>11</v>
      </c>
      <c r="E528" s="1">
        <v>517</v>
      </c>
      <c r="F528" s="4">
        <v>15000000</v>
      </c>
      <c r="G528" s="4">
        <v>29013</v>
      </c>
      <c r="H528" s="1">
        <v>0</v>
      </c>
      <c r="I528" s="1">
        <v>1</v>
      </c>
      <c r="J528" s="1">
        <v>24</v>
      </c>
      <c r="K528" s="1" t="s">
        <v>28</v>
      </c>
      <c r="L528" s="1" t="s">
        <v>1108</v>
      </c>
      <c r="M528" s="1">
        <v>6</v>
      </c>
      <c r="N528" s="1">
        <v>6</v>
      </c>
      <c r="O528" s="1">
        <v>51632</v>
      </c>
      <c r="P528" s="1">
        <v>4.13</v>
      </c>
      <c r="Q528" s="1" t="s">
        <v>6</v>
      </c>
      <c r="R528" s="3">
        <v>0.45649999999999996</v>
      </c>
      <c r="S528" s="2">
        <v>45740</v>
      </c>
      <c r="T528" s="1">
        <v>288</v>
      </c>
      <c r="U528" s="1" t="s">
        <v>23</v>
      </c>
      <c r="V528" s="1">
        <v>83</v>
      </c>
      <c r="W528" s="1" t="b">
        <v>0</v>
      </c>
      <c r="X528" s="1" t="b">
        <v>0</v>
      </c>
      <c r="Y528" s="1">
        <v>0</v>
      </c>
    </row>
    <row r="529" spans="1:25" x14ac:dyDescent="0.35">
      <c r="A529" s="1" t="s">
        <v>1109</v>
      </c>
      <c r="B529" s="1" t="s">
        <v>1</v>
      </c>
      <c r="C529" s="1" t="s">
        <v>303</v>
      </c>
      <c r="D529" s="1" t="s">
        <v>20</v>
      </c>
      <c r="E529" s="1">
        <v>3389</v>
      </c>
      <c r="F529" s="4">
        <v>10000000</v>
      </c>
      <c r="G529" s="4">
        <v>2950</v>
      </c>
      <c r="H529" s="1">
        <v>5</v>
      </c>
      <c r="I529" s="1">
        <v>2</v>
      </c>
      <c r="J529" s="1">
        <v>29</v>
      </c>
      <c r="K529" s="1" t="s">
        <v>61</v>
      </c>
      <c r="L529" s="1" t="s">
        <v>1110</v>
      </c>
      <c r="M529" s="1">
        <v>3</v>
      </c>
      <c r="N529" s="1">
        <v>7</v>
      </c>
      <c r="O529" s="1">
        <v>27701</v>
      </c>
      <c r="P529" s="1">
        <v>3.32</v>
      </c>
      <c r="Q529" s="1" t="s">
        <v>6</v>
      </c>
      <c r="R529" s="3">
        <v>0.41619999999999996</v>
      </c>
      <c r="S529" s="2">
        <v>46032</v>
      </c>
      <c r="T529" s="1">
        <v>20</v>
      </c>
      <c r="U529" s="1" t="s">
        <v>7</v>
      </c>
      <c r="V529" s="1">
        <v>59</v>
      </c>
      <c r="W529" s="1" t="b">
        <v>0</v>
      </c>
      <c r="X529" s="1" t="b">
        <v>0</v>
      </c>
      <c r="Y529" s="1">
        <v>20000</v>
      </c>
    </row>
    <row r="530" spans="1:25" x14ac:dyDescent="0.35">
      <c r="A530" s="1" t="s">
        <v>1111</v>
      </c>
      <c r="B530" s="1" t="s">
        <v>1</v>
      </c>
      <c r="C530" s="1" t="s">
        <v>51</v>
      </c>
      <c r="D530" s="1" t="s">
        <v>11</v>
      </c>
      <c r="E530" s="1">
        <v>321</v>
      </c>
      <c r="F530" s="4">
        <v>10000000</v>
      </c>
      <c r="G530" s="4">
        <v>31152</v>
      </c>
      <c r="H530" s="1">
        <v>1</v>
      </c>
      <c r="I530" s="1">
        <v>2</v>
      </c>
      <c r="J530" s="1">
        <v>0</v>
      </c>
      <c r="K530" s="1" t="s">
        <v>34</v>
      </c>
      <c r="L530" s="1" t="s">
        <v>1112</v>
      </c>
      <c r="M530" s="1">
        <v>5</v>
      </c>
      <c r="N530" s="1">
        <v>5</v>
      </c>
      <c r="O530" s="1">
        <v>35251</v>
      </c>
      <c r="P530" s="1">
        <v>4.2300000000000004</v>
      </c>
      <c r="Q530" s="1" t="s">
        <v>6</v>
      </c>
      <c r="R530" s="3">
        <v>0.46149999999999997</v>
      </c>
      <c r="S530" s="2">
        <v>45776</v>
      </c>
      <c r="T530" s="1">
        <v>149</v>
      </c>
      <c r="U530" s="1" t="s">
        <v>7</v>
      </c>
      <c r="V530" s="1">
        <v>66</v>
      </c>
      <c r="W530" s="1" t="b">
        <v>1</v>
      </c>
      <c r="X530" s="1" t="b">
        <v>0</v>
      </c>
      <c r="Y530" s="1">
        <v>0</v>
      </c>
    </row>
    <row r="531" spans="1:25" x14ac:dyDescent="0.35">
      <c r="A531" s="1" t="s">
        <v>1113</v>
      </c>
      <c r="B531" s="1" t="s">
        <v>18</v>
      </c>
      <c r="C531" s="1" t="s">
        <v>19</v>
      </c>
      <c r="D531" s="1" t="s">
        <v>27</v>
      </c>
      <c r="E531" s="1">
        <v>4704</v>
      </c>
      <c r="F531" s="4">
        <v>15000000</v>
      </c>
      <c r="G531" s="4">
        <v>3188</v>
      </c>
      <c r="H531" s="1">
        <v>4</v>
      </c>
      <c r="I531" s="1">
        <v>2</v>
      </c>
      <c r="J531" s="1">
        <v>16</v>
      </c>
      <c r="K531" s="1" t="s">
        <v>28</v>
      </c>
      <c r="L531" s="1" t="s">
        <v>1114</v>
      </c>
      <c r="M531" s="1">
        <v>8</v>
      </c>
      <c r="N531" s="1">
        <v>7</v>
      </c>
      <c r="O531" s="1">
        <v>42191</v>
      </c>
      <c r="P531" s="1">
        <v>3.38</v>
      </c>
      <c r="Q531" s="1" t="s">
        <v>6</v>
      </c>
      <c r="R531" s="3">
        <v>0.41880000000000001</v>
      </c>
      <c r="S531" s="2">
        <v>45446</v>
      </c>
      <c r="T531" s="1">
        <v>49</v>
      </c>
      <c r="U531" s="1" t="s">
        <v>7</v>
      </c>
      <c r="V531" s="1">
        <v>114</v>
      </c>
      <c r="W531" s="1" t="b">
        <v>1</v>
      </c>
      <c r="X531" s="1" t="b">
        <v>0</v>
      </c>
      <c r="Y531" s="1">
        <v>30000</v>
      </c>
    </row>
    <row r="532" spans="1:25" x14ac:dyDescent="0.35">
      <c r="A532" s="1" t="s">
        <v>1115</v>
      </c>
      <c r="B532" s="1" t="s">
        <v>9</v>
      </c>
      <c r="C532" s="1" t="s">
        <v>163</v>
      </c>
      <c r="D532" s="1" t="s">
        <v>38</v>
      </c>
      <c r="E532" s="1">
        <v>4851</v>
      </c>
      <c r="F532" s="4">
        <v>50000000</v>
      </c>
      <c r="G532" s="4">
        <v>10307</v>
      </c>
      <c r="H532" s="1">
        <v>5</v>
      </c>
      <c r="I532" s="1">
        <v>2</v>
      </c>
      <c r="J532" s="1">
        <v>29</v>
      </c>
      <c r="K532" s="1" t="s">
        <v>34</v>
      </c>
      <c r="L532" s="1" t="s">
        <v>1116</v>
      </c>
      <c r="M532" s="1">
        <v>4</v>
      </c>
      <c r="N532" s="1">
        <v>9</v>
      </c>
      <c r="O532" s="1">
        <v>188915</v>
      </c>
      <c r="P532" s="1">
        <v>4.53</v>
      </c>
      <c r="Q532" s="1" t="s">
        <v>14</v>
      </c>
      <c r="R532" s="3">
        <v>0.47670000000000001</v>
      </c>
      <c r="S532" s="2">
        <v>45896</v>
      </c>
      <c r="T532" s="1">
        <v>40</v>
      </c>
      <c r="U532" s="1" t="s">
        <v>7</v>
      </c>
      <c r="V532" s="1">
        <v>81</v>
      </c>
      <c r="W532" s="1" t="b">
        <v>1</v>
      </c>
      <c r="X532" s="1" t="b">
        <v>1</v>
      </c>
      <c r="Y532" s="1">
        <v>100000</v>
      </c>
    </row>
    <row r="533" spans="1:25" x14ac:dyDescent="0.35">
      <c r="A533" s="1" t="s">
        <v>1117</v>
      </c>
      <c r="B533" s="1" t="s">
        <v>54</v>
      </c>
      <c r="C533" s="1" t="s">
        <v>55</v>
      </c>
      <c r="D533" s="1" t="s">
        <v>20</v>
      </c>
      <c r="E533" s="1">
        <v>3808</v>
      </c>
      <c r="F533" s="4">
        <v>40000000</v>
      </c>
      <c r="G533" s="4">
        <v>10504</v>
      </c>
      <c r="H533" s="1">
        <v>2</v>
      </c>
      <c r="I533" s="1">
        <v>1</v>
      </c>
      <c r="J533" s="1">
        <v>25</v>
      </c>
      <c r="K533" s="1" t="s">
        <v>42</v>
      </c>
      <c r="L533" s="1" t="s">
        <v>1118</v>
      </c>
      <c r="M533" s="1">
        <v>7</v>
      </c>
      <c r="N533" s="1">
        <v>4</v>
      </c>
      <c r="O533" s="1">
        <v>100178</v>
      </c>
      <c r="P533" s="1">
        <v>3.01</v>
      </c>
      <c r="Q533" s="1" t="s">
        <v>14</v>
      </c>
      <c r="R533" s="3">
        <v>0.40029999999999999</v>
      </c>
      <c r="S533" s="2">
        <v>45919</v>
      </c>
      <c r="T533" s="1">
        <v>74</v>
      </c>
      <c r="U533" s="1" t="s">
        <v>23</v>
      </c>
      <c r="V533" s="1">
        <v>67</v>
      </c>
      <c r="W533" s="1" t="b">
        <v>1</v>
      </c>
      <c r="X533" s="1" t="b">
        <v>0</v>
      </c>
      <c r="Y533" s="1">
        <v>80000</v>
      </c>
    </row>
    <row r="534" spans="1:25" x14ac:dyDescent="0.35">
      <c r="A534" s="1" t="s">
        <v>1119</v>
      </c>
      <c r="B534" s="1" t="s">
        <v>54</v>
      </c>
      <c r="C534" s="1" t="s">
        <v>64</v>
      </c>
      <c r="D534" s="1" t="s">
        <v>3</v>
      </c>
      <c r="E534" s="1">
        <v>961</v>
      </c>
      <c r="F534" s="4">
        <v>40000000</v>
      </c>
      <c r="G534" s="4">
        <v>41623</v>
      </c>
      <c r="H534" s="1">
        <v>4</v>
      </c>
      <c r="I534" s="1">
        <v>3</v>
      </c>
      <c r="J534" s="1">
        <v>21</v>
      </c>
      <c r="K534" s="1" t="s">
        <v>21</v>
      </c>
      <c r="L534" s="1" t="s">
        <v>1120</v>
      </c>
      <c r="M534" s="1">
        <v>6</v>
      </c>
      <c r="N534" s="1">
        <v>8</v>
      </c>
      <c r="O534" s="1">
        <v>147082</v>
      </c>
      <c r="P534" s="1">
        <v>4.41</v>
      </c>
      <c r="Q534" s="1" t="s">
        <v>14</v>
      </c>
      <c r="R534" s="3">
        <v>0.47060000000000002</v>
      </c>
      <c r="S534" s="2">
        <v>45793</v>
      </c>
      <c r="T534" s="1">
        <v>272</v>
      </c>
      <c r="U534" s="1" t="s">
        <v>7</v>
      </c>
      <c r="V534" s="1">
        <v>111</v>
      </c>
      <c r="W534" s="1" t="b">
        <v>1</v>
      </c>
      <c r="X534" s="1" t="b">
        <v>1</v>
      </c>
      <c r="Y534" s="1">
        <v>80000</v>
      </c>
    </row>
    <row r="535" spans="1:25" x14ac:dyDescent="0.35">
      <c r="A535" s="1" t="s">
        <v>1121</v>
      </c>
      <c r="B535" s="1" t="s">
        <v>1</v>
      </c>
      <c r="C535" s="1" t="s">
        <v>97</v>
      </c>
      <c r="D535" s="1" t="s">
        <v>27</v>
      </c>
      <c r="E535" s="1">
        <v>5581</v>
      </c>
      <c r="F535" s="4">
        <v>10000000</v>
      </c>
      <c r="G535" s="4">
        <v>1791</v>
      </c>
      <c r="H535" s="1">
        <v>6</v>
      </c>
      <c r="I535" s="1">
        <v>4</v>
      </c>
      <c r="J535" s="1">
        <v>22</v>
      </c>
      <c r="K535" s="1" t="s">
        <v>61</v>
      </c>
      <c r="L535" s="1" t="s">
        <v>1122</v>
      </c>
      <c r="M535" s="1">
        <v>5</v>
      </c>
      <c r="N535" s="1">
        <v>6</v>
      </c>
      <c r="O535" s="1">
        <v>31094</v>
      </c>
      <c r="P535" s="1">
        <v>3.73</v>
      </c>
      <c r="Q535" s="1" t="s">
        <v>6</v>
      </c>
      <c r="R535" s="3">
        <v>0.43659999999999999</v>
      </c>
      <c r="S535" s="2">
        <v>45679</v>
      </c>
      <c r="T535" s="1">
        <v>110</v>
      </c>
      <c r="U535" s="1" t="s">
        <v>30</v>
      </c>
      <c r="V535" s="1">
        <v>138</v>
      </c>
      <c r="W535" s="1" t="b">
        <v>1</v>
      </c>
      <c r="X535" s="1" t="b">
        <v>0</v>
      </c>
      <c r="Y535" s="1">
        <v>0</v>
      </c>
    </row>
    <row r="536" spans="1:25" x14ac:dyDescent="0.35">
      <c r="A536" s="1" t="s">
        <v>1123</v>
      </c>
      <c r="B536" s="1" t="s">
        <v>25</v>
      </c>
      <c r="C536" s="1" t="s">
        <v>182</v>
      </c>
      <c r="D536" s="1" t="s">
        <v>3</v>
      </c>
      <c r="E536" s="1">
        <v>1202</v>
      </c>
      <c r="F536" s="4">
        <v>30000000</v>
      </c>
      <c r="G536" s="4">
        <v>24958</v>
      </c>
      <c r="H536" s="1">
        <v>4</v>
      </c>
      <c r="I536" s="1">
        <v>3</v>
      </c>
      <c r="J536" s="1">
        <v>16</v>
      </c>
      <c r="K536" s="1" t="s">
        <v>12</v>
      </c>
      <c r="L536" s="1" t="s">
        <v>1124</v>
      </c>
      <c r="M536" s="1">
        <v>4</v>
      </c>
      <c r="N536" s="1">
        <v>4</v>
      </c>
      <c r="O536" s="1">
        <v>100139</v>
      </c>
      <c r="P536" s="1">
        <v>4.01</v>
      </c>
      <c r="Q536" s="1" t="s">
        <v>14</v>
      </c>
      <c r="R536" s="3">
        <v>0.45030000000000003</v>
      </c>
      <c r="S536" s="2">
        <v>46143</v>
      </c>
      <c r="T536" s="1">
        <v>329</v>
      </c>
      <c r="U536" s="1" t="s">
        <v>30</v>
      </c>
      <c r="V536" s="1">
        <v>100</v>
      </c>
      <c r="W536" s="1" t="b">
        <v>0</v>
      </c>
      <c r="X536" s="1" t="b">
        <v>0</v>
      </c>
      <c r="Y536" s="1">
        <v>60000</v>
      </c>
    </row>
    <row r="537" spans="1:25" x14ac:dyDescent="0.35">
      <c r="A537" s="1" t="s">
        <v>1125</v>
      </c>
      <c r="B537" s="1" t="s">
        <v>1</v>
      </c>
      <c r="C537" s="1" t="s">
        <v>45</v>
      </c>
      <c r="D537" s="1" t="s">
        <v>20</v>
      </c>
      <c r="E537" s="1">
        <v>2623</v>
      </c>
      <c r="F537" s="4">
        <v>10000000</v>
      </c>
      <c r="G537" s="4">
        <v>3812</v>
      </c>
      <c r="H537" s="1">
        <v>2</v>
      </c>
      <c r="I537" s="1">
        <v>1</v>
      </c>
      <c r="J537" s="1">
        <v>27</v>
      </c>
      <c r="K537" s="1" t="s">
        <v>12</v>
      </c>
      <c r="L537" s="1" t="s">
        <v>1126</v>
      </c>
      <c r="M537" s="1">
        <v>8</v>
      </c>
      <c r="N537" s="1">
        <v>5</v>
      </c>
      <c r="O537" s="1">
        <v>39904</v>
      </c>
      <c r="P537" s="1">
        <v>4.79</v>
      </c>
      <c r="Q537" s="1" t="s">
        <v>6</v>
      </c>
      <c r="R537" s="3">
        <v>0.4894</v>
      </c>
      <c r="S537" s="2">
        <v>46000</v>
      </c>
      <c r="T537" s="1">
        <v>43</v>
      </c>
      <c r="U537" s="1" t="s">
        <v>30</v>
      </c>
      <c r="V537" s="1">
        <v>63</v>
      </c>
      <c r="W537" s="1" t="b">
        <v>0</v>
      </c>
      <c r="X537" s="1" t="b">
        <v>1</v>
      </c>
      <c r="Y537" s="1">
        <v>20000</v>
      </c>
    </row>
    <row r="538" spans="1:25" x14ac:dyDescent="0.35">
      <c r="A538" s="1" t="s">
        <v>1127</v>
      </c>
      <c r="B538" s="1" t="s">
        <v>18</v>
      </c>
      <c r="C538" s="1" t="s">
        <v>243</v>
      </c>
      <c r="D538" s="1" t="s">
        <v>3</v>
      </c>
      <c r="E538" s="1">
        <v>1687</v>
      </c>
      <c r="F538" s="4">
        <v>15000000</v>
      </c>
      <c r="G538" s="4">
        <v>8891</v>
      </c>
      <c r="H538" s="1">
        <v>1</v>
      </c>
      <c r="I538" s="1">
        <v>2</v>
      </c>
      <c r="J538" s="1">
        <v>27</v>
      </c>
      <c r="K538" s="1" t="s">
        <v>12</v>
      </c>
      <c r="L538" s="1" t="s">
        <v>1128</v>
      </c>
      <c r="M538" s="1">
        <v>4</v>
      </c>
      <c r="N538" s="1">
        <v>6</v>
      </c>
      <c r="O538" s="1">
        <v>41730</v>
      </c>
      <c r="P538" s="1">
        <v>3.34</v>
      </c>
      <c r="Q538" s="1" t="s">
        <v>6</v>
      </c>
      <c r="R538" s="3">
        <v>0.41689999999999999</v>
      </c>
      <c r="S538" s="2">
        <v>45556</v>
      </c>
      <c r="T538" s="1">
        <v>8</v>
      </c>
      <c r="U538" s="1" t="s">
        <v>30</v>
      </c>
      <c r="V538" s="1">
        <v>162</v>
      </c>
      <c r="W538" s="1" t="b">
        <v>0</v>
      </c>
      <c r="X538" s="1" t="b">
        <v>0</v>
      </c>
      <c r="Y538" s="1">
        <v>30000</v>
      </c>
    </row>
    <row r="539" spans="1:25" x14ac:dyDescent="0.35">
      <c r="A539" s="1" t="s">
        <v>1129</v>
      </c>
      <c r="B539" s="1" t="s">
        <v>9</v>
      </c>
      <c r="C539" s="1" t="s">
        <v>10</v>
      </c>
      <c r="D539" s="1" t="s">
        <v>38</v>
      </c>
      <c r="E539" s="1">
        <v>4208</v>
      </c>
      <c r="F539" s="4">
        <v>50000000</v>
      </c>
      <c r="G539" s="4">
        <v>11882</v>
      </c>
      <c r="H539" s="1">
        <v>6</v>
      </c>
      <c r="I539" s="1">
        <v>4</v>
      </c>
      <c r="J539" s="1">
        <v>2</v>
      </c>
      <c r="K539" s="1" t="s">
        <v>4</v>
      </c>
      <c r="L539" s="1" t="s">
        <v>1130</v>
      </c>
      <c r="M539" s="1">
        <v>4</v>
      </c>
      <c r="N539" s="1">
        <v>10</v>
      </c>
      <c r="O539" s="1">
        <v>159104</v>
      </c>
      <c r="P539" s="1">
        <v>3.82</v>
      </c>
      <c r="Q539" s="1" t="s">
        <v>14</v>
      </c>
      <c r="R539" s="3">
        <v>0.44090000000000001</v>
      </c>
      <c r="S539" s="2">
        <v>45506</v>
      </c>
      <c r="T539" s="1">
        <v>160</v>
      </c>
      <c r="U539" s="1" t="s">
        <v>30</v>
      </c>
      <c r="V539" s="1">
        <v>30</v>
      </c>
      <c r="W539" s="1" t="b">
        <v>0</v>
      </c>
      <c r="X539" s="1" t="b">
        <v>0</v>
      </c>
      <c r="Y539" s="1">
        <v>100000</v>
      </c>
    </row>
    <row r="540" spans="1:25" x14ac:dyDescent="0.35">
      <c r="A540" s="1" t="s">
        <v>1131</v>
      </c>
      <c r="B540" s="1" t="s">
        <v>54</v>
      </c>
      <c r="C540" s="1" t="s">
        <v>89</v>
      </c>
      <c r="D540" s="1" t="s">
        <v>38</v>
      </c>
      <c r="E540" s="1">
        <v>9849</v>
      </c>
      <c r="F540" s="4">
        <v>40000000</v>
      </c>
      <c r="G540" s="4">
        <v>4061</v>
      </c>
      <c r="H540" s="1">
        <v>6</v>
      </c>
      <c r="I540" s="1">
        <v>3</v>
      </c>
      <c r="J540" s="1">
        <v>18</v>
      </c>
      <c r="K540" s="1" t="s">
        <v>61</v>
      </c>
      <c r="L540" s="1" t="s">
        <v>1132</v>
      </c>
      <c r="M540" s="1">
        <v>6</v>
      </c>
      <c r="N540" s="1">
        <v>10</v>
      </c>
      <c r="O540" s="1">
        <v>141774</v>
      </c>
      <c r="P540" s="1">
        <v>4.25</v>
      </c>
      <c r="Q540" s="1" t="s">
        <v>14</v>
      </c>
      <c r="R540" s="3">
        <v>0.46270000000000006</v>
      </c>
      <c r="S540" s="2">
        <v>46136</v>
      </c>
      <c r="T540" s="1">
        <v>112</v>
      </c>
      <c r="U540" s="1" t="s">
        <v>30</v>
      </c>
      <c r="V540" s="1">
        <v>32</v>
      </c>
      <c r="W540" s="1" t="b">
        <v>0</v>
      </c>
      <c r="X540" s="1" t="b">
        <v>0</v>
      </c>
      <c r="Y540" s="1">
        <v>80000</v>
      </c>
    </row>
    <row r="541" spans="1:25" x14ac:dyDescent="0.35">
      <c r="A541" s="1" t="s">
        <v>1133</v>
      </c>
      <c r="B541" s="1" t="s">
        <v>1</v>
      </c>
      <c r="C541" s="1" t="s">
        <v>303</v>
      </c>
      <c r="D541" s="1" t="s">
        <v>20</v>
      </c>
      <c r="E541" s="1">
        <v>4929</v>
      </c>
      <c r="F541" s="4">
        <v>10000000</v>
      </c>
      <c r="G541" s="4">
        <v>2028</v>
      </c>
      <c r="H541" s="1">
        <v>3</v>
      </c>
      <c r="I541" s="1">
        <v>1</v>
      </c>
      <c r="J541" s="1">
        <v>9</v>
      </c>
      <c r="K541" s="1" t="s">
        <v>34</v>
      </c>
      <c r="L541" s="1" t="s">
        <v>1134</v>
      </c>
      <c r="M541" s="1">
        <v>3</v>
      </c>
      <c r="N541" s="1">
        <v>6</v>
      </c>
      <c r="O541" s="1">
        <v>30259</v>
      </c>
      <c r="P541" s="1">
        <v>3.63</v>
      </c>
      <c r="Q541" s="1" t="s">
        <v>6</v>
      </c>
      <c r="R541" s="3">
        <v>0.43159999999999998</v>
      </c>
      <c r="S541" s="2">
        <v>45925</v>
      </c>
      <c r="T541" s="1">
        <v>91</v>
      </c>
      <c r="U541" s="1" t="s">
        <v>30</v>
      </c>
      <c r="V541" s="1">
        <v>81</v>
      </c>
      <c r="W541" s="1" t="b">
        <v>0</v>
      </c>
      <c r="X541" s="1" t="b">
        <v>0</v>
      </c>
      <c r="Y541" s="1">
        <v>0</v>
      </c>
    </row>
    <row r="542" spans="1:25" x14ac:dyDescent="0.35">
      <c r="A542" s="1" t="s">
        <v>1135</v>
      </c>
      <c r="B542" s="1" t="s">
        <v>54</v>
      </c>
      <c r="C542" s="1" t="s">
        <v>64</v>
      </c>
      <c r="D542" s="1" t="s">
        <v>11</v>
      </c>
      <c r="E542" s="1">
        <v>431</v>
      </c>
      <c r="F542" s="4">
        <v>40000000</v>
      </c>
      <c r="G542" s="4">
        <v>92807</v>
      </c>
      <c r="H542" s="1">
        <v>1</v>
      </c>
      <c r="I542" s="1">
        <v>2</v>
      </c>
      <c r="J542" s="1">
        <v>24</v>
      </c>
      <c r="K542" s="1" t="s">
        <v>4</v>
      </c>
      <c r="L542" s="1" t="s">
        <v>1136</v>
      </c>
      <c r="M542" s="1">
        <v>8</v>
      </c>
      <c r="N542" s="1">
        <v>10</v>
      </c>
      <c r="O542" s="1">
        <v>128923</v>
      </c>
      <c r="P542" s="1">
        <v>3.87</v>
      </c>
      <c r="Q542" s="1" t="s">
        <v>14</v>
      </c>
      <c r="R542" s="3">
        <v>0.44340000000000002</v>
      </c>
      <c r="S542" s="2">
        <v>45495</v>
      </c>
      <c r="T542" s="1">
        <v>107</v>
      </c>
      <c r="U542" s="1" t="s">
        <v>30</v>
      </c>
      <c r="V542" s="1">
        <v>103</v>
      </c>
      <c r="W542" s="1" t="b">
        <v>0</v>
      </c>
      <c r="X542" s="1" t="b">
        <v>0</v>
      </c>
      <c r="Y542" s="1">
        <v>80000</v>
      </c>
    </row>
    <row r="543" spans="1:25" x14ac:dyDescent="0.35">
      <c r="A543" s="1" t="s">
        <v>1137</v>
      </c>
      <c r="B543" s="1" t="s">
        <v>32</v>
      </c>
      <c r="C543" s="1" t="s">
        <v>41</v>
      </c>
      <c r="D543" s="1" t="s">
        <v>20</v>
      </c>
      <c r="E543" s="1">
        <v>2393</v>
      </c>
      <c r="F543" s="4">
        <v>12000000</v>
      </c>
      <c r="G543" s="4">
        <v>5014</v>
      </c>
      <c r="H543" s="1">
        <v>5</v>
      </c>
      <c r="I543" s="1">
        <v>3</v>
      </c>
      <c r="J543" s="1">
        <v>1</v>
      </c>
      <c r="K543" s="1" t="s">
        <v>61</v>
      </c>
      <c r="L543" s="1" t="s">
        <v>1138</v>
      </c>
      <c r="M543" s="1">
        <v>3</v>
      </c>
      <c r="N543" s="1">
        <v>8</v>
      </c>
      <c r="O543" s="1">
        <v>36459</v>
      </c>
      <c r="P543" s="1">
        <v>3.65</v>
      </c>
      <c r="Q543" s="1" t="s">
        <v>6</v>
      </c>
      <c r="R543" s="3">
        <v>0.43229999999999996</v>
      </c>
      <c r="S543" s="2">
        <v>45579</v>
      </c>
      <c r="T543" s="1">
        <v>166</v>
      </c>
      <c r="U543" s="1" t="s">
        <v>7</v>
      </c>
      <c r="V543" s="1">
        <v>38</v>
      </c>
      <c r="W543" s="1" t="b">
        <v>1</v>
      </c>
      <c r="X543" s="1" t="b">
        <v>0</v>
      </c>
      <c r="Y543" s="1">
        <v>24000</v>
      </c>
    </row>
    <row r="544" spans="1:25" x14ac:dyDescent="0.35">
      <c r="A544" s="1" t="s">
        <v>1139</v>
      </c>
      <c r="B544" s="1" t="s">
        <v>25</v>
      </c>
      <c r="C544" s="1" t="s">
        <v>94</v>
      </c>
      <c r="D544" s="1" t="s">
        <v>11</v>
      </c>
      <c r="E544" s="1">
        <v>421</v>
      </c>
      <c r="F544" s="4">
        <v>30000000</v>
      </c>
      <c r="G544" s="4">
        <v>71258</v>
      </c>
      <c r="H544" s="1">
        <v>1</v>
      </c>
      <c r="I544" s="1">
        <v>1</v>
      </c>
      <c r="J544" s="1">
        <v>5</v>
      </c>
      <c r="K544" s="1" t="s">
        <v>28</v>
      </c>
      <c r="L544" s="1" t="s">
        <v>1140</v>
      </c>
      <c r="M544" s="1">
        <v>5</v>
      </c>
      <c r="N544" s="1">
        <v>7</v>
      </c>
      <c r="O544" s="1">
        <v>105830</v>
      </c>
      <c r="P544" s="1">
        <v>4.2300000000000004</v>
      </c>
      <c r="Q544" s="1" t="s">
        <v>14</v>
      </c>
      <c r="R544" s="3">
        <v>0.4617</v>
      </c>
      <c r="S544" s="2">
        <v>45549</v>
      </c>
      <c r="T544" s="1">
        <v>243</v>
      </c>
      <c r="U544" s="1" t="s">
        <v>7</v>
      </c>
      <c r="V544" s="1">
        <v>132</v>
      </c>
      <c r="W544" s="1" t="b">
        <v>1</v>
      </c>
      <c r="X544" s="1" t="b">
        <v>0</v>
      </c>
      <c r="Y544" s="1">
        <v>0</v>
      </c>
    </row>
    <row r="545" spans="1:25" x14ac:dyDescent="0.35">
      <c r="A545" s="1" t="s">
        <v>1141</v>
      </c>
      <c r="B545" s="1" t="s">
        <v>32</v>
      </c>
      <c r="C545" s="1" t="s">
        <v>200</v>
      </c>
      <c r="D545" s="1" t="s">
        <v>11</v>
      </c>
      <c r="E545" s="1">
        <v>597</v>
      </c>
      <c r="F545" s="4">
        <v>12000000</v>
      </c>
      <c r="G545" s="4">
        <v>20100</v>
      </c>
      <c r="H545" s="1">
        <v>1</v>
      </c>
      <c r="I545" s="1">
        <v>2</v>
      </c>
      <c r="J545" s="1">
        <v>1</v>
      </c>
      <c r="K545" s="1" t="s">
        <v>34</v>
      </c>
      <c r="L545" s="1" t="s">
        <v>1142</v>
      </c>
      <c r="M545" s="1">
        <v>4</v>
      </c>
      <c r="N545" s="1">
        <v>5</v>
      </c>
      <c r="O545" s="1">
        <v>38015</v>
      </c>
      <c r="P545" s="1">
        <v>3.8</v>
      </c>
      <c r="Q545" s="1" t="s">
        <v>6</v>
      </c>
      <c r="R545" s="3">
        <v>0.44009999999999999</v>
      </c>
      <c r="S545" s="2">
        <v>46127</v>
      </c>
      <c r="T545" s="1">
        <v>306</v>
      </c>
      <c r="U545" s="1" t="s">
        <v>7</v>
      </c>
      <c r="V545" s="1">
        <v>106</v>
      </c>
      <c r="W545" s="1" t="b">
        <v>1</v>
      </c>
      <c r="X545" s="1" t="b">
        <v>1</v>
      </c>
      <c r="Y545" s="1">
        <v>24000</v>
      </c>
    </row>
    <row r="546" spans="1:25" x14ac:dyDescent="0.35">
      <c r="A546" s="1" t="s">
        <v>1143</v>
      </c>
      <c r="B546" s="1" t="s">
        <v>1</v>
      </c>
      <c r="C546" s="1" t="s">
        <v>97</v>
      </c>
      <c r="D546" s="1" t="s">
        <v>3</v>
      </c>
      <c r="E546" s="1">
        <v>770</v>
      </c>
      <c r="F546" s="4">
        <v>10000000</v>
      </c>
      <c r="G546" s="4">
        <v>12987</v>
      </c>
      <c r="H546" s="1">
        <v>3</v>
      </c>
      <c r="I546" s="1">
        <v>1</v>
      </c>
      <c r="J546" s="1">
        <v>25</v>
      </c>
      <c r="K546" s="1" t="s">
        <v>61</v>
      </c>
      <c r="L546" s="1" t="s">
        <v>1144</v>
      </c>
      <c r="M546" s="1">
        <v>5</v>
      </c>
      <c r="N546" s="1">
        <v>5</v>
      </c>
      <c r="O546" s="1">
        <v>27867</v>
      </c>
      <c r="P546" s="1">
        <v>3.34</v>
      </c>
      <c r="Q546" s="1" t="s">
        <v>6</v>
      </c>
      <c r="R546" s="3">
        <v>0.41720000000000002</v>
      </c>
      <c r="S546" s="2">
        <v>45842</v>
      </c>
      <c r="T546" s="1">
        <v>224</v>
      </c>
      <c r="U546" s="1" t="s">
        <v>7</v>
      </c>
      <c r="V546" s="1">
        <v>82</v>
      </c>
      <c r="W546" s="1" t="b">
        <v>1</v>
      </c>
      <c r="X546" s="1" t="b">
        <v>1</v>
      </c>
      <c r="Y546" s="1">
        <v>20000</v>
      </c>
    </row>
    <row r="547" spans="1:25" x14ac:dyDescent="0.35">
      <c r="A547" s="1" t="s">
        <v>1145</v>
      </c>
      <c r="B547" s="1" t="s">
        <v>1</v>
      </c>
      <c r="C547" s="1" t="s">
        <v>51</v>
      </c>
      <c r="D547" s="1" t="s">
        <v>20</v>
      </c>
      <c r="E547" s="1">
        <v>1520</v>
      </c>
      <c r="F547" s="4">
        <v>10000000</v>
      </c>
      <c r="G547" s="4">
        <v>6578</v>
      </c>
      <c r="H547" s="1">
        <v>5</v>
      </c>
      <c r="I547" s="1">
        <v>2</v>
      </c>
      <c r="J547" s="1">
        <v>11</v>
      </c>
      <c r="K547" s="1" t="s">
        <v>4</v>
      </c>
      <c r="L547" s="1" t="s">
        <v>1146</v>
      </c>
      <c r="M547" s="1">
        <v>3</v>
      </c>
      <c r="N547" s="1">
        <v>10</v>
      </c>
      <c r="O547" s="1">
        <v>36140</v>
      </c>
      <c r="P547" s="1">
        <v>4.34</v>
      </c>
      <c r="Q547" s="1" t="s">
        <v>6</v>
      </c>
      <c r="R547" s="3">
        <v>0.46679999999999999</v>
      </c>
      <c r="S547" s="2">
        <v>45682</v>
      </c>
      <c r="T547" s="1">
        <v>199</v>
      </c>
      <c r="U547" s="1" t="s">
        <v>30</v>
      </c>
      <c r="V547" s="1">
        <v>54</v>
      </c>
      <c r="W547" s="1" t="b">
        <v>1</v>
      </c>
      <c r="X547" s="1" t="b">
        <v>0</v>
      </c>
      <c r="Y547" s="1">
        <v>20000</v>
      </c>
    </row>
    <row r="548" spans="1:25" x14ac:dyDescent="0.35">
      <c r="A548" s="1" t="s">
        <v>1147</v>
      </c>
      <c r="B548" s="1" t="s">
        <v>18</v>
      </c>
      <c r="C548" s="1" t="s">
        <v>139</v>
      </c>
      <c r="D548" s="1" t="s">
        <v>20</v>
      </c>
      <c r="E548" s="1">
        <v>4857</v>
      </c>
      <c r="F548" s="4">
        <v>15000000</v>
      </c>
      <c r="G548" s="4">
        <v>3088</v>
      </c>
      <c r="H548" s="1">
        <v>5</v>
      </c>
      <c r="I548" s="1">
        <v>3</v>
      </c>
      <c r="J548" s="1">
        <v>17</v>
      </c>
      <c r="K548" s="1" t="s">
        <v>4</v>
      </c>
      <c r="L548" s="1" t="s">
        <v>1148</v>
      </c>
      <c r="M548" s="1">
        <v>3</v>
      </c>
      <c r="N548" s="1">
        <v>6</v>
      </c>
      <c r="O548" s="1">
        <v>41954</v>
      </c>
      <c r="P548" s="1">
        <v>3.36</v>
      </c>
      <c r="Q548" s="1" t="s">
        <v>6</v>
      </c>
      <c r="R548" s="3">
        <v>0.4178</v>
      </c>
      <c r="S548" s="2">
        <v>45916</v>
      </c>
      <c r="T548" s="1">
        <v>1</v>
      </c>
      <c r="U548" s="1" t="s">
        <v>7</v>
      </c>
      <c r="V548" s="1">
        <v>158</v>
      </c>
      <c r="W548" s="1" t="b">
        <v>0</v>
      </c>
      <c r="X548" s="1" t="b">
        <v>1</v>
      </c>
      <c r="Y548" s="1">
        <v>30000</v>
      </c>
    </row>
    <row r="549" spans="1:25" x14ac:dyDescent="0.35">
      <c r="A549" s="1" t="s">
        <v>1149</v>
      </c>
      <c r="B549" s="1" t="s">
        <v>25</v>
      </c>
      <c r="C549" s="1" t="s">
        <v>94</v>
      </c>
      <c r="D549" s="1" t="s">
        <v>27</v>
      </c>
      <c r="E549" s="1">
        <v>2362</v>
      </c>
      <c r="F549" s="4">
        <v>30000000</v>
      </c>
      <c r="G549" s="4">
        <v>12701</v>
      </c>
      <c r="H549" s="1">
        <v>4</v>
      </c>
      <c r="I549" s="1">
        <v>3</v>
      </c>
      <c r="J549" s="1">
        <v>13</v>
      </c>
      <c r="K549" s="1" t="s">
        <v>21</v>
      </c>
      <c r="L549" s="1" t="s">
        <v>1150</v>
      </c>
      <c r="M549" s="1">
        <v>3</v>
      </c>
      <c r="N549" s="1">
        <v>4</v>
      </c>
      <c r="O549" s="1">
        <v>90554</v>
      </c>
      <c r="P549" s="1">
        <v>3.62</v>
      </c>
      <c r="Q549" s="1" t="s">
        <v>14</v>
      </c>
      <c r="R549" s="3">
        <v>0.43109999999999998</v>
      </c>
      <c r="S549" s="2">
        <v>45465</v>
      </c>
      <c r="T549" s="1">
        <v>216</v>
      </c>
      <c r="U549" s="1" t="s">
        <v>30</v>
      </c>
      <c r="V549" s="1">
        <v>96</v>
      </c>
      <c r="W549" s="1" t="b">
        <v>1</v>
      </c>
      <c r="X549" s="1" t="b">
        <v>1</v>
      </c>
      <c r="Y549" s="1">
        <v>0</v>
      </c>
    </row>
    <row r="550" spans="1:25" x14ac:dyDescent="0.35">
      <c r="A550" s="1" t="s">
        <v>1151</v>
      </c>
      <c r="B550" s="1" t="s">
        <v>1</v>
      </c>
      <c r="C550" s="1" t="s">
        <v>51</v>
      </c>
      <c r="D550" s="1" t="s">
        <v>3</v>
      </c>
      <c r="E550" s="1">
        <v>2304</v>
      </c>
      <c r="F550" s="4">
        <v>10000000</v>
      </c>
      <c r="G550" s="4">
        <v>4340</v>
      </c>
      <c r="H550" s="1">
        <v>1</v>
      </c>
      <c r="I550" s="1">
        <v>2</v>
      </c>
      <c r="J550" s="1">
        <v>21</v>
      </c>
      <c r="K550" s="1" t="s">
        <v>42</v>
      </c>
      <c r="L550" s="1" t="s">
        <v>1152</v>
      </c>
      <c r="M550" s="1">
        <v>8</v>
      </c>
      <c r="N550" s="1">
        <v>10</v>
      </c>
      <c r="O550" s="1">
        <v>35896</v>
      </c>
      <c r="P550" s="1">
        <v>4.3099999999999996</v>
      </c>
      <c r="Q550" s="1" t="s">
        <v>6</v>
      </c>
      <c r="R550" s="3">
        <v>0.46539999999999998</v>
      </c>
      <c r="S550" s="2">
        <v>45470</v>
      </c>
      <c r="T550" s="1">
        <v>156</v>
      </c>
      <c r="U550" s="1" t="s">
        <v>7</v>
      </c>
      <c r="V550" s="1">
        <v>43</v>
      </c>
      <c r="W550" s="1" t="b">
        <v>0</v>
      </c>
      <c r="X550" s="1" t="b">
        <v>0</v>
      </c>
      <c r="Y550" s="1">
        <v>20000</v>
      </c>
    </row>
    <row r="551" spans="1:25" x14ac:dyDescent="0.35">
      <c r="A551" s="1" t="s">
        <v>1153</v>
      </c>
      <c r="B551" s="1" t="s">
        <v>32</v>
      </c>
      <c r="C551" s="1" t="s">
        <v>197</v>
      </c>
      <c r="D551" s="1" t="s">
        <v>38</v>
      </c>
      <c r="E551" s="1">
        <v>6054</v>
      </c>
      <c r="F551" s="4">
        <v>12000000</v>
      </c>
      <c r="G551" s="4">
        <v>1982</v>
      </c>
      <c r="H551" s="1">
        <v>5</v>
      </c>
      <c r="I551" s="1">
        <v>3</v>
      </c>
      <c r="J551" s="1">
        <v>27</v>
      </c>
      <c r="K551" s="1" t="s">
        <v>61</v>
      </c>
      <c r="L551" s="1" t="s">
        <v>1154</v>
      </c>
      <c r="M551" s="1">
        <v>7</v>
      </c>
      <c r="N551" s="1">
        <v>5</v>
      </c>
      <c r="O551" s="1">
        <v>48964</v>
      </c>
      <c r="P551" s="1">
        <v>4.9000000000000004</v>
      </c>
      <c r="Q551" s="1" t="s">
        <v>6</v>
      </c>
      <c r="R551" s="3">
        <v>0.49479999999999996</v>
      </c>
      <c r="S551" s="2">
        <v>45432</v>
      </c>
      <c r="T551" s="1">
        <v>315</v>
      </c>
      <c r="U551" s="1" t="s">
        <v>7</v>
      </c>
      <c r="V551" s="1">
        <v>161</v>
      </c>
      <c r="W551" s="1" t="b">
        <v>0</v>
      </c>
      <c r="X551" s="1" t="b">
        <v>0</v>
      </c>
      <c r="Y551" s="1">
        <v>24000</v>
      </c>
    </row>
    <row r="552" spans="1:25" x14ac:dyDescent="0.35">
      <c r="A552" s="1" t="s">
        <v>1155</v>
      </c>
      <c r="B552" s="1" t="s">
        <v>18</v>
      </c>
      <c r="C552" s="1" t="s">
        <v>139</v>
      </c>
      <c r="D552" s="1" t="s">
        <v>3</v>
      </c>
      <c r="E552" s="1">
        <v>897</v>
      </c>
      <c r="F552" s="4">
        <v>15000000</v>
      </c>
      <c r="G552" s="4">
        <v>16722</v>
      </c>
      <c r="H552" s="1">
        <v>4</v>
      </c>
      <c r="I552" s="1">
        <v>3</v>
      </c>
      <c r="J552" s="1">
        <v>11</v>
      </c>
      <c r="K552" s="1" t="s">
        <v>21</v>
      </c>
      <c r="L552" s="1" t="s">
        <v>784</v>
      </c>
      <c r="M552" s="1">
        <v>3</v>
      </c>
      <c r="N552" s="1">
        <v>5</v>
      </c>
      <c r="O552" s="1">
        <v>44903</v>
      </c>
      <c r="P552" s="1">
        <v>3.59</v>
      </c>
      <c r="Q552" s="1" t="s">
        <v>6</v>
      </c>
      <c r="R552" s="3">
        <v>0.42959999999999998</v>
      </c>
      <c r="S552" s="2">
        <v>46132</v>
      </c>
      <c r="T552" s="1">
        <v>183</v>
      </c>
      <c r="U552" s="1" t="s">
        <v>7</v>
      </c>
      <c r="V552" s="1">
        <v>105</v>
      </c>
      <c r="W552" s="1" t="b">
        <v>0</v>
      </c>
      <c r="X552" s="1" t="b">
        <v>1</v>
      </c>
      <c r="Y552" s="1">
        <v>0</v>
      </c>
    </row>
    <row r="553" spans="1:25" x14ac:dyDescent="0.35">
      <c r="A553" s="1" t="s">
        <v>1156</v>
      </c>
      <c r="B553" s="1" t="s">
        <v>54</v>
      </c>
      <c r="C553" s="1" t="s">
        <v>72</v>
      </c>
      <c r="D553" s="1" t="s">
        <v>3</v>
      </c>
      <c r="E553" s="1">
        <v>2840</v>
      </c>
      <c r="F553" s="4">
        <v>40000000</v>
      </c>
      <c r="G553" s="4">
        <v>14084</v>
      </c>
      <c r="H553" s="1">
        <v>1</v>
      </c>
      <c r="I553" s="1">
        <v>2</v>
      </c>
      <c r="J553" s="1">
        <v>23</v>
      </c>
      <c r="K553" s="1" t="s">
        <v>61</v>
      </c>
      <c r="L553" s="1" t="s">
        <v>1157</v>
      </c>
      <c r="M553" s="1">
        <v>3</v>
      </c>
      <c r="N553" s="1">
        <v>7</v>
      </c>
      <c r="O553" s="1">
        <v>106304</v>
      </c>
      <c r="P553" s="1">
        <v>3.19</v>
      </c>
      <c r="Q553" s="1" t="s">
        <v>14</v>
      </c>
      <c r="R553" s="3">
        <v>0.40950000000000003</v>
      </c>
      <c r="S553" s="2">
        <v>46008</v>
      </c>
      <c r="T553" s="1">
        <v>177</v>
      </c>
      <c r="U553" s="1" t="s">
        <v>30</v>
      </c>
      <c r="V553" s="1">
        <v>100</v>
      </c>
      <c r="W553" s="1" t="b">
        <v>0</v>
      </c>
      <c r="X553" s="1" t="b">
        <v>1</v>
      </c>
      <c r="Y553" s="1">
        <v>0</v>
      </c>
    </row>
    <row r="554" spans="1:25" x14ac:dyDescent="0.35">
      <c r="A554" s="1" t="s">
        <v>1158</v>
      </c>
      <c r="B554" s="1" t="s">
        <v>9</v>
      </c>
      <c r="C554" s="1" t="s">
        <v>189</v>
      </c>
      <c r="D554" s="1" t="s">
        <v>20</v>
      </c>
      <c r="E554" s="1">
        <v>3026</v>
      </c>
      <c r="F554" s="4">
        <v>50000000</v>
      </c>
      <c r="G554" s="4">
        <v>16523</v>
      </c>
      <c r="H554" s="1">
        <v>2</v>
      </c>
      <c r="I554" s="1">
        <v>1</v>
      </c>
      <c r="J554" s="1">
        <v>19</v>
      </c>
      <c r="K554" s="1" t="s">
        <v>28</v>
      </c>
      <c r="L554" s="1" t="s">
        <v>1159</v>
      </c>
      <c r="M554" s="1">
        <v>8</v>
      </c>
      <c r="N554" s="1">
        <v>4</v>
      </c>
      <c r="O554" s="1">
        <v>187230</v>
      </c>
      <c r="P554" s="1">
        <v>4.49</v>
      </c>
      <c r="Q554" s="1" t="s">
        <v>14</v>
      </c>
      <c r="R554" s="3">
        <v>0.47470000000000001</v>
      </c>
      <c r="S554" s="2">
        <v>45488</v>
      </c>
      <c r="T554" s="1">
        <v>60</v>
      </c>
      <c r="U554" s="1" t="s">
        <v>30</v>
      </c>
      <c r="V554" s="1">
        <v>140</v>
      </c>
      <c r="W554" s="1" t="b">
        <v>1</v>
      </c>
      <c r="X554" s="1" t="b">
        <v>0</v>
      </c>
      <c r="Y554" s="1">
        <v>0</v>
      </c>
    </row>
    <row r="555" spans="1:25" x14ac:dyDescent="0.35">
      <c r="A555" s="1" t="s">
        <v>1160</v>
      </c>
      <c r="B555" s="1" t="s">
        <v>32</v>
      </c>
      <c r="C555" s="1" t="s">
        <v>67</v>
      </c>
      <c r="D555" s="1" t="s">
        <v>38</v>
      </c>
      <c r="E555" s="1">
        <v>9997</v>
      </c>
      <c r="F555" s="4">
        <v>12000000</v>
      </c>
      <c r="G555" s="4">
        <v>1200</v>
      </c>
      <c r="H555" s="1">
        <v>4</v>
      </c>
      <c r="I555" s="1">
        <v>2</v>
      </c>
      <c r="J555" s="1">
        <v>11</v>
      </c>
      <c r="K555" s="1" t="s">
        <v>28</v>
      </c>
      <c r="L555" s="1" t="s">
        <v>1161</v>
      </c>
      <c r="M555" s="1">
        <v>7</v>
      </c>
      <c r="N555" s="1">
        <v>4</v>
      </c>
      <c r="O555" s="1">
        <v>48194</v>
      </c>
      <c r="P555" s="1">
        <v>4.82</v>
      </c>
      <c r="Q555" s="1" t="s">
        <v>6</v>
      </c>
      <c r="R555" s="3">
        <v>0.49099999999999999</v>
      </c>
      <c r="S555" s="2">
        <v>45462</v>
      </c>
      <c r="T555" s="1">
        <v>107</v>
      </c>
      <c r="U555" s="1" t="s">
        <v>7</v>
      </c>
      <c r="V555" s="1">
        <v>134</v>
      </c>
      <c r="W555" s="1" t="b">
        <v>1</v>
      </c>
      <c r="X555" s="1" t="b">
        <v>0</v>
      </c>
      <c r="Y555" s="1">
        <v>24000</v>
      </c>
    </row>
    <row r="556" spans="1:25" x14ac:dyDescent="0.35">
      <c r="A556" s="1" t="s">
        <v>1162</v>
      </c>
      <c r="B556" s="1" t="s">
        <v>54</v>
      </c>
      <c r="C556" s="1" t="s">
        <v>72</v>
      </c>
      <c r="D556" s="1" t="s">
        <v>11</v>
      </c>
      <c r="E556" s="1">
        <v>556</v>
      </c>
      <c r="F556" s="4">
        <v>40000000</v>
      </c>
      <c r="G556" s="4">
        <v>71942</v>
      </c>
      <c r="H556" s="1">
        <v>1</v>
      </c>
      <c r="I556" s="1">
        <v>1</v>
      </c>
      <c r="J556" s="1">
        <v>7</v>
      </c>
      <c r="K556" s="1" t="s">
        <v>34</v>
      </c>
      <c r="L556" s="1" t="s">
        <v>1163</v>
      </c>
      <c r="M556" s="1">
        <v>4</v>
      </c>
      <c r="N556" s="1">
        <v>9</v>
      </c>
      <c r="O556" s="1">
        <v>140621</v>
      </c>
      <c r="P556" s="1">
        <v>4.22</v>
      </c>
      <c r="Q556" s="1" t="s">
        <v>14</v>
      </c>
      <c r="R556" s="3">
        <v>0.46090000000000003</v>
      </c>
      <c r="S556" s="2">
        <v>45685</v>
      </c>
      <c r="T556" s="1">
        <v>278</v>
      </c>
      <c r="U556" s="1" t="s">
        <v>7</v>
      </c>
      <c r="V556" s="1">
        <v>114</v>
      </c>
      <c r="W556" s="1" t="b">
        <v>0</v>
      </c>
      <c r="X556" s="1" t="b">
        <v>0</v>
      </c>
      <c r="Y556" s="1">
        <v>80000</v>
      </c>
    </row>
    <row r="557" spans="1:25" x14ac:dyDescent="0.35">
      <c r="A557" s="1" t="s">
        <v>1164</v>
      </c>
      <c r="B557" s="1" t="s">
        <v>54</v>
      </c>
      <c r="C557" s="1" t="s">
        <v>72</v>
      </c>
      <c r="D557" s="1" t="s">
        <v>20</v>
      </c>
      <c r="E557" s="1">
        <v>2918</v>
      </c>
      <c r="F557" s="4">
        <v>40000000</v>
      </c>
      <c r="G557" s="4">
        <v>13708</v>
      </c>
      <c r="H557" s="1">
        <v>5</v>
      </c>
      <c r="I557" s="1">
        <v>2</v>
      </c>
      <c r="J557" s="1">
        <v>14</v>
      </c>
      <c r="K557" s="1" t="s">
        <v>58</v>
      </c>
      <c r="L557" s="1" t="s">
        <v>1165</v>
      </c>
      <c r="M557" s="1">
        <v>8</v>
      </c>
      <c r="N557" s="1">
        <v>9</v>
      </c>
      <c r="O557" s="1">
        <v>137421</v>
      </c>
      <c r="P557" s="1">
        <v>4.12</v>
      </c>
      <c r="Q557" s="1" t="s">
        <v>14</v>
      </c>
      <c r="R557" s="3">
        <v>0.45610000000000001</v>
      </c>
      <c r="S557" s="2">
        <v>45803</v>
      </c>
      <c r="T557" s="1">
        <v>190</v>
      </c>
      <c r="U557" s="1" t="s">
        <v>7</v>
      </c>
      <c r="V557" s="1">
        <v>165</v>
      </c>
      <c r="W557" s="1" t="b">
        <v>0</v>
      </c>
      <c r="X557" s="1" t="b">
        <v>0</v>
      </c>
      <c r="Y557" s="1">
        <v>0</v>
      </c>
    </row>
    <row r="558" spans="1:25" x14ac:dyDescent="0.35">
      <c r="A558" s="1" t="s">
        <v>1166</v>
      </c>
      <c r="B558" s="1" t="s">
        <v>18</v>
      </c>
      <c r="C558" s="1" t="s">
        <v>243</v>
      </c>
      <c r="D558" s="1" t="s">
        <v>11</v>
      </c>
      <c r="E558" s="1">
        <v>265</v>
      </c>
      <c r="F558" s="4">
        <v>15000000</v>
      </c>
      <c r="G558" s="4">
        <v>56603</v>
      </c>
      <c r="H558" s="1">
        <v>0</v>
      </c>
      <c r="I558" s="1">
        <v>1</v>
      </c>
      <c r="J558" s="1">
        <v>19</v>
      </c>
      <c r="K558" s="1" t="s">
        <v>34</v>
      </c>
      <c r="L558" s="1" t="s">
        <v>1167</v>
      </c>
      <c r="M558" s="1">
        <v>5</v>
      </c>
      <c r="N558" s="1">
        <v>8</v>
      </c>
      <c r="O558" s="1">
        <v>49768</v>
      </c>
      <c r="P558" s="1">
        <v>3.98</v>
      </c>
      <c r="Q558" s="1" t="s">
        <v>6</v>
      </c>
      <c r="R558" s="3">
        <v>0.44909999999999994</v>
      </c>
      <c r="S558" s="2">
        <v>45916</v>
      </c>
      <c r="T558" s="1">
        <v>194</v>
      </c>
      <c r="U558" s="1" t="s">
        <v>7</v>
      </c>
      <c r="V558" s="1">
        <v>63</v>
      </c>
      <c r="W558" s="1" t="b">
        <v>1</v>
      </c>
      <c r="X558" s="1" t="b">
        <v>1</v>
      </c>
      <c r="Y558" s="1">
        <v>0</v>
      </c>
    </row>
    <row r="559" spans="1:25" x14ac:dyDescent="0.35">
      <c r="A559" s="1" t="s">
        <v>1168</v>
      </c>
      <c r="B559" s="1" t="s">
        <v>25</v>
      </c>
      <c r="C559" s="1" t="s">
        <v>82</v>
      </c>
      <c r="D559" s="1" t="s">
        <v>3</v>
      </c>
      <c r="E559" s="1">
        <v>2737</v>
      </c>
      <c r="F559" s="4">
        <v>30000000</v>
      </c>
      <c r="G559" s="4">
        <v>10960</v>
      </c>
      <c r="H559" s="1">
        <v>3</v>
      </c>
      <c r="I559" s="1">
        <v>1</v>
      </c>
      <c r="J559" s="1">
        <v>27</v>
      </c>
      <c r="K559" s="1" t="s">
        <v>4</v>
      </c>
      <c r="L559" s="1" t="s">
        <v>1169</v>
      </c>
      <c r="M559" s="1">
        <v>4</v>
      </c>
      <c r="N559" s="1">
        <v>9</v>
      </c>
      <c r="O559" s="1">
        <v>104962</v>
      </c>
      <c r="P559" s="1">
        <v>4.2</v>
      </c>
      <c r="Q559" s="1" t="s">
        <v>14</v>
      </c>
      <c r="R559" s="3">
        <v>0.45990000000000003</v>
      </c>
      <c r="S559" s="2">
        <v>45829</v>
      </c>
      <c r="T559" s="1">
        <v>341</v>
      </c>
      <c r="U559" s="1" t="s">
        <v>30</v>
      </c>
      <c r="V559" s="1">
        <v>57</v>
      </c>
      <c r="W559" s="1" t="b">
        <v>0</v>
      </c>
      <c r="X559" s="1" t="b">
        <v>0</v>
      </c>
      <c r="Y559" s="1">
        <v>60000</v>
      </c>
    </row>
    <row r="560" spans="1:25" x14ac:dyDescent="0.35">
      <c r="A560" s="1" t="s">
        <v>1170</v>
      </c>
      <c r="B560" s="1" t="s">
        <v>18</v>
      </c>
      <c r="C560" s="1" t="s">
        <v>19</v>
      </c>
      <c r="D560" s="1" t="s">
        <v>11</v>
      </c>
      <c r="E560" s="1">
        <v>396</v>
      </c>
      <c r="F560" s="4">
        <v>15000000</v>
      </c>
      <c r="G560" s="4">
        <v>37878</v>
      </c>
      <c r="H560" s="1">
        <v>1</v>
      </c>
      <c r="I560" s="1">
        <v>1</v>
      </c>
      <c r="J560" s="1">
        <v>29</v>
      </c>
      <c r="K560" s="1" t="s">
        <v>12</v>
      </c>
      <c r="L560" s="1" t="s">
        <v>1171</v>
      </c>
      <c r="M560" s="1">
        <v>4</v>
      </c>
      <c r="N560" s="1">
        <v>7</v>
      </c>
      <c r="O560" s="1">
        <v>53904</v>
      </c>
      <c r="P560" s="1">
        <v>4.3099999999999996</v>
      </c>
      <c r="Q560" s="1" t="s">
        <v>6</v>
      </c>
      <c r="R560" s="3">
        <v>0.46560000000000001</v>
      </c>
      <c r="S560" s="2">
        <v>45457</v>
      </c>
      <c r="T560" s="1">
        <v>335</v>
      </c>
      <c r="U560" s="1" t="s">
        <v>23</v>
      </c>
      <c r="V560" s="1">
        <v>178</v>
      </c>
      <c r="W560" s="1" t="b">
        <v>0</v>
      </c>
      <c r="X560" s="1" t="b">
        <v>0</v>
      </c>
      <c r="Y560" s="1">
        <v>0</v>
      </c>
    </row>
    <row r="561" spans="1:25" x14ac:dyDescent="0.35">
      <c r="A561" s="1" t="s">
        <v>1172</v>
      </c>
      <c r="B561" s="1" t="s">
        <v>25</v>
      </c>
      <c r="C561" s="1" t="s">
        <v>182</v>
      </c>
      <c r="D561" s="1" t="s">
        <v>3</v>
      </c>
      <c r="E561" s="1">
        <v>2934</v>
      </c>
      <c r="F561" s="4">
        <v>30000000</v>
      </c>
      <c r="G561" s="4">
        <v>10224</v>
      </c>
      <c r="H561" s="1">
        <v>2</v>
      </c>
      <c r="I561" s="1">
        <v>1</v>
      </c>
      <c r="J561" s="1">
        <v>19</v>
      </c>
      <c r="K561" s="1" t="s">
        <v>61</v>
      </c>
      <c r="L561" s="1" t="s">
        <v>1173</v>
      </c>
      <c r="M561" s="1">
        <v>7</v>
      </c>
      <c r="N561" s="1">
        <v>4</v>
      </c>
      <c r="O561" s="1">
        <v>98595</v>
      </c>
      <c r="P561" s="1">
        <v>3.94</v>
      </c>
      <c r="Q561" s="1" t="s">
        <v>14</v>
      </c>
      <c r="R561" s="3">
        <v>0.44719999999999999</v>
      </c>
      <c r="S561" s="2">
        <v>46063</v>
      </c>
      <c r="T561" s="1">
        <v>283</v>
      </c>
      <c r="U561" s="1" t="s">
        <v>23</v>
      </c>
      <c r="V561" s="1">
        <v>129</v>
      </c>
      <c r="W561" s="1" t="b">
        <v>1</v>
      </c>
      <c r="X561" s="1" t="b">
        <v>1</v>
      </c>
      <c r="Y561" s="1">
        <v>0</v>
      </c>
    </row>
    <row r="562" spans="1:25" x14ac:dyDescent="0.35">
      <c r="A562" s="1" t="s">
        <v>1174</v>
      </c>
      <c r="B562" s="1" t="s">
        <v>54</v>
      </c>
      <c r="C562" s="1" t="s">
        <v>104</v>
      </c>
      <c r="D562" s="1" t="s">
        <v>27</v>
      </c>
      <c r="E562" s="1">
        <v>3435</v>
      </c>
      <c r="F562" s="4">
        <v>40000000</v>
      </c>
      <c r="G562" s="4">
        <v>11644</v>
      </c>
      <c r="H562" s="1">
        <v>6</v>
      </c>
      <c r="I562" s="1">
        <v>3</v>
      </c>
      <c r="J562" s="1">
        <v>10</v>
      </c>
      <c r="K562" s="1" t="s">
        <v>42</v>
      </c>
      <c r="L562" s="1" t="s">
        <v>1175</v>
      </c>
      <c r="M562" s="1">
        <v>4</v>
      </c>
      <c r="N562" s="1">
        <v>10</v>
      </c>
      <c r="O562" s="1">
        <v>145578</v>
      </c>
      <c r="P562" s="1">
        <v>4.37</v>
      </c>
      <c r="Q562" s="1" t="s">
        <v>14</v>
      </c>
      <c r="R562" s="3">
        <v>0.46840000000000004</v>
      </c>
      <c r="S562" s="2">
        <v>45702</v>
      </c>
      <c r="T562" s="1">
        <v>237</v>
      </c>
      <c r="U562" s="1" t="s">
        <v>23</v>
      </c>
      <c r="V562" s="1">
        <v>75</v>
      </c>
      <c r="W562" s="1" t="b">
        <v>1</v>
      </c>
      <c r="X562" s="1" t="b">
        <v>0</v>
      </c>
      <c r="Y562" s="1">
        <v>80000</v>
      </c>
    </row>
    <row r="563" spans="1:25" x14ac:dyDescent="0.35">
      <c r="A563" s="1" t="s">
        <v>1176</v>
      </c>
      <c r="B563" s="1" t="s">
        <v>25</v>
      </c>
      <c r="C563" s="1" t="s">
        <v>94</v>
      </c>
      <c r="D563" s="1" t="s">
        <v>3</v>
      </c>
      <c r="E563" s="1">
        <v>428</v>
      </c>
      <c r="F563" s="4">
        <v>30000000</v>
      </c>
      <c r="G563" s="4">
        <v>70093</v>
      </c>
      <c r="H563" s="1">
        <v>1</v>
      </c>
      <c r="I563" s="1">
        <v>2</v>
      </c>
      <c r="J563" s="1">
        <v>27</v>
      </c>
      <c r="K563" s="1" t="s">
        <v>28</v>
      </c>
      <c r="L563" s="1" t="s">
        <v>1177</v>
      </c>
      <c r="M563" s="1">
        <v>7</v>
      </c>
      <c r="N563" s="1">
        <v>7</v>
      </c>
      <c r="O563" s="1">
        <v>116387</v>
      </c>
      <c r="P563" s="1">
        <v>4.66</v>
      </c>
      <c r="Q563" s="1" t="s">
        <v>14</v>
      </c>
      <c r="R563" s="3">
        <v>0.48280000000000001</v>
      </c>
      <c r="S563" s="2">
        <v>46095</v>
      </c>
      <c r="T563" s="1">
        <v>187</v>
      </c>
      <c r="U563" s="1" t="s">
        <v>7</v>
      </c>
      <c r="V563" s="1">
        <v>40</v>
      </c>
      <c r="W563" s="1" t="b">
        <v>0</v>
      </c>
      <c r="X563" s="1" t="b">
        <v>0</v>
      </c>
      <c r="Y563" s="1">
        <v>0</v>
      </c>
    </row>
    <row r="564" spans="1:25" x14ac:dyDescent="0.35">
      <c r="A564" s="1" t="s">
        <v>1178</v>
      </c>
      <c r="B564" s="1" t="s">
        <v>9</v>
      </c>
      <c r="C564" s="1" t="s">
        <v>189</v>
      </c>
      <c r="D564" s="1" t="s">
        <v>27</v>
      </c>
      <c r="E564" s="1">
        <v>4150</v>
      </c>
      <c r="F564" s="4">
        <v>50000000</v>
      </c>
      <c r="G564" s="4">
        <v>12048</v>
      </c>
      <c r="H564" s="1">
        <v>3</v>
      </c>
      <c r="I564" s="1">
        <v>1</v>
      </c>
      <c r="J564" s="1">
        <v>11</v>
      </c>
      <c r="K564" s="1" t="s">
        <v>34</v>
      </c>
      <c r="L564" s="1" t="s">
        <v>1179</v>
      </c>
      <c r="M564" s="1">
        <v>6</v>
      </c>
      <c r="N564" s="1">
        <v>9</v>
      </c>
      <c r="O564" s="1">
        <v>178502</v>
      </c>
      <c r="P564" s="1">
        <v>4.28</v>
      </c>
      <c r="Q564" s="1" t="s">
        <v>14</v>
      </c>
      <c r="R564" s="3">
        <v>0.4642</v>
      </c>
      <c r="S564" s="2">
        <v>46081</v>
      </c>
      <c r="T564" s="1">
        <v>126</v>
      </c>
      <c r="U564" s="1" t="s">
        <v>7</v>
      </c>
      <c r="V564" s="1">
        <v>155</v>
      </c>
      <c r="W564" s="1" t="b">
        <v>0</v>
      </c>
      <c r="X564" s="1" t="b">
        <v>0</v>
      </c>
      <c r="Y564" s="1">
        <v>0</v>
      </c>
    </row>
    <row r="565" spans="1:25" x14ac:dyDescent="0.35">
      <c r="A565" s="1" t="s">
        <v>1180</v>
      </c>
      <c r="B565" s="1" t="s">
        <v>1</v>
      </c>
      <c r="C565" s="1" t="s">
        <v>48</v>
      </c>
      <c r="D565" s="1" t="s">
        <v>20</v>
      </c>
      <c r="E565" s="1">
        <v>4725</v>
      </c>
      <c r="F565" s="4">
        <v>10000000</v>
      </c>
      <c r="G565" s="4">
        <v>2116</v>
      </c>
      <c r="H565" s="1">
        <v>5</v>
      </c>
      <c r="I565" s="1">
        <v>3</v>
      </c>
      <c r="J565" s="1">
        <v>18</v>
      </c>
      <c r="K565" s="1" t="s">
        <v>34</v>
      </c>
      <c r="L565" s="1" t="s">
        <v>1181</v>
      </c>
      <c r="M565" s="1">
        <v>5</v>
      </c>
      <c r="N565" s="1">
        <v>6</v>
      </c>
      <c r="O565" s="1">
        <v>39669</v>
      </c>
      <c r="P565" s="1">
        <v>4.76</v>
      </c>
      <c r="Q565" s="1" t="s">
        <v>6</v>
      </c>
      <c r="R565" s="3">
        <v>0.48799999999999999</v>
      </c>
      <c r="S565" s="2">
        <v>45579</v>
      </c>
      <c r="T565" s="1">
        <v>82</v>
      </c>
      <c r="U565" s="1" t="s">
        <v>7</v>
      </c>
      <c r="V565" s="1">
        <v>108</v>
      </c>
      <c r="W565" s="1" t="b">
        <v>0</v>
      </c>
      <c r="X565" s="1" t="b">
        <v>0</v>
      </c>
      <c r="Y565" s="1">
        <v>0</v>
      </c>
    </row>
    <row r="566" spans="1:25" x14ac:dyDescent="0.35">
      <c r="A566" s="1" t="s">
        <v>1182</v>
      </c>
      <c r="B566" s="1" t="s">
        <v>1</v>
      </c>
      <c r="C566" s="1" t="s">
        <v>97</v>
      </c>
      <c r="D566" s="1" t="s">
        <v>27</v>
      </c>
      <c r="E566" s="1">
        <v>7694</v>
      </c>
      <c r="F566" s="4">
        <v>10000000</v>
      </c>
      <c r="G566" s="4">
        <v>1299</v>
      </c>
      <c r="H566" s="1">
        <v>4</v>
      </c>
      <c r="I566" s="1">
        <v>2</v>
      </c>
      <c r="J566" s="1">
        <v>19</v>
      </c>
      <c r="K566" s="1" t="s">
        <v>34</v>
      </c>
      <c r="L566" s="1" t="s">
        <v>1183</v>
      </c>
      <c r="M566" s="1">
        <v>5</v>
      </c>
      <c r="N566" s="1">
        <v>9</v>
      </c>
      <c r="O566" s="1">
        <v>25201</v>
      </c>
      <c r="P566" s="1">
        <v>3.02</v>
      </c>
      <c r="Q566" s="1" t="s">
        <v>6</v>
      </c>
      <c r="R566" s="3">
        <v>0.4012</v>
      </c>
      <c r="S566" s="2">
        <v>45784</v>
      </c>
      <c r="T566" s="1">
        <v>208</v>
      </c>
      <c r="U566" s="1" t="s">
        <v>30</v>
      </c>
      <c r="V566" s="1">
        <v>162</v>
      </c>
      <c r="W566" s="1" t="b">
        <v>0</v>
      </c>
      <c r="X566" s="1" t="b">
        <v>1</v>
      </c>
      <c r="Y566" s="1">
        <v>0</v>
      </c>
    </row>
    <row r="567" spans="1:25" x14ac:dyDescent="0.35">
      <c r="A567" s="1" t="s">
        <v>1184</v>
      </c>
      <c r="B567" s="1" t="s">
        <v>1</v>
      </c>
      <c r="C567" s="1" t="s">
        <v>303</v>
      </c>
      <c r="D567" s="1" t="s">
        <v>38</v>
      </c>
      <c r="E567" s="1">
        <v>9984</v>
      </c>
      <c r="F567" s="4">
        <v>10000000</v>
      </c>
      <c r="G567" s="4">
        <v>1001</v>
      </c>
      <c r="H567" s="1">
        <v>6</v>
      </c>
      <c r="I567" s="1">
        <v>4</v>
      </c>
      <c r="J567" s="1">
        <v>16</v>
      </c>
      <c r="K567" s="1" t="s">
        <v>42</v>
      </c>
      <c r="L567" s="1" t="s">
        <v>1185</v>
      </c>
      <c r="M567" s="1">
        <v>5</v>
      </c>
      <c r="N567" s="1">
        <v>4</v>
      </c>
      <c r="O567" s="1">
        <v>39952</v>
      </c>
      <c r="P567" s="1">
        <v>4.79</v>
      </c>
      <c r="Q567" s="1" t="s">
        <v>6</v>
      </c>
      <c r="R567" s="3">
        <v>0.48969999999999997</v>
      </c>
      <c r="S567" s="2">
        <v>46142</v>
      </c>
      <c r="T567" s="1">
        <v>116</v>
      </c>
      <c r="U567" s="1" t="s">
        <v>30</v>
      </c>
      <c r="V567" s="1">
        <v>117</v>
      </c>
      <c r="W567" s="1" t="b">
        <v>0</v>
      </c>
      <c r="X567" s="1" t="b">
        <v>1</v>
      </c>
      <c r="Y567" s="1">
        <v>20000</v>
      </c>
    </row>
    <row r="568" spans="1:25" x14ac:dyDescent="0.35">
      <c r="A568" s="1" t="s">
        <v>1186</v>
      </c>
      <c r="B568" s="1" t="s">
        <v>25</v>
      </c>
      <c r="C568" s="1" t="s">
        <v>26</v>
      </c>
      <c r="D568" s="1" t="s">
        <v>38</v>
      </c>
      <c r="E568" s="1">
        <v>9373</v>
      </c>
      <c r="F568" s="4">
        <v>30000000</v>
      </c>
      <c r="G568" s="4">
        <v>3200</v>
      </c>
      <c r="H568" s="1">
        <v>6</v>
      </c>
      <c r="I568" s="1">
        <v>3</v>
      </c>
      <c r="J568" s="1">
        <v>20</v>
      </c>
      <c r="K568" s="1" t="s">
        <v>28</v>
      </c>
      <c r="L568" s="1" t="s">
        <v>1187</v>
      </c>
      <c r="M568" s="1">
        <v>4</v>
      </c>
      <c r="N568" s="1">
        <v>9</v>
      </c>
      <c r="O568" s="1">
        <v>117287</v>
      </c>
      <c r="P568" s="1">
        <v>4.6900000000000004</v>
      </c>
      <c r="Q568" s="1" t="s">
        <v>14</v>
      </c>
      <c r="R568" s="3">
        <v>0.48460000000000003</v>
      </c>
      <c r="S568" s="2">
        <v>45620</v>
      </c>
      <c r="T568" s="1">
        <v>187</v>
      </c>
      <c r="U568" s="1" t="s">
        <v>23</v>
      </c>
      <c r="V568" s="1">
        <v>81</v>
      </c>
      <c r="W568" s="1" t="b">
        <v>1</v>
      </c>
      <c r="X568" s="1" t="b">
        <v>0</v>
      </c>
      <c r="Y568" s="1">
        <v>60000</v>
      </c>
    </row>
    <row r="569" spans="1:25" x14ac:dyDescent="0.35">
      <c r="A569" s="1" t="s">
        <v>1188</v>
      </c>
      <c r="B569" s="1" t="s">
        <v>54</v>
      </c>
      <c r="C569" s="1" t="s">
        <v>79</v>
      </c>
      <c r="D569" s="1" t="s">
        <v>3</v>
      </c>
      <c r="E569" s="1">
        <v>1511</v>
      </c>
      <c r="F569" s="4">
        <v>40000000</v>
      </c>
      <c r="G569" s="4">
        <v>26472</v>
      </c>
      <c r="H569" s="1">
        <v>1</v>
      </c>
      <c r="I569" s="1">
        <v>1</v>
      </c>
      <c r="J569" s="1">
        <v>14</v>
      </c>
      <c r="K569" s="1" t="s">
        <v>4</v>
      </c>
      <c r="L569" s="1" t="s">
        <v>1189</v>
      </c>
      <c r="M569" s="1">
        <v>7</v>
      </c>
      <c r="N569" s="1">
        <v>6</v>
      </c>
      <c r="O569" s="1">
        <v>130404</v>
      </c>
      <c r="P569" s="1">
        <v>3.91</v>
      </c>
      <c r="Q569" s="1" t="s">
        <v>14</v>
      </c>
      <c r="R569" s="3">
        <v>0.4456</v>
      </c>
      <c r="S569" s="2">
        <v>46115</v>
      </c>
      <c r="T569" s="1">
        <v>143</v>
      </c>
      <c r="U569" s="1" t="s">
        <v>23</v>
      </c>
      <c r="V569" s="1">
        <v>171</v>
      </c>
      <c r="W569" s="1" t="b">
        <v>1</v>
      </c>
      <c r="X569" s="1" t="b">
        <v>1</v>
      </c>
      <c r="Y569" s="1">
        <v>80000</v>
      </c>
    </row>
    <row r="570" spans="1:25" x14ac:dyDescent="0.35">
      <c r="A570" s="1" t="s">
        <v>1190</v>
      </c>
      <c r="B570" s="1" t="s">
        <v>25</v>
      </c>
      <c r="C570" s="1" t="s">
        <v>37</v>
      </c>
      <c r="D570" s="1" t="s">
        <v>20</v>
      </c>
      <c r="E570" s="1">
        <v>1749</v>
      </c>
      <c r="F570" s="4">
        <v>30000000</v>
      </c>
      <c r="G570" s="4">
        <v>17152</v>
      </c>
      <c r="H570" s="1">
        <v>3</v>
      </c>
      <c r="I570" s="1">
        <v>1</v>
      </c>
      <c r="J570" s="1">
        <v>7</v>
      </c>
      <c r="K570" s="1" t="s">
        <v>58</v>
      </c>
      <c r="L570" s="1" t="s">
        <v>1191</v>
      </c>
      <c r="M570" s="1">
        <v>7</v>
      </c>
      <c r="N570" s="1">
        <v>4</v>
      </c>
      <c r="O570" s="1">
        <v>80820</v>
      </c>
      <c r="P570" s="1">
        <v>3.23</v>
      </c>
      <c r="Q570" s="1" t="s">
        <v>14</v>
      </c>
      <c r="R570" s="3">
        <v>0.41159999999999997</v>
      </c>
      <c r="S570" s="2">
        <v>46071</v>
      </c>
      <c r="T570" s="1">
        <v>302</v>
      </c>
      <c r="U570" s="1" t="s">
        <v>7</v>
      </c>
      <c r="V570" s="1">
        <v>168</v>
      </c>
      <c r="W570" s="1" t="b">
        <v>1</v>
      </c>
      <c r="X570" s="1" t="b">
        <v>0</v>
      </c>
      <c r="Y570" s="1">
        <v>0</v>
      </c>
    </row>
    <row r="571" spans="1:25" x14ac:dyDescent="0.35">
      <c r="A571" s="1" t="s">
        <v>1192</v>
      </c>
      <c r="B571" s="1" t="s">
        <v>32</v>
      </c>
      <c r="C571" s="1" t="s">
        <v>33</v>
      </c>
      <c r="D571" s="1" t="s">
        <v>38</v>
      </c>
      <c r="E571" s="1">
        <v>6520</v>
      </c>
      <c r="F571" s="4">
        <v>12000000</v>
      </c>
      <c r="G571" s="4">
        <v>1840</v>
      </c>
      <c r="H571" s="1">
        <v>4</v>
      </c>
      <c r="I571" s="1">
        <v>3</v>
      </c>
      <c r="J571" s="1">
        <v>24</v>
      </c>
      <c r="K571" s="1" t="s">
        <v>61</v>
      </c>
      <c r="L571" s="1" t="s">
        <v>1193</v>
      </c>
      <c r="M571" s="1">
        <v>8</v>
      </c>
      <c r="N571" s="1">
        <v>6</v>
      </c>
      <c r="O571" s="1">
        <v>39665</v>
      </c>
      <c r="P571" s="1">
        <v>3.97</v>
      </c>
      <c r="Q571" s="1" t="s">
        <v>6</v>
      </c>
      <c r="R571" s="3">
        <v>0.44829999999999998</v>
      </c>
      <c r="S571" s="2">
        <v>45866</v>
      </c>
      <c r="T571" s="1">
        <v>273</v>
      </c>
      <c r="U571" s="1" t="s">
        <v>23</v>
      </c>
      <c r="V571" s="1">
        <v>97</v>
      </c>
      <c r="W571" s="1" t="b">
        <v>1</v>
      </c>
      <c r="X571" s="1" t="b">
        <v>0</v>
      </c>
      <c r="Y571" s="1">
        <v>0</v>
      </c>
    </row>
    <row r="572" spans="1:25" x14ac:dyDescent="0.35">
      <c r="A572" s="1" t="s">
        <v>1194</v>
      </c>
      <c r="B572" s="1" t="s">
        <v>1</v>
      </c>
      <c r="C572" s="1" t="s">
        <v>51</v>
      </c>
      <c r="D572" s="1" t="s">
        <v>38</v>
      </c>
      <c r="E572" s="1">
        <v>5529</v>
      </c>
      <c r="F572" s="4">
        <v>10000000</v>
      </c>
      <c r="G572" s="4">
        <v>1808</v>
      </c>
      <c r="H572" s="1">
        <v>6</v>
      </c>
      <c r="I572" s="1">
        <v>4</v>
      </c>
      <c r="J572" s="1">
        <v>3</v>
      </c>
      <c r="K572" s="1" t="s">
        <v>42</v>
      </c>
      <c r="L572" s="1" t="s">
        <v>1195</v>
      </c>
      <c r="M572" s="1">
        <v>4</v>
      </c>
      <c r="N572" s="1">
        <v>4</v>
      </c>
      <c r="O572" s="1">
        <v>27979</v>
      </c>
      <c r="P572" s="1">
        <v>3.36</v>
      </c>
      <c r="Q572" s="1" t="s">
        <v>6</v>
      </c>
      <c r="R572" s="3">
        <v>0.41789999999999999</v>
      </c>
      <c r="S572" s="2">
        <v>45714</v>
      </c>
      <c r="T572" s="1">
        <v>176</v>
      </c>
      <c r="U572" s="1" t="s">
        <v>30</v>
      </c>
      <c r="V572" s="1">
        <v>143</v>
      </c>
      <c r="W572" s="1" t="b">
        <v>1</v>
      </c>
      <c r="X572" s="1" t="b">
        <v>1</v>
      </c>
      <c r="Y572" s="1">
        <v>20000</v>
      </c>
    </row>
    <row r="573" spans="1:25" x14ac:dyDescent="0.35">
      <c r="A573" s="1" t="s">
        <v>1196</v>
      </c>
      <c r="B573" s="1" t="s">
        <v>25</v>
      </c>
      <c r="C573" s="1" t="s">
        <v>82</v>
      </c>
      <c r="D573" s="1" t="s">
        <v>20</v>
      </c>
      <c r="E573" s="1">
        <v>3555</v>
      </c>
      <c r="F573" s="4">
        <v>30000000</v>
      </c>
      <c r="G573" s="4">
        <v>8438</v>
      </c>
      <c r="H573" s="1">
        <v>4</v>
      </c>
      <c r="I573" s="1">
        <v>3</v>
      </c>
      <c r="J573" s="1">
        <v>24</v>
      </c>
      <c r="K573" s="1" t="s">
        <v>12</v>
      </c>
      <c r="L573" s="1" t="s">
        <v>1197</v>
      </c>
      <c r="M573" s="1">
        <v>7</v>
      </c>
      <c r="N573" s="1">
        <v>8</v>
      </c>
      <c r="O573" s="1">
        <v>113319</v>
      </c>
      <c r="P573" s="1">
        <v>4.53</v>
      </c>
      <c r="Q573" s="1" t="s">
        <v>14</v>
      </c>
      <c r="R573" s="3">
        <v>0.47659999999999997</v>
      </c>
      <c r="S573" s="2">
        <v>45981</v>
      </c>
      <c r="T573" s="1">
        <v>167</v>
      </c>
      <c r="U573" s="1" t="s">
        <v>23</v>
      </c>
      <c r="V573" s="1">
        <v>70</v>
      </c>
      <c r="W573" s="1" t="b">
        <v>0</v>
      </c>
      <c r="X573" s="1" t="b">
        <v>0</v>
      </c>
      <c r="Y573" s="1">
        <v>0</v>
      </c>
    </row>
    <row r="574" spans="1:25" x14ac:dyDescent="0.35">
      <c r="A574" s="1" t="s">
        <v>1198</v>
      </c>
      <c r="B574" s="1" t="s">
        <v>25</v>
      </c>
      <c r="C574" s="1" t="s">
        <v>26</v>
      </c>
      <c r="D574" s="1" t="s">
        <v>11</v>
      </c>
      <c r="E574" s="1">
        <v>405</v>
      </c>
      <c r="F574" s="4">
        <v>30000000</v>
      </c>
      <c r="G574" s="4">
        <v>74074</v>
      </c>
      <c r="H574" s="1">
        <v>1</v>
      </c>
      <c r="I574" s="1">
        <v>1</v>
      </c>
      <c r="J574" s="1">
        <v>9</v>
      </c>
      <c r="K574" s="1" t="s">
        <v>21</v>
      </c>
      <c r="L574" s="1" t="s">
        <v>1199</v>
      </c>
      <c r="M574" s="1">
        <v>5</v>
      </c>
      <c r="N574" s="1">
        <v>7</v>
      </c>
      <c r="O574" s="1">
        <v>75283</v>
      </c>
      <c r="P574" s="1">
        <v>3.01</v>
      </c>
      <c r="Q574" s="1" t="s">
        <v>14</v>
      </c>
      <c r="R574" s="3">
        <v>0.40060000000000001</v>
      </c>
      <c r="S574" s="2">
        <v>45743</v>
      </c>
      <c r="T574" s="1">
        <v>331</v>
      </c>
      <c r="U574" s="1" t="s">
        <v>7</v>
      </c>
      <c r="V574" s="1">
        <v>120</v>
      </c>
      <c r="W574" s="1" t="b">
        <v>1</v>
      </c>
      <c r="X574" s="1" t="b">
        <v>0</v>
      </c>
      <c r="Y574" s="1">
        <v>0</v>
      </c>
    </row>
    <row r="575" spans="1:25" x14ac:dyDescent="0.35">
      <c r="A575" s="1" t="s">
        <v>1200</v>
      </c>
      <c r="B575" s="1" t="s">
        <v>9</v>
      </c>
      <c r="C575" s="1" t="s">
        <v>142</v>
      </c>
      <c r="D575" s="1" t="s">
        <v>27</v>
      </c>
      <c r="E575" s="1">
        <v>3708</v>
      </c>
      <c r="F575" s="4">
        <v>50000000</v>
      </c>
      <c r="G575" s="4">
        <v>13484</v>
      </c>
      <c r="H575" s="1">
        <v>5</v>
      </c>
      <c r="I575" s="1">
        <v>3</v>
      </c>
      <c r="J575" s="1">
        <v>26</v>
      </c>
      <c r="K575" s="1" t="s">
        <v>12</v>
      </c>
      <c r="L575" s="1" t="s">
        <v>1201</v>
      </c>
      <c r="M575" s="1">
        <v>5</v>
      </c>
      <c r="N575" s="1">
        <v>7</v>
      </c>
      <c r="O575" s="1">
        <v>186584</v>
      </c>
      <c r="P575" s="1">
        <v>4.4800000000000004</v>
      </c>
      <c r="Q575" s="1" t="s">
        <v>14</v>
      </c>
      <c r="R575" s="3">
        <v>0.47389999999999999</v>
      </c>
      <c r="S575" s="2">
        <v>45936</v>
      </c>
      <c r="T575" s="1">
        <v>55</v>
      </c>
      <c r="U575" s="1" t="s">
        <v>30</v>
      </c>
      <c r="V575" s="1">
        <v>100</v>
      </c>
      <c r="W575" s="1" t="b">
        <v>1</v>
      </c>
      <c r="X575" s="1" t="b">
        <v>1</v>
      </c>
      <c r="Y575" s="1">
        <v>100000</v>
      </c>
    </row>
    <row r="576" spans="1:25" x14ac:dyDescent="0.35">
      <c r="A576" s="1" t="s">
        <v>1202</v>
      </c>
      <c r="B576" s="1" t="s">
        <v>54</v>
      </c>
      <c r="C576" s="1" t="s">
        <v>104</v>
      </c>
      <c r="D576" s="1" t="s">
        <v>11</v>
      </c>
      <c r="E576" s="1">
        <v>553</v>
      </c>
      <c r="F576" s="4">
        <v>40000000</v>
      </c>
      <c r="G576" s="4">
        <v>72332</v>
      </c>
      <c r="H576" s="1">
        <v>1</v>
      </c>
      <c r="I576" s="1">
        <v>1</v>
      </c>
      <c r="J576" s="1">
        <v>24</v>
      </c>
      <c r="K576" s="1" t="s">
        <v>58</v>
      </c>
      <c r="L576" s="1" t="s">
        <v>1203</v>
      </c>
      <c r="M576" s="1">
        <v>8</v>
      </c>
      <c r="N576" s="1">
        <v>6</v>
      </c>
      <c r="O576" s="1">
        <v>122846</v>
      </c>
      <c r="P576" s="1">
        <v>3.69</v>
      </c>
      <c r="Q576" s="1" t="s">
        <v>14</v>
      </c>
      <c r="R576" s="3">
        <v>0.43430000000000002</v>
      </c>
      <c r="S576" s="2">
        <v>45606</v>
      </c>
      <c r="T576" s="1">
        <v>242</v>
      </c>
      <c r="U576" s="1" t="s">
        <v>7</v>
      </c>
      <c r="V576" s="1">
        <v>58</v>
      </c>
      <c r="W576" s="1" t="b">
        <v>1</v>
      </c>
      <c r="X576" s="1" t="b">
        <v>1</v>
      </c>
      <c r="Y576" s="1">
        <v>0</v>
      </c>
    </row>
    <row r="577" spans="1:25" x14ac:dyDescent="0.35">
      <c r="A577" s="1" t="s">
        <v>1204</v>
      </c>
      <c r="B577" s="1" t="s">
        <v>1</v>
      </c>
      <c r="C577" s="1" t="s">
        <v>48</v>
      </c>
      <c r="D577" s="1" t="s">
        <v>27</v>
      </c>
      <c r="E577" s="1">
        <v>3232</v>
      </c>
      <c r="F577" s="4">
        <v>10000000</v>
      </c>
      <c r="G577" s="4">
        <v>3094</v>
      </c>
      <c r="H577" s="1">
        <v>5</v>
      </c>
      <c r="I577" s="1">
        <v>2</v>
      </c>
      <c r="J577" s="1">
        <v>17</v>
      </c>
      <c r="K577" s="1" t="s">
        <v>34</v>
      </c>
      <c r="L577" s="1" t="s">
        <v>1205</v>
      </c>
      <c r="M577" s="1">
        <v>3</v>
      </c>
      <c r="N577" s="1">
        <v>10</v>
      </c>
      <c r="O577" s="1">
        <v>38621</v>
      </c>
      <c r="P577" s="1">
        <v>4.63</v>
      </c>
      <c r="Q577" s="1" t="s">
        <v>6</v>
      </c>
      <c r="R577" s="3">
        <v>0.48170000000000002</v>
      </c>
      <c r="S577" s="2">
        <v>45450</v>
      </c>
      <c r="T577" s="1">
        <v>359</v>
      </c>
      <c r="U577" s="1" t="s">
        <v>7</v>
      </c>
      <c r="V577" s="1">
        <v>47</v>
      </c>
      <c r="W577" s="1" t="b">
        <v>0</v>
      </c>
      <c r="X577" s="1" t="b">
        <v>0</v>
      </c>
      <c r="Y577" s="1">
        <v>0</v>
      </c>
    </row>
    <row r="578" spans="1:25" x14ac:dyDescent="0.35">
      <c r="A578" s="1" t="s">
        <v>1206</v>
      </c>
      <c r="B578" s="1" t="s">
        <v>1</v>
      </c>
      <c r="C578" s="1" t="s">
        <v>303</v>
      </c>
      <c r="D578" s="1" t="s">
        <v>27</v>
      </c>
      <c r="E578" s="1">
        <v>4631</v>
      </c>
      <c r="F578" s="4">
        <v>10000000</v>
      </c>
      <c r="G578" s="4">
        <v>2159</v>
      </c>
      <c r="H578" s="1">
        <v>6</v>
      </c>
      <c r="I578" s="1">
        <v>3</v>
      </c>
      <c r="J578" s="1">
        <v>14</v>
      </c>
      <c r="K578" s="1" t="s">
        <v>28</v>
      </c>
      <c r="L578" s="1" t="s">
        <v>1207</v>
      </c>
      <c r="M578" s="1">
        <v>5</v>
      </c>
      <c r="N578" s="1">
        <v>7</v>
      </c>
      <c r="O578" s="1">
        <v>35704</v>
      </c>
      <c r="P578" s="1">
        <v>4.28</v>
      </c>
      <c r="Q578" s="1" t="s">
        <v>6</v>
      </c>
      <c r="R578" s="3">
        <v>0.4642</v>
      </c>
      <c r="S578" s="2">
        <v>45719</v>
      </c>
      <c r="T578" s="1">
        <v>271</v>
      </c>
      <c r="U578" s="1" t="s">
        <v>7</v>
      </c>
      <c r="V578" s="1">
        <v>42</v>
      </c>
      <c r="W578" s="1" t="b">
        <v>1</v>
      </c>
      <c r="X578" s="1" t="b">
        <v>0</v>
      </c>
      <c r="Y578" s="1">
        <v>20000</v>
      </c>
    </row>
    <row r="579" spans="1:25" x14ac:dyDescent="0.35">
      <c r="A579" s="1" t="s">
        <v>1208</v>
      </c>
      <c r="B579" s="1" t="s">
        <v>32</v>
      </c>
      <c r="C579" s="1" t="s">
        <v>197</v>
      </c>
      <c r="D579" s="1" t="s">
        <v>3</v>
      </c>
      <c r="E579" s="1">
        <v>2465</v>
      </c>
      <c r="F579" s="4">
        <v>12000000</v>
      </c>
      <c r="G579" s="4">
        <v>4868</v>
      </c>
      <c r="H579" s="1">
        <v>3</v>
      </c>
      <c r="I579" s="1">
        <v>2</v>
      </c>
      <c r="J579" s="1">
        <v>9</v>
      </c>
      <c r="K579" s="1" t="s">
        <v>61</v>
      </c>
      <c r="L579" s="1" t="s">
        <v>1209</v>
      </c>
      <c r="M579" s="1">
        <v>7</v>
      </c>
      <c r="N579" s="1">
        <v>7</v>
      </c>
      <c r="O579" s="1">
        <v>46925</v>
      </c>
      <c r="P579" s="1">
        <v>4.6900000000000004</v>
      </c>
      <c r="Q579" s="1" t="s">
        <v>6</v>
      </c>
      <c r="R579" s="3">
        <v>0.48460000000000003</v>
      </c>
      <c r="S579" s="2">
        <v>46067</v>
      </c>
      <c r="T579" s="1">
        <v>38</v>
      </c>
      <c r="U579" s="1" t="s">
        <v>7</v>
      </c>
      <c r="V579" s="1">
        <v>78</v>
      </c>
      <c r="W579" s="1" t="b">
        <v>0</v>
      </c>
      <c r="X579" s="1" t="b">
        <v>0</v>
      </c>
      <c r="Y579" s="1">
        <v>0</v>
      </c>
    </row>
    <row r="580" spans="1:25" x14ac:dyDescent="0.35">
      <c r="A580" s="1" t="s">
        <v>1210</v>
      </c>
      <c r="B580" s="1" t="s">
        <v>18</v>
      </c>
      <c r="C580" s="1" t="s">
        <v>243</v>
      </c>
      <c r="D580" s="1" t="s">
        <v>27</v>
      </c>
      <c r="E580" s="1">
        <v>7328</v>
      </c>
      <c r="F580" s="4">
        <v>15000000</v>
      </c>
      <c r="G580" s="4">
        <v>2046</v>
      </c>
      <c r="H580" s="1">
        <v>5</v>
      </c>
      <c r="I580" s="1">
        <v>2</v>
      </c>
      <c r="J580" s="1">
        <v>5</v>
      </c>
      <c r="K580" s="1" t="s">
        <v>34</v>
      </c>
      <c r="L580" s="1" t="s">
        <v>1211</v>
      </c>
      <c r="M580" s="1">
        <v>8</v>
      </c>
      <c r="N580" s="1">
        <v>6</v>
      </c>
      <c r="O580" s="1">
        <v>58205</v>
      </c>
      <c r="P580" s="1">
        <v>4.66</v>
      </c>
      <c r="Q580" s="1" t="s">
        <v>6</v>
      </c>
      <c r="R580" s="3">
        <v>0.48280000000000001</v>
      </c>
      <c r="S580" s="2">
        <v>46137</v>
      </c>
      <c r="T580" s="1">
        <v>78</v>
      </c>
      <c r="U580" s="1" t="s">
        <v>7</v>
      </c>
      <c r="V580" s="1">
        <v>139</v>
      </c>
      <c r="W580" s="1" t="b">
        <v>0</v>
      </c>
      <c r="X580" s="1" t="b">
        <v>1</v>
      </c>
      <c r="Y580" s="1">
        <v>0</v>
      </c>
    </row>
    <row r="581" spans="1:25" x14ac:dyDescent="0.35">
      <c r="A581" s="1" t="s">
        <v>1212</v>
      </c>
      <c r="B581" s="1" t="s">
        <v>32</v>
      </c>
      <c r="C581" s="1" t="s">
        <v>197</v>
      </c>
      <c r="D581" s="1" t="s">
        <v>27</v>
      </c>
      <c r="E581" s="1">
        <v>6705</v>
      </c>
      <c r="F581" s="4">
        <v>12000000</v>
      </c>
      <c r="G581" s="4">
        <v>1789</v>
      </c>
      <c r="H581" s="1">
        <v>5</v>
      </c>
      <c r="I581" s="1">
        <v>2</v>
      </c>
      <c r="J581" s="1">
        <v>6</v>
      </c>
      <c r="K581" s="1" t="s">
        <v>28</v>
      </c>
      <c r="L581" s="1" t="s">
        <v>1213</v>
      </c>
      <c r="M581" s="1">
        <v>4</v>
      </c>
      <c r="N581" s="1">
        <v>8</v>
      </c>
      <c r="O581" s="1">
        <v>48889</v>
      </c>
      <c r="P581" s="1">
        <v>4.8899999999999997</v>
      </c>
      <c r="Q581" s="1" t="s">
        <v>6</v>
      </c>
      <c r="R581" s="3">
        <v>0.49439999999999995</v>
      </c>
      <c r="S581" s="2">
        <v>46116</v>
      </c>
      <c r="T581" s="1">
        <v>36</v>
      </c>
      <c r="U581" s="1" t="s">
        <v>30</v>
      </c>
      <c r="V581" s="1">
        <v>119</v>
      </c>
      <c r="W581" s="1" t="b">
        <v>0</v>
      </c>
      <c r="X581" s="1" t="b">
        <v>0</v>
      </c>
      <c r="Y581" s="1">
        <v>24000</v>
      </c>
    </row>
    <row r="582" spans="1:25" x14ac:dyDescent="0.35">
      <c r="A582" s="1" t="s">
        <v>1214</v>
      </c>
      <c r="B582" s="1" t="s">
        <v>1</v>
      </c>
      <c r="C582" s="1" t="s">
        <v>303</v>
      </c>
      <c r="D582" s="1" t="s">
        <v>27</v>
      </c>
      <c r="E582" s="1">
        <v>4481</v>
      </c>
      <c r="F582" s="4">
        <v>10000000</v>
      </c>
      <c r="G582" s="4">
        <v>2231</v>
      </c>
      <c r="H582" s="1">
        <v>4</v>
      </c>
      <c r="I582" s="1">
        <v>3</v>
      </c>
      <c r="J582" s="1">
        <v>8</v>
      </c>
      <c r="K582" s="1" t="s">
        <v>42</v>
      </c>
      <c r="L582" s="1" t="s">
        <v>1215</v>
      </c>
      <c r="M582" s="1">
        <v>4</v>
      </c>
      <c r="N582" s="1">
        <v>9</v>
      </c>
      <c r="O582" s="1">
        <v>40800</v>
      </c>
      <c r="P582" s="1">
        <v>4.9000000000000004</v>
      </c>
      <c r="Q582" s="1" t="s">
        <v>6</v>
      </c>
      <c r="R582" s="3">
        <v>0.49479999999999996</v>
      </c>
      <c r="S582" s="2">
        <v>46130</v>
      </c>
      <c r="T582" s="1">
        <v>195</v>
      </c>
      <c r="U582" s="1" t="s">
        <v>7</v>
      </c>
      <c r="V582" s="1">
        <v>83</v>
      </c>
      <c r="W582" s="1" t="b">
        <v>1</v>
      </c>
      <c r="X582" s="1" t="b">
        <v>0</v>
      </c>
      <c r="Y582" s="1">
        <v>0</v>
      </c>
    </row>
    <row r="583" spans="1:25" x14ac:dyDescent="0.35">
      <c r="A583" s="1" t="s">
        <v>1216</v>
      </c>
      <c r="B583" s="1" t="s">
        <v>18</v>
      </c>
      <c r="C583" s="1" t="s">
        <v>217</v>
      </c>
      <c r="D583" s="1" t="s">
        <v>27</v>
      </c>
      <c r="E583" s="1">
        <v>5117</v>
      </c>
      <c r="F583" s="4">
        <v>15000000</v>
      </c>
      <c r="G583" s="4">
        <v>2931</v>
      </c>
      <c r="H583" s="1">
        <v>3</v>
      </c>
      <c r="I583" s="1">
        <v>1</v>
      </c>
      <c r="J583" s="1">
        <v>5</v>
      </c>
      <c r="K583" s="1" t="s">
        <v>12</v>
      </c>
      <c r="L583" s="1" t="s">
        <v>1217</v>
      </c>
      <c r="M583" s="1">
        <v>7</v>
      </c>
      <c r="N583" s="1">
        <v>4</v>
      </c>
      <c r="O583" s="1">
        <v>45421</v>
      </c>
      <c r="P583" s="1">
        <v>3.63</v>
      </c>
      <c r="Q583" s="1" t="s">
        <v>6</v>
      </c>
      <c r="R583" s="3">
        <v>0.43170000000000003</v>
      </c>
      <c r="S583" s="2">
        <v>45961</v>
      </c>
      <c r="T583" s="1">
        <v>185</v>
      </c>
      <c r="U583" s="1" t="s">
        <v>7</v>
      </c>
      <c r="V583" s="1">
        <v>159</v>
      </c>
      <c r="W583" s="1" t="b">
        <v>0</v>
      </c>
      <c r="X583" s="1" t="b">
        <v>0</v>
      </c>
      <c r="Y583" s="1">
        <v>30000</v>
      </c>
    </row>
    <row r="584" spans="1:25" x14ac:dyDescent="0.35">
      <c r="A584" s="1" t="s">
        <v>1218</v>
      </c>
      <c r="B584" s="1" t="s">
        <v>18</v>
      </c>
      <c r="C584" s="1" t="s">
        <v>169</v>
      </c>
      <c r="D584" s="1" t="s">
        <v>3</v>
      </c>
      <c r="E584" s="1">
        <v>1956</v>
      </c>
      <c r="F584" s="4">
        <v>15000000</v>
      </c>
      <c r="G584" s="4">
        <v>7668</v>
      </c>
      <c r="H584" s="1">
        <v>4</v>
      </c>
      <c r="I584" s="1">
        <v>3</v>
      </c>
      <c r="J584" s="1">
        <v>30</v>
      </c>
      <c r="K584" s="1" t="s">
        <v>58</v>
      </c>
      <c r="L584" s="1" t="s">
        <v>1219</v>
      </c>
      <c r="M584" s="1">
        <v>3</v>
      </c>
      <c r="N584" s="1">
        <v>9</v>
      </c>
      <c r="O584" s="1">
        <v>58695</v>
      </c>
      <c r="P584" s="1">
        <v>4.7</v>
      </c>
      <c r="Q584" s="1" t="s">
        <v>6</v>
      </c>
      <c r="R584" s="3">
        <v>0.48479999999999995</v>
      </c>
      <c r="S584" s="2">
        <v>45849</v>
      </c>
      <c r="T584" s="1">
        <v>334</v>
      </c>
      <c r="U584" s="1" t="s">
        <v>7</v>
      </c>
      <c r="V584" s="1">
        <v>51</v>
      </c>
      <c r="W584" s="1" t="b">
        <v>0</v>
      </c>
      <c r="X584" s="1" t="b">
        <v>0</v>
      </c>
      <c r="Y584" s="1">
        <v>30000</v>
      </c>
    </row>
    <row r="585" spans="1:25" x14ac:dyDescent="0.35">
      <c r="A585" s="1" t="s">
        <v>1220</v>
      </c>
      <c r="B585" s="1" t="s">
        <v>54</v>
      </c>
      <c r="C585" s="1" t="s">
        <v>104</v>
      </c>
      <c r="D585" s="1" t="s">
        <v>20</v>
      </c>
      <c r="E585" s="1">
        <v>1685</v>
      </c>
      <c r="F585" s="4">
        <v>40000000</v>
      </c>
      <c r="G585" s="4">
        <v>23738</v>
      </c>
      <c r="H585" s="1">
        <v>3</v>
      </c>
      <c r="I585" s="1">
        <v>1</v>
      </c>
      <c r="J585" s="1">
        <v>5</v>
      </c>
      <c r="K585" s="1" t="s">
        <v>28</v>
      </c>
      <c r="L585" s="1" t="s">
        <v>1221</v>
      </c>
      <c r="M585" s="1">
        <v>7</v>
      </c>
      <c r="N585" s="1">
        <v>8</v>
      </c>
      <c r="O585" s="1">
        <v>113988</v>
      </c>
      <c r="P585" s="1">
        <v>3.42</v>
      </c>
      <c r="Q585" s="1" t="s">
        <v>14</v>
      </c>
      <c r="R585" s="3">
        <v>0.42100000000000004</v>
      </c>
      <c r="S585" s="2">
        <v>45480</v>
      </c>
      <c r="T585" s="1">
        <v>81</v>
      </c>
      <c r="U585" s="1" t="s">
        <v>7</v>
      </c>
      <c r="V585" s="1">
        <v>136</v>
      </c>
      <c r="W585" s="1" t="b">
        <v>0</v>
      </c>
      <c r="X585" s="1" t="b">
        <v>1</v>
      </c>
      <c r="Y585" s="1">
        <v>80000</v>
      </c>
    </row>
    <row r="586" spans="1:25" x14ac:dyDescent="0.35">
      <c r="A586" s="1" t="s">
        <v>1222</v>
      </c>
      <c r="B586" s="1" t="s">
        <v>32</v>
      </c>
      <c r="C586" s="1" t="s">
        <v>41</v>
      </c>
      <c r="D586" s="1" t="s">
        <v>27</v>
      </c>
      <c r="E586" s="1">
        <v>4990</v>
      </c>
      <c r="F586" s="4">
        <v>12000000</v>
      </c>
      <c r="G586" s="4">
        <v>2404</v>
      </c>
      <c r="H586" s="1">
        <v>3</v>
      </c>
      <c r="I586" s="1">
        <v>1</v>
      </c>
      <c r="J586" s="1">
        <v>0</v>
      </c>
      <c r="K586" s="1" t="s">
        <v>12</v>
      </c>
      <c r="L586" s="1" t="s">
        <v>1223</v>
      </c>
      <c r="M586" s="1">
        <v>6</v>
      </c>
      <c r="N586" s="1">
        <v>4</v>
      </c>
      <c r="O586" s="1">
        <v>30516</v>
      </c>
      <c r="P586" s="1">
        <v>3.05</v>
      </c>
      <c r="Q586" s="1" t="s">
        <v>6</v>
      </c>
      <c r="R586" s="3">
        <v>0.40259999999999996</v>
      </c>
      <c r="S586" s="2">
        <v>46127</v>
      </c>
      <c r="T586" s="1">
        <v>209</v>
      </c>
      <c r="U586" s="1" t="s">
        <v>23</v>
      </c>
      <c r="V586" s="1">
        <v>66</v>
      </c>
      <c r="W586" s="1" t="b">
        <v>1</v>
      </c>
      <c r="X586" s="1" t="b">
        <v>0</v>
      </c>
      <c r="Y586" s="1">
        <v>24000</v>
      </c>
    </row>
    <row r="587" spans="1:25" x14ac:dyDescent="0.35">
      <c r="A587" s="1" t="s">
        <v>1224</v>
      </c>
      <c r="B587" s="1" t="s">
        <v>25</v>
      </c>
      <c r="C587" s="1" t="s">
        <v>314</v>
      </c>
      <c r="D587" s="1" t="s">
        <v>3</v>
      </c>
      <c r="E587" s="1">
        <v>1828</v>
      </c>
      <c r="F587" s="4">
        <v>30000000</v>
      </c>
      <c r="G587" s="4">
        <v>16411</v>
      </c>
      <c r="H587" s="1">
        <v>2</v>
      </c>
      <c r="I587" s="1">
        <v>1</v>
      </c>
      <c r="J587" s="1">
        <v>13</v>
      </c>
      <c r="K587" s="1" t="s">
        <v>21</v>
      </c>
      <c r="L587" s="1" t="s">
        <v>1225</v>
      </c>
      <c r="M587" s="1">
        <v>3</v>
      </c>
      <c r="N587" s="1">
        <v>10</v>
      </c>
      <c r="O587" s="1">
        <v>101836</v>
      </c>
      <c r="P587" s="1">
        <v>4.07</v>
      </c>
      <c r="Q587" s="1" t="s">
        <v>14</v>
      </c>
      <c r="R587" s="3">
        <v>0.45369999999999999</v>
      </c>
      <c r="S587" s="2">
        <v>46019</v>
      </c>
      <c r="T587" s="1">
        <v>160</v>
      </c>
      <c r="U587" s="1" t="s">
        <v>23</v>
      </c>
      <c r="V587" s="1">
        <v>30</v>
      </c>
      <c r="W587" s="1" t="b">
        <v>0</v>
      </c>
      <c r="X587" s="1" t="b">
        <v>0</v>
      </c>
      <c r="Y587" s="1">
        <v>0</v>
      </c>
    </row>
    <row r="588" spans="1:25" x14ac:dyDescent="0.35">
      <c r="A588" s="1" t="s">
        <v>1226</v>
      </c>
      <c r="B588" s="1" t="s">
        <v>25</v>
      </c>
      <c r="C588" s="1" t="s">
        <v>26</v>
      </c>
      <c r="D588" s="1" t="s">
        <v>38</v>
      </c>
      <c r="E588" s="1">
        <v>5994</v>
      </c>
      <c r="F588" s="4">
        <v>30000000</v>
      </c>
      <c r="G588" s="4">
        <v>5005</v>
      </c>
      <c r="H588" s="1">
        <v>6</v>
      </c>
      <c r="I588" s="1">
        <v>3</v>
      </c>
      <c r="J588" s="1">
        <v>15</v>
      </c>
      <c r="K588" s="1" t="s">
        <v>61</v>
      </c>
      <c r="L588" s="1" t="s">
        <v>1227</v>
      </c>
      <c r="M588" s="1">
        <v>6</v>
      </c>
      <c r="N588" s="1">
        <v>6</v>
      </c>
      <c r="O588" s="1">
        <v>79109</v>
      </c>
      <c r="P588" s="1">
        <v>3.16</v>
      </c>
      <c r="Q588" s="1" t="s">
        <v>14</v>
      </c>
      <c r="R588" s="3">
        <v>0.40820000000000001</v>
      </c>
      <c r="S588" s="2">
        <v>46059</v>
      </c>
      <c r="T588" s="1">
        <v>128</v>
      </c>
      <c r="U588" s="1" t="s">
        <v>30</v>
      </c>
      <c r="V588" s="1">
        <v>56</v>
      </c>
      <c r="W588" s="1" t="b">
        <v>1</v>
      </c>
      <c r="X588" s="1" t="b">
        <v>0</v>
      </c>
      <c r="Y588" s="1">
        <v>60000</v>
      </c>
    </row>
    <row r="589" spans="1:25" x14ac:dyDescent="0.35">
      <c r="A589" s="1" t="s">
        <v>1228</v>
      </c>
      <c r="B589" s="1" t="s">
        <v>1</v>
      </c>
      <c r="C589" s="1" t="s">
        <v>45</v>
      </c>
      <c r="D589" s="1" t="s">
        <v>20</v>
      </c>
      <c r="E589" s="1">
        <v>2846</v>
      </c>
      <c r="F589" s="4">
        <v>10000000</v>
      </c>
      <c r="G589" s="4">
        <v>3513</v>
      </c>
      <c r="H589" s="1">
        <v>5</v>
      </c>
      <c r="I589" s="1">
        <v>3</v>
      </c>
      <c r="J589" s="1">
        <v>24</v>
      </c>
      <c r="K589" s="1" t="s">
        <v>61</v>
      </c>
      <c r="L589" s="1" t="s">
        <v>1229</v>
      </c>
      <c r="M589" s="1">
        <v>4</v>
      </c>
      <c r="N589" s="1">
        <v>10</v>
      </c>
      <c r="O589" s="1">
        <v>40577</v>
      </c>
      <c r="P589" s="1">
        <v>4.87</v>
      </c>
      <c r="Q589" s="1" t="s">
        <v>6</v>
      </c>
      <c r="R589" s="3">
        <v>0.49349999999999999</v>
      </c>
      <c r="S589" s="2">
        <v>46121</v>
      </c>
      <c r="T589" s="1">
        <v>324</v>
      </c>
      <c r="U589" s="1" t="s">
        <v>30</v>
      </c>
      <c r="V589" s="1">
        <v>128</v>
      </c>
      <c r="W589" s="1" t="b">
        <v>1</v>
      </c>
      <c r="X589" s="1" t="b">
        <v>1</v>
      </c>
      <c r="Y589" s="1">
        <v>20000</v>
      </c>
    </row>
    <row r="590" spans="1:25" x14ac:dyDescent="0.35">
      <c r="A590" s="1" t="s">
        <v>1230</v>
      </c>
      <c r="B590" s="1" t="s">
        <v>9</v>
      </c>
      <c r="C590" s="1" t="s">
        <v>10</v>
      </c>
      <c r="D590" s="1" t="s">
        <v>3</v>
      </c>
      <c r="E590" s="1">
        <v>1374</v>
      </c>
      <c r="F590" s="4">
        <v>50000000</v>
      </c>
      <c r="G590" s="4">
        <v>36390</v>
      </c>
      <c r="H590" s="1">
        <v>2</v>
      </c>
      <c r="I590" s="1">
        <v>2</v>
      </c>
      <c r="J590" s="1">
        <v>10</v>
      </c>
      <c r="K590" s="1" t="s">
        <v>12</v>
      </c>
      <c r="L590" s="1" t="s">
        <v>1231</v>
      </c>
      <c r="M590" s="1">
        <v>3</v>
      </c>
      <c r="N590" s="1">
        <v>5</v>
      </c>
      <c r="O590" s="1">
        <v>197460</v>
      </c>
      <c r="P590" s="1">
        <v>4.74</v>
      </c>
      <c r="Q590" s="1" t="s">
        <v>14</v>
      </c>
      <c r="R590" s="3">
        <v>0.48700000000000004</v>
      </c>
      <c r="S590" s="2">
        <v>45565</v>
      </c>
      <c r="T590" s="1">
        <v>319</v>
      </c>
      <c r="U590" s="1" t="s">
        <v>7</v>
      </c>
      <c r="V590" s="1">
        <v>146</v>
      </c>
      <c r="W590" s="1" t="b">
        <v>0</v>
      </c>
      <c r="X590" s="1" t="b">
        <v>0</v>
      </c>
      <c r="Y590" s="1">
        <v>100000</v>
      </c>
    </row>
    <row r="591" spans="1:25" x14ac:dyDescent="0.35">
      <c r="A591" s="1" t="s">
        <v>1232</v>
      </c>
      <c r="B591" s="1" t="s">
        <v>1</v>
      </c>
      <c r="C591" s="1" t="s">
        <v>97</v>
      </c>
      <c r="D591" s="1" t="s">
        <v>38</v>
      </c>
      <c r="E591" s="1">
        <v>5763</v>
      </c>
      <c r="F591" s="4">
        <v>10000000</v>
      </c>
      <c r="G591" s="4">
        <v>1735</v>
      </c>
      <c r="H591" s="1">
        <v>5</v>
      </c>
      <c r="I591" s="1">
        <v>2</v>
      </c>
      <c r="J591" s="1">
        <v>8</v>
      </c>
      <c r="K591" s="1" t="s">
        <v>12</v>
      </c>
      <c r="L591" s="1" t="s">
        <v>1233</v>
      </c>
      <c r="M591" s="1">
        <v>5</v>
      </c>
      <c r="N591" s="1">
        <v>4</v>
      </c>
      <c r="O591" s="1">
        <v>29381</v>
      </c>
      <c r="P591" s="1">
        <v>3.53</v>
      </c>
      <c r="Q591" s="1" t="s">
        <v>6</v>
      </c>
      <c r="R591" s="3">
        <v>0.42630000000000001</v>
      </c>
      <c r="S591" s="2">
        <v>45782</v>
      </c>
      <c r="T591" s="1">
        <v>65</v>
      </c>
      <c r="U591" s="1" t="s">
        <v>7</v>
      </c>
      <c r="V591" s="1">
        <v>169</v>
      </c>
      <c r="W591" s="1" t="b">
        <v>1</v>
      </c>
      <c r="X591" s="1" t="b">
        <v>1</v>
      </c>
      <c r="Y591" s="1">
        <v>0</v>
      </c>
    </row>
    <row r="592" spans="1:25" x14ac:dyDescent="0.35">
      <c r="A592" s="1" t="s">
        <v>1234</v>
      </c>
      <c r="B592" s="1" t="s">
        <v>9</v>
      </c>
      <c r="C592" s="1" t="s">
        <v>189</v>
      </c>
      <c r="D592" s="1" t="s">
        <v>38</v>
      </c>
      <c r="E592" s="1">
        <v>8838</v>
      </c>
      <c r="F592" s="4">
        <v>50000000</v>
      </c>
      <c r="G592" s="4">
        <v>5657</v>
      </c>
      <c r="H592" s="1">
        <v>5</v>
      </c>
      <c r="I592" s="1">
        <v>2</v>
      </c>
      <c r="J592" s="1">
        <v>27</v>
      </c>
      <c r="K592" s="1" t="s">
        <v>61</v>
      </c>
      <c r="L592" s="1" t="s">
        <v>1235</v>
      </c>
      <c r="M592" s="1">
        <v>5</v>
      </c>
      <c r="N592" s="1">
        <v>10</v>
      </c>
      <c r="O592" s="1">
        <v>203437</v>
      </c>
      <c r="P592" s="1">
        <v>4.88</v>
      </c>
      <c r="Q592" s="1" t="s">
        <v>14</v>
      </c>
      <c r="R592" s="3">
        <v>0.49409999999999998</v>
      </c>
      <c r="S592" s="2">
        <v>45633</v>
      </c>
      <c r="T592" s="1">
        <v>9</v>
      </c>
      <c r="U592" s="1" t="s">
        <v>7</v>
      </c>
      <c r="V592" s="1">
        <v>86</v>
      </c>
      <c r="W592" s="1" t="b">
        <v>1</v>
      </c>
      <c r="X592" s="1" t="b">
        <v>0</v>
      </c>
      <c r="Y592" s="1">
        <v>100000</v>
      </c>
    </row>
    <row r="593" spans="1:25" x14ac:dyDescent="0.35">
      <c r="A593" s="1" t="s">
        <v>1236</v>
      </c>
      <c r="B593" s="1" t="s">
        <v>32</v>
      </c>
      <c r="C593" s="1" t="s">
        <v>67</v>
      </c>
      <c r="D593" s="1" t="s">
        <v>38</v>
      </c>
      <c r="E593" s="1">
        <v>3384</v>
      </c>
      <c r="F593" s="4">
        <v>12000000</v>
      </c>
      <c r="G593" s="4">
        <v>3546</v>
      </c>
      <c r="H593" s="1">
        <v>6</v>
      </c>
      <c r="I593" s="1">
        <v>4</v>
      </c>
      <c r="J593" s="1">
        <v>17</v>
      </c>
      <c r="K593" s="1" t="s">
        <v>58</v>
      </c>
      <c r="L593" s="1" t="s">
        <v>1237</v>
      </c>
      <c r="M593" s="1">
        <v>4</v>
      </c>
      <c r="N593" s="1">
        <v>10</v>
      </c>
      <c r="O593" s="1">
        <v>42698</v>
      </c>
      <c r="P593" s="1">
        <v>4.2699999999999996</v>
      </c>
      <c r="Q593" s="1" t="s">
        <v>6</v>
      </c>
      <c r="R593" s="3">
        <v>0.46350000000000002</v>
      </c>
      <c r="S593" s="2">
        <v>45523</v>
      </c>
      <c r="T593" s="1">
        <v>277</v>
      </c>
      <c r="U593" s="1" t="s">
        <v>7</v>
      </c>
      <c r="V593" s="1">
        <v>68</v>
      </c>
      <c r="W593" s="1" t="b">
        <v>0</v>
      </c>
      <c r="X593" s="1" t="b">
        <v>1</v>
      </c>
      <c r="Y593" s="1">
        <v>0</v>
      </c>
    </row>
    <row r="594" spans="1:25" x14ac:dyDescent="0.35">
      <c r="A594" s="1" t="s">
        <v>1238</v>
      </c>
      <c r="B594" s="1" t="s">
        <v>9</v>
      </c>
      <c r="C594" s="1" t="s">
        <v>114</v>
      </c>
      <c r="D594" s="1" t="s">
        <v>20</v>
      </c>
      <c r="E594" s="1">
        <v>3096</v>
      </c>
      <c r="F594" s="4">
        <v>50000000</v>
      </c>
      <c r="G594" s="4">
        <v>16149</v>
      </c>
      <c r="H594" s="1">
        <v>5</v>
      </c>
      <c r="I594" s="1">
        <v>3</v>
      </c>
      <c r="J594" s="1">
        <v>14</v>
      </c>
      <c r="K594" s="1" t="s">
        <v>34</v>
      </c>
      <c r="L594" s="1" t="s">
        <v>1239</v>
      </c>
      <c r="M594" s="1">
        <v>5</v>
      </c>
      <c r="N594" s="1">
        <v>4</v>
      </c>
      <c r="O594" s="1">
        <v>186121</v>
      </c>
      <c r="P594" s="1">
        <v>4.47</v>
      </c>
      <c r="Q594" s="1" t="s">
        <v>14</v>
      </c>
      <c r="R594" s="3">
        <v>0.4733</v>
      </c>
      <c r="S594" s="2">
        <v>45548</v>
      </c>
      <c r="T594" s="1">
        <v>72</v>
      </c>
      <c r="U594" s="1" t="s">
        <v>23</v>
      </c>
      <c r="V594" s="1">
        <v>135</v>
      </c>
      <c r="W594" s="1" t="b">
        <v>1</v>
      </c>
      <c r="X594" s="1" t="b">
        <v>0</v>
      </c>
      <c r="Y594" s="1">
        <v>100000</v>
      </c>
    </row>
    <row r="595" spans="1:25" x14ac:dyDescent="0.35">
      <c r="A595" s="1" t="s">
        <v>1240</v>
      </c>
      <c r="B595" s="1" t="s">
        <v>25</v>
      </c>
      <c r="C595" s="1" t="s">
        <v>94</v>
      </c>
      <c r="D595" s="1" t="s">
        <v>27</v>
      </c>
      <c r="E595" s="1">
        <v>7292</v>
      </c>
      <c r="F595" s="4">
        <v>30000000</v>
      </c>
      <c r="G595" s="4">
        <v>4114</v>
      </c>
      <c r="H595" s="1">
        <v>6</v>
      </c>
      <c r="I595" s="1">
        <v>4</v>
      </c>
      <c r="J595" s="1">
        <v>18</v>
      </c>
      <c r="K595" s="1" t="s">
        <v>34</v>
      </c>
      <c r="L595" s="1" t="s">
        <v>1241</v>
      </c>
      <c r="M595" s="1">
        <v>4</v>
      </c>
      <c r="N595" s="1">
        <v>5</v>
      </c>
      <c r="O595" s="1">
        <v>95072</v>
      </c>
      <c r="P595" s="1">
        <v>3.8</v>
      </c>
      <c r="Q595" s="1" t="s">
        <v>14</v>
      </c>
      <c r="R595" s="3">
        <v>0.44009999999999999</v>
      </c>
      <c r="S595" s="2">
        <v>45557</v>
      </c>
      <c r="T595" s="1">
        <v>228</v>
      </c>
      <c r="U595" s="1" t="s">
        <v>23</v>
      </c>
      <c r="V595" s="1">
        <v>82</v>
      </c>
      <c r="W595" s="1" t="b">
        <v>1</v>
      </c>
      <c r="X595" s="1" t="b">
        <v>0</v>
      </c>
      <c r="Y595" s="1">
        <v>0</v>
      </c>
    </row>
    <row r="596" spans="1:25" x14ac:dyDescent="0.35">
      <c r="A596" s="1" t="s">
        <v>1242</v>
      </c>
      <c r="B596" s="1" t="s">
        <v>9</v>
      </c>
      <c r="C596" s="1" t="s">
        <v>142</v>
      </c>
      <c r="D596" s="1" t="s">
        <v>3</v>
      </c>
      <c r="E596" s="1">
        <v>2532</v>
      </c>
      <c r="F596" s="4">
        <v>50000000</v>
      </c>
      <c r="G596" s="4">
        <v>19747</v>
      </c>
      <c r="H596" s="1">
        <v>3</v>
      </c>
      <c r="I596" s="1">
        <v>1</v>
      </c>
      <c r="J596" s="1">
        <v>24</v>
      </c>
      <c r="K596" s="1" t="s">
        <v>42</v>
      </c>
      <c r="L596" s="1" t="s">
        <v>1243</v>
      </c>
      <c r="M596" s="1">
        <v>8</v>
      </c>
      <c r="N596" s="1">
        <v>4</v>
      </c>
      <c r="O596" s="1">
        <v>198352</v>
      </c>
      <c r="P596" s="1">
        <v>4.76</v>
      </c>
      <c r="Q596" s="1" t="s">
        <v>14</v>
      </c>
      <c r="R596" s="3">
        <v>0.48799999999999999</v>
      </c>
      <c r="S596" s="2">
        <v>45807</v>
      </c>
      <c r="T596" s="1">
        <v>131</v>
      </c>
      <c r="U596" s="1" t="s">
        <v>23</v>
      </c>
      <c r="V596" s="1">
        <v>127</v>
      </c>
      <c r="W596" s="1" t="b">
        <v>1</v>
      </c>
      <c r="X596" s="1" t="b">
        <v>0</v>
      </c>
      <c r="Y596" s="1">
        <v>0</v>
      </c>
    </row>
    <row r="597" spans="1:25" x14ac:dyDescent="0.35">
      <c r="A597" s="1" t="s">
        <v>1244</v>
      </c>
      <c r="B597" s="1" t="s">
        <v>32</v>
      </c>
      <c r="C597" s="1" t="s">
        <v>41</v>
      </c>
      <c r="D597" s="1" t="s">
        <v>11</v>
      </c>
      <c r="E597" s="1">
        <v>399</v>
      </c>
      <c r="F597" s="4">
        <v>12000000</v>
      </c>
      <c r="G597" s="4">
        <v>30075</v>
      </c>
      <c r="H597" s="1">
        <v>0</v>
      </c>
      <c r="I597" s="1">
        <v>1</v>
      </c>
      <c r="J597" s="1">
        <v>2</v>
      </c>
      <c r="K597" s="1" t="s">
        <v>28</v>
      </c>
      <c r="L597" s="1" t="s">
        <v>1245</v>
      </c>
      <c r="M597" s="1">
        <v>8</v>
      </c>
      <c r="N597" s="1">
        <v>9</v>
      </c>
      <c r="O597" s="1">
        <v>47303</v>
      </c>
      <c r="P597" s="1">
        <v>4.7300000000000004</v>
      </c>
      <c r="Q597" s="1" t="s">
        <v>6</v>
      </c>
      <c r="R597" s="3">
        <v>0.48649999999999999</v>
      </c>
      <c r="S597" s="2">
        <v>45870</v>
      </c>
      <c r="T597" s="1">
        <v>129</v>
      </c>
      <c r="U597" s="1" t="s">
        <v>30</v>
      </c>
      <c r="V597" s="1">
        <v>100</v>
      </c>
      <c r="W597" s="1" t="b">
        <v>0</v>
      </c>
      <c r="X597" s="1" t="b">
        <v>0</v>
      </c>
      <c r="Y597" s="1">
        <v>0</v>
      </c>
    </row>
    <row r="598" spans="1:25" x14ac:dyDescent="0.35">
      <c r="A598" s="1" t="s">
        <v>1246</v>
      </c>
      <c r="B598" s="1" t="s">
        <v>54</v>
      </c>
      <c r="C598" s="1" t="s">
        <v>64</v>
      </c>
      <c r="D598" s="1" t="s">
        <v>3</v>
      </c>
      <c r="E598" s="1">
        <v>814</v>
      </c>
      <c r="F598" s="4">
        <v>40000000</v>
      </c>
      <c r="G598" s="4">
        <v>49140</v>
      </c>
      <c r="H598" s="1">
        <v>4</v>
      </c>
      <c r="I598" s="1">
        <v>2</v>
      </c>
      <c r="J598" s="1">
        <v>18</v>
      </c>
      <c r="K598" s="1" t="s">
        <v>21</v>
      </c>
      <c r="L598" s="1" t="s">
        <v>1247</v>
      </c>
      <c r="M598" s="1">
        <v>6</v>
      </c>
      <c r="N598" s="1">
        <v>8</v>
      </c>
      <c r="O598" s="1">
        <v>158026</v>
      </c>
      <c r="P598" s="1">
        <v>4.74</v>
      </c>
      <c r="Q598" s="1" t="s">
        <v>14</v>
      </c>
      <c r="R598" s="3">
        <v>0.48700000000000004</v>
      </c>
      <c r="S598" s="2">
        <v>45473</v>
      </c>
      <c r="T598" s="1">
        <v>303</v>
      </c>
      <c r="U598" s="1" t="s">
        <v>7</v>
      </c>
      <c r="V598" s="1">
        <v>57</v>
      </c>
      <c r="W598" s="1" t="b">
        <v>1</v>
      </c>
      <c r="X598" s="1" t="b">
        <v>1</v>
      </c>
      <c r="Y598" s="1">
        <v>80000</v>
      </c>
    </row>
    <row r="599" spans="1:25" x14ac:dyDescent="0.35">
      <c r="A599" s="1" t="s">
        <v>1248</v>
      </c>
      <c r="B599" s="1" t="s">
        <v>25</v>
      </c>
      <c r="C599" s="1" t="s">
        <v>26</v>
      </c>
      <c r="D599" s="1" t="s">
        <v>38</v>
      </c>
      <c r="E599" s="1">
        <v>8510</v>
      </c>
      <c r="F599" s="4">
        <v>30000000</v>
      </c>
      <c r="G599" s="4">
        <v>3525</v>
      </c>
      <c r="H599" s="1">
        <v>6</v>
      </c>
      <c r="I599" s="1">
        <v>4</v>
      </c>
      <c r="J599" s="1">
        <v>26</v>
      </c>
      <c r="K599" s="1" t="s">
        <v>28</v>
      </c>
      <c r="L599" s="1" t="s">
        <v>1249</v>
      </c>
      <c r="M599" s="1">
        <v>6</v>
      </c>
      <c r="N599" s="1">
        <v>7</v>
      </c>
      <c r="O599" s="1">
        <v>115658</v>
      </c>
      <c r="P599" s="1">
        <v>4.63</v>
      </c>
      <c r="Q599" s="1" t="s">
        <v>14</v>
      </c>
      <c r="R599" s="3">
        <v>0.48130000000000001</v>
      </c>
      <c r="S599" s="2">
        <v>45513</v>
      </c>
      <c r="T599" s="1">
        <v>111</v>
      </c>
      <c r="U599" s="1" t="s">
        <v>30</v>
      </c>
      <c r="V599" s="1">
        <v>36</v>
      </c>
      <c r="W599" s="1" t="b">
        <v>1</v>
      </c>
      <c r="X599" s="1" t="b">
        <v>1</v>
      </c>
      <c r="Y599" s="1">
        <v>0</v>
      </c>
    </row>
    <row r="600" spans="1:25" x14ac:dyDescent="0.35">
      <c r="A600" s="1" t="s">
        <v>1250</v>
      </c>
      <c r="B600" s="1" t="s">
        <v>9</v>
      </c>
      <c r="C600" s="1" t="s">
        <v>163</v>
      </c>
      <c r="D600" s="1" t="s">
        <v>11</v>
      </c>
      <c r="E600" s="1">
        <v>264</v>
      </c>
      <c r="F600" s="4">
        <v>48545647</v>
      </c>
      <c r="G600" s="4">
        <v>183885</v>
      </c>
      <c r="H600" s="1">
        <v>1</v>
      </c>
      <c r="I600" s="1">
        <v>2</v>
      </c>
      <c r="J600" s="1">
        <v>11</v>
      </c>
      <c r="K600" s="1" t="s">
        <v>34</v>
      </c>
      <c r="L600" s="1" t="s">
        <v>1251</v>
      </c>
      <c r="M600" s="1">
        <v>8</v>
      </c>
      <c r="N600" s="1">
        <v>8</v>
      </c>
      <c r="O600" s="1">
        <v>134357</v>
      </c>
      <c r="P600" s="1">
        <v>3.32</v>
      </c>
      <c r="Q600" s="1" t="s">
        <v>14</v>
      </c>
      <c r="R600" s="3">
        <v>0.41609999999999997</v>
      </c>
      <c r="S600" s="2">
        <v>45585</v>
      </c>
      <c r="T600" s="1">
        <v>206</v>
      </c>
      <c r="U600" s="1" t="s">
        <v>30</v>
      </c>
      <c r="V600" s="1">
        <v>112</v>
      </c>
      <c r="W600" s="1" t="b">
        <v>0</v>
      </c>
      <c r="X600" s="1" t="b">
        <v>1</v>
      </c>
      <c r="Y600" s="1">
        <v>0</v>
      </c>
    </row>
    <row r="601" spans="1:25" x14ac:dyDescent="0.35">
      <c r="A601" s="1" t="s">
        <v>1252</v>
      </c>
      <c r="B601" s="1" t="s">
        <v>9</v>
      </c>
      <c r="C601" s="1" t="s">
        <v>163</v>
      </c>
      <c r="D601" s="1" t="s">
        <v>20</v>
      </c>
      <c r="E601" s="1">
        <v>4024</v>
      </c>
      <c r="F601" s="4">
        <v>50000000</v>
      </c>
      <c r="G601" s="4">
        <v>12425</v>
      </c>
      <c r="H601" s="1">
        <v>3</v>
      </c>
      <c r="I601" s="1">
        <v>2</v>
      </c>
      <c r="J601" s="1">
        <v>26</v>
      </c>
      <c r="K601" s="1" t="s">
        <v>42</v>
      </c>
      <c r="L601" s="1" t="s">
        <v>1253</v>
      </c>
      <c r="M601" s="1">
        <v>5</v>
      </c>
      <c r="N601" s="1">
        <v>9</v>
      </c>
      <c r="O601" s="1">
        <v>188047</v>
      </c>
      <c r="P601" s="1">
        <v>4.51</v>
      </c>
      <c r="Q601" s="1" t="s">
        <v>14</v>
      </c>
      <c r="R601" s="3">
        <v>0.47570000000000001</v>
      </c>
      <c r="S601" s="2">
        <v>45949</v>
      </c>
      <c r="T601" s="1">
        <v>180</v>
      </c>
      <c r="U601" s="1" t="s">
        <v>7</v>
      </c>
      <c r="V601" s="1">
        <v>154</v>
      </c>
      <c r="W601" s="1" t="b">
        <v>0</v>
      </c>
      <c r="X601" s="1" t="b">
        <v>0</v>
      </c>
      <c r="Y601" s="1">
        <v>0</v>
      </c>
    </row>
    <row r="602" spans="1:25" x14ac:dyDescent="0.35">
      <c r="A602" s="1" t="s">
        <v>1254</v>
      </c>
      <c r="B602" s="1" t="s">
        <v>25</v>
      </c>
      <c r="C602" s="1" t="s">
        <v>82</v>
      </c>
      <c r="D602" s="1" t="s">
        <v>20</v>
      </c>
      <c r="E602" s="1">
        <v>1565</v>
      </c>
      <c r="F602" s="4">
        <v>30000000</v>
      </c>
      <c r="G602" s="4">
        <v>19169</v>
      </c>
      <c r="H602" s="1">
        <v>2</v>
      </c>
      <c r="I602" s="1">
        <v>1</v>
      </c>
      <c r="J602" s="1">
        <v>18</v>
      </c>
      <c r="K602" s="1" t="s">
        <v>61</v>
      </c>
      <c r="L602" s="1" t="s">
        <v>1255</v>
      </c>
      <c r="M602" s="1">
        <v>5</v>
      </c>
      <c r="N602" s="1">
        <v>9</v>
      </c>
      <c r="O602" s="1">
        <v>109781</v>
      </c>
      <c r="P602" s="1">
        <v>4.3899999999999997</v>
      </c>
      <c r="Q602" s="1" t="s">
        <v>14</v>
      </c>
      <c r="R602" s="3">
        <v>0.46960000000000002</v>
      </c>
      <c r="S602" s="2">
        <v>45953</v>
      </c>
      <c r="T602" s="1">
        <v>135</v>
      </c>
      <c r="U602" s="1" t="s">
        <v>7</v>
      </c>
      <c r="V602" s="1">
        <v>133</v>
      </c>
      <c r="W602" s="1" t="b">
        <v>1</v>
      </c>
      <c r="X602" s="1" t="b">
        <v>0</v>
      </c>
      <c r="Y602" s="1">
        <v>0</v>
      </c>
    </row>
    <row r="603" spans="1:25" x14ac:dyDescent="0.35">
      <c r="A603" s="1" t="s">
        <v>1256</v>
      </c>
      <c r="B603" s="1" t="s">
        <v>18</v>
      </c>
      <c r="C603" s="1" t="s">
        <v>217</v>
      </c>
      <c r="D603" s="1" t="s">
        <v>11</v>
      </c>
      <c r="E603" s="1">
        <v>303</v>
      </c>
      <c r="F603" s="4">
        <v>15000000</v>
      </c>
      <c r="G603" s="4">
        <v>49504</v>
      </c>
      <c r="H603" s="1">
        <v>1</v>
      </c>
      <c r="I603" s="1">
        <v>1</v>
      </c>
      <c r="J603" s="1">
        <v>10</v>
      </c>
      <c r="K603" s="1" t="s">
        <v>61</v>
      </c>
      <c r="L603" s="1" t="s">
        <v>1257</v>
      </c>
      <c r="M603" s="1">
        <v>4</v>
      </c>
      <c r="N603" s="1">
        <v>9</v>
      </c>
      <c r="O603" s="1">
        <v>44344</v>
      </c>
      <c r="P603" s="1">
        <v>3.55</v>
      </c>
      <c r="Q603" s="1" t="s">
        <v>6</v>
      </c>
      <c r="R603" s="3">
        <v>0.4274</v>
      </c>
      <c r="S603" s="2">
        <v>45650</v>
      </c>
      <c r="T603" s="1">
        <v>126</v>
      </c>
      <c r="U603" s="1" t="s">
        <v>7</v>
      </c>
      <c r="V603" s="1">
        <v>86</v>
      </c>
      <c r="W603" s="1" t="b">
        <v>1</v>
      </c>
      <c r="X603" s="1" t="b">
        <v>0</v>
      </c>
      <c r="Y603" s="1">
        <v>30000</v>
      </c>
    </row>
    <row r="604" spans="1:25" x14ac:dyDescent="0.35">
      <c r="A604" s="1" t="s">
        <v>1258</v>
      </c>
      <c r="B604" s="1" t="s">
        <v>25</v>
      </c>
      <c r="C604" s="1" t="s">
        <v>314</v>
      </c>
      <c r="D604" s="1" t="s">
        <v>20</v>
      </c>
      <c r="E604" s="1">
        <v>2498</v>
      </c>
      <c r="F604" s="4">
        <v>30000000</v>
      </c>
      <c r="G604" s="4">
        <v>12009</v>
      </c>
      <c r="H604" s="1">
        <v>2</v>
      </c>
      <c r="I604" s="1">
        <v>2</v>
      </c>
      <c r="J604" s="1">
        <v>26</v>
      </c>
      <c r="K604" s="1" t="s">
        <v>21</v>
      </c>
      <c r="L604" s="1" t="s">
        <v>1259</v>
      </c>
      <c r="M604" s="1">
        <v>6</v>
      </c>
      <c r="N604" s="1">
        <v>9</v>
      </c>
      <c r="O604" s="1">
        <v>119430</v>
      </c>
      <c r="P604" s="1">
        <v>4.78</v>
      </c>
      <c r="Q604" s="1" t="s">
        <v>14</v>
      </c>
      <c r="R604" s="3">
        <v>0.4889</v>
      </c>
      <c r="S604" s="2">
        <v>45760</v>
      </c>
      <c r="T604" s="1">
        <v>135</v>
      </c>
      <c r="U604" s="1" t="s">
        <v>30</v>
      </c>
      <c r="V604" s="1">
        <v>123</v>
      </c>
      <c r="W604" s="1" t="b">
        <v>0</v>
      </c>
      <c r="X604" s="1" t="b">
        <v>0</v>
      </c>
      <c r="Y604" s="1">
        <v>0</v>
      </c>
    </row>
    <row r="605" spans="1:25" x14ac:dyDescent="0.35">
      <c r="A605" s="1" t="s">
        <v>1260</v>
      </c>
      <c r="B605" s="1" t="s">
        <v>25</v>
      </c>
      <c r="C605" s="1" t="s">
        <v>26</v>
      </c>
      <c r="D605" s="1" t="s">
        <v>38</v>
      </c>
      <c r="E605" s="1">
        <v>5925</v>
      </c>
      <c r="F605" s="4">
        <v>30000000</v>
      </c>
      <c r="G605" s="4">
        <v>5063</v>
      </c>
      <c r="H605" s="1">
        <v>4</v>
      </c>
      <c r="I605" s="1">
        <v>2</v>
      </c>
      <c r="J605" s="1">
        <v>10</v>
      </c>
      <c r="K605" s="1" t="s">
        <v>4</v>
      </c>
      <c r="L605" s="1" t="s">
        <v>1261</v>
      </c>
      <c r="M605" s="1">
        <v>8</v>
      </c>
      <c r="N605" s="1">
        <v>10</v>
      </c>
      <c r="O605" s="1">
        <v>110878</v>
      </c>
      <c r="P605" s="1">
        <v>4.4400000000000004</v>
      </c>
      <c r="Q605" s="1" t="s">
        <v>14</v>
      </c>
      <c r="R605" s="3">
        <v>0.4718</v>
      </c>
      <c r="S605" s="2">
        <v>45496</v>
      </c>
      <c r="T605" s="1">
        <v>239</v>
      </c>
      <c r="U605" s="1" t="s">
        <v>23</v>
      </c>
      <c r="V605" s="1">
        <v>87</v>
      </c>
      <c r="W605" s="1" t="b">
        <v>0</v>
      </c>
      <c r="X605" s="1" t="b">
        <v>1</v>
      </c>
      <c r="Y605" s="1">
        <v>0</v>
      </c>
    </row>
    <row r="606" spans="1:25" x14ac:dyDescent="0.35">
      <c r="A606" s="1" t="s">
        <v>1262</v>
      </c>
      <c r="B606" s="1" t="s">
        <v>32</v>
      </c>
      <c r="C606" s="1" t="s">
        <v>197</v>
      </c>
      <c r="D606" s="1" t="s">
        <v>11</v>
      </c>
      <c r="E606" s="1">
        <v>552</v>
      </c>
      <c r="F606" s="4">
        <v>12000000</v>
      </c>
      <c r="G606" s="4">
        <v>21739</v>
      </c>
      <c r="H606" s="1">
        <v>1</v>
      </c>
      <c r="I606" s="1">
        <v>1</v>
      </c>
      <c r="J606" s="1">
        <v>30</v>
      </c>
      <c r="K606" s="1" t="s">
        <v>28</v>
      </c>
      <c r="L606" s="1" t="s">
        <v>1263</v>
      </c>
      <c r="M606" s="1">
        <v>4</v>
      </c>
      <c r="N606" s="1">
        <v>9</v>
      </c>
      <c r="O606" s="1">
        <v>39532</v>
      </c>
      <c r="P606" s="1">
        <v>3.95</v>
      </c>
      <c r="Q606" s="1" t="s">
        <v>6</v>
      </c>
      <c r="R606" s="3">
        <v>0.44770000000000004</v>
      </c>
      <c r="S606" s="2">
        <v>45433</v>
      </c>
      <c r="T606" s="1">
        <v>34</v>
      </c>
      <c r="U606" s="1" t="s">
        <v>7</v>
      </c>
      <c r="V606" s="1">
        <v>120</v>
      </c>
      <c r="W606" s="1" t="b">
        <v>0</v>
      </c>
      <c r="X606" s="1" t="b">
        <v>0</v>
      </c>
      <c r="Y606" s="1">
        <v>24000</v>
      </c>
    </row>
    <row r="607" spans="1:25" x14ac:dyDescent="0.35">
      <c r="A607" s="1" t="s">
        <v>1264</v>
      </c>
      <c r="B607" s="1" t="s">
        <v>1</v>
      </c>
      <c r="C607" s="1" t="s">
        <v>51</v>
      </c>
      <c r="D607" s="1" t="s">
        <v>11</v>
      </c>
      <c r="E607" s="1">
        <v>470</v>
      </c>
      <c r="F607" s="4">
        <v>10000000</v>
      </c>
      <c r="G607" s="4">
        <v>21276</v>
      </c>
      <c r="H607" s="1">
        <v>0</v>
      </c>
      <c r="I607" s="1">
        <v>2</v>
      </c>
      <c r="J607" s="1">
        <v>6</v>
      </c>
      <c r="K607" s="1" t="s">
        <v>12</v>
      </c>
      <c r="L607" s="1" t="s">
        <v>1265</v>
      </c>
      <c r="M607" s="1">
        <v>8</v>
      </c>
      <c r="N607" s="1">
        <v>6</v>
      </c>
      <c r="O607" s="1">
        <v>41181</v>
      </c>
      <c r="P607" s="1">
        <v>4.9400000000000004</v>
      </c>
      <c r="Q607" s="1" t="s">
        <v>6</v>
      </c>
      <c r="R607" s="3">
        <v>0.49709999999999999</v>
      </c>
      <c r="S607" s="2">
        <v>46102</v>
      </c>
      <c r="T607" s="1">
        <v>62</v>
      </c>
      <c r="U607" s="1" t="s">
        <v>30</v>
      </c>
      <c r="V607" s="1">
        <v>180</v>
      </c>
      <c r="W607" s="1" t="b">
        <v>1</v>
      </c>
      <c r="X607" s="1" t="b">
        <v>1</v>
      </c>
      <c r="Y607" s="1">
        <v>0</v>
      </c>
    </row>
    <row r="608" spans="1:25" x14ac:dyDescent="0.35">
      <c r="A608" s="1" t="s">
        <v>1266</v>
      </c>
      <c r="B608" s="1" t="s">
        <v>1</v>
      </c>
      <c r="C608" s="1" t="s">
        <v>303</v>
      </c>
      <c r="D608" s="1" t="s">
        <v>27</v>
      </c>
      <c r="E608" s="1">
        <v>4038</v>
      </c>
      <c r="F608" s="4">
        <v>10000000</v>
      </c>
      <c r="G608" s="4">
        <v>2476</v>
      </c>
      <c r="H608" s="1">
        <v>4</v>
      </c>
      <c r="I608" s="1">
        <v>2</v>
      </c>
      <c r="J608" s="1">
        <v>0</v>
      </c>
      <c r="K608" s="1" t="s">
        <v>21</v>
      </c>
      <c r="L608" s="1" t="s">
        <v>1267</v>
      </c>
      <c r="M608" s="1">
        <v>8</v>
      </c>
      <c r="N608" s="1">
        <v>6</v>
      </c>
      <c r="O608" s="1">
        <v>27308</v>
      </c>
      <c r="P608" s="1">
        <v>3.28</v>
      </c>
      <c r="Q608" s="1" t="s">
        <v>6</v>
      </c>
      <c r="R608" s="3">
        <v>0.4138</v>
      </c>
      <c r="S608" s="2">
        <v>45805</v>
      </c>
      <c r="T608" s="1">
        <v>91</v>
      </c>
      <c r="U608" s="1" t="s">
        <v>7</v>
      </c>
      <c r="V608" s="1">
        <v>120</v>
      </c>
      <c r="W608" s="1" t="b">
        <v>0</v>
      </c>
      <c r="X608" s="1" t="b">
        <v>0</v>
      </c>
      <c r="Y608" s="1">
        <v>0</v>
      </c>
    </row>
    <row r="609" spans="1:25" x14ac:dyDescent="0.35">
      <c r="A609" s="1" t="s">
        <v>1268</v>
      </c>
      <c r="B609" s="1" t="s">
        <v>9</v>
      </c>
      <c r="C609" s="1" t="s">
        <v>10</v>
      </c>
      <c r="D609" s="1" t="s">
        <v>20</v>
      </c>
      <c r="E609" s="1">
        <v>3144</v>
      </c>
      <c r="F609" s="4">
        <v>50000000</v>
      </c>
      <c r="G609" s="4">
        <v>15903</v>
      </c>
      <c r="H609" s="1">
        <v>3</v>
      </c>
      <c r="I609" s="1">
        <v>1</v>
      </c>
      <c r="J609" s="1">
        <v>11</v>
      </c>
      <c r="K609" s="1" t="s">
        <v>28</v>
      </c>
      <c r="L609" s="1" t="s">
        <v>1269</v>
      </c>
      <c r="M609" s="1">
        <v>8</v>
      </c>
      <c r="N609" s="1">
        <v>4</v>
      </c>
      <c r="O609" s="1">
        <v>129928</v>
      </c>
      <c r="P609" s="1">
        <v>3.12</v>
      </c>
      <c r="Q609" s="1" t="s">
        <v>14</v>
      </c>
      <c r="R609" s="3">
        <v>0.40590000000000004</v>
      </c>
      <c r="S609" s="2">
        <v>45774</v>
      </c>
      <c r="T609" s="1">
        <v>7</v>
      </c>
      <c r="U609" s="1" t="s">
        <v>7</v>
      </c>
      <c r="V609" s="1">
        <v>165</v>
      </c>
      <c r="W609" s="1" t="b">
        <v>1</v>
      </c>
      <c r="X609" s="1" t="b">
        <v>0</v>
      </c>
      <c r="Y609" s="1">
        <v>0</v>
      </c>
    </row>
    <row r="610" spans="1:25" x14ac:dyDescent="0.35">
      <c r="A610" s="1" t="s">
        <v>1270</v>
      </c>
      <c r="B610" s="1" t="s">
        <v>54</v>
      </c>
      <c r="C610" s="1" t="s">
        <v>64</v>
      </c>
      <c r="D610" s="1" t="s">
        <v>38</v>
      </c>
      <c r="E610" s="1">
        <v>7615</v>
      </c>
      <c r="F610" s="4">
        <v>40000000</v>
      </c>
      <c r="G610" s="4">
        <v>5252</v>
      </c>
      <c r="H610" s="1">
        <v>5</v>
      </c>
      <c r="I610" s="1">
        <v>2</v>
      </c>
      <c r="J610" s="1">
        <v>30</v>
      </c>
      <c r="K610" s="1" t="s">
        <v>4</v>
      </c>
      <c r="L610" s="1" t="s">
        <v>1271</v>
      </c>
      <c r="M610" s="1">
        <v>4</v>
      </c>
      <c r="N610" s="1">
        <v>8</v>
      </c>
      <c r="O610" s="1">
        <v>106464</v>
      </c>
      <c r="P610" s="1">
        <v>3.19</v>
      </c>
      <c r="Q610" s="1" t="s">
        <v>14</v>
      </c>
      <c r="R610" s="3">
        <v>0.40970000000000001</v>
      </c>
      <c r="S610" s="2">
        <v>45457</v>
      </c>
      <c r="T610" s="1">
        <v>294</v>
      </c>
      <c r="U610" s="1" t="s">
        <v>23</v>
      </c>
      <c r="V610" s="1">
        <v>125</v>
      </c>
      <c r="W610" s="1" t="b">
        <v>1</v>
      </c>
      <c r="X610" s="1" t="b">
        <v>0</v>
      </c>
      <c r="Y610" s="1">
        <v>80000</v>
      </c>
    </row>
    <row r="611" spans="1:25" x14ac:dyDescent="0.35">
      <c r="A611" s="1" t="s">
        <v>1272</v>
      </c>
      <c r="B611" s="1" t="s">
        <v>32</v>
      </c>
      <c r="C611" s="1" t="s">
        <v>41</v>
      </c>
      <c r="D611" s="1" t="s">
        <v>11</v>
      </c>
      <c r="E611" s="1">
        <v>265</v>
      </c>
      <c r="F611" s="4">
        <v>12000000</v>
      </c>
      <c r="G611" s="4">
        <v>45283</v>
      </c>
      <c r="H611" s="1">
        <v>0</v>
      </c>
      <c r="I611" s="1">
        <v>1</v>
      </c>
      <c r="J611" s="1">
        <v>25</v>
      </c>
      <c r="K611" s="1" t="s">
        <v>61</v>
      </c>
      <c r="L611" s="1" t="s">
        <v>1273</v>
      </c>
      <c r="M611" s="1">
        <v>5</v>
      </c>
      <c r="N611" s="1">
        <v>8</v>
      </c>
      <c r="O611" s="1">
        <v>39953</v>
      </c>
      <c r="P611" s="1">
        <v>4</v>
      </c>
      <c r="Q611" s="1" t="s">
        <v>6</v>
      </c>
      <c r="R611" s="3">
        <v>0.44979999999999998</v>
      </c>
      <c r="S611" s="2">
        <v>45539</v>
      </c>
      <c r="T611" s="1">
        <v>233</v>
      </c>
      <c r="U611" s="1" t="s">
        <v>7</v>
      </c>
      <c r="V611" s="1">
        <v>116</v>
      </c>
      <c r="W611" s="1" t="b">
        <v>0</v>
      </c>
      <c r="X611" s="1" t="b">
        <v>0</v>
      </c>
      <c r="Y611" s="1">
        <v>24000</v>
      </c>
    </row>
    <row r="612" spans="1:25" x14ac:dyDescent="0.35">
      <c r="A612" s="1" t="s">
        <v>1274</v>
      </c>
      <c r="B612" s="1" t="s">
        <v>1</v>
      </c>
      <c r="C612" s="1" t="s">
        <v>51</v>
      </c>
      <c r="D612" s="1" t="s">
        <v>3</v>
      </c>
      <c r="E612" s="1">
        <v>1785</v>
      </c>
      <c r="F612" s="4">
        <v>10000000</v>
      </c>
      <c r="G612" s="4">
        <v>5602</v>
      </c>
      <c r="H612" s="1">
        <v>2</v>
      </c>
      <c r="I612" s="1">
        <v>2</v>
      </c>
      <c r="J612" s="1">
        <v>4</v>
      </c>
      <c r="K612" s="1" t="s">
        <v>12</v>
      </c>
      <c r="L612" s="1" t="s">
        <v>1275</v>
      </c>
      <c r="M612" s="1">
        <v>4</v>
      </c>
      <c r="N612" s="1">
        <v>9</v>
      </c>
      <c r="O612" s="1">
        <v>41372</v>
      </c>
      <c r="P612" s="1">
        <v>4.96</v>
      </c>
      <c r="Q612" s="1" t="s">
        <v>6</v>
      </c>
      <c r="R612" s="3">
        <v>0.49819999999999998</v>
      </c>
      <c r="S612" s="2">
        <v>45665</v>
      </c>
      <c r="T612" s="1">
        <v>267</v>
      </c>
      <c r="U612" s="1" t="s">
        <v>30</v>
      </c>
      <c r="V612" s="1">
        <v>55</v>
      </c>
      <c r="W612" s="1" t="b">
        <v>1</v>
      </c>
      <c r="X612" s="1" t="b">
        <v>0</v>
      </c>
      <c r="Y612" s="1">
        <v>0</v>
      </c>
    </row>
    <row r="613" spans="1:25" x14ac:dyDescent="0.35">
      <c r="A613" s="1" t="s">
        <v>1276</v>
      </c>
      <c r="B613" s="1" t="s">
        <v>32</v>
      </c>
      <c r="C613" s="1" t="s">
        <v>194</v>
      </c>
      <c r="D613" s="1" t="s">
        <v>27</v>
      </c>
      <c r="E613" s="1">
        <v>4314</v>
      </c>
      <c r="F613" s="4">
        <v>12000000</v>
      </c>
      <c r="G613" s="4">
        <v>2781</v>
      </c>
      <c r="H613" s="1">
        <v>5</v>
      </c>
      <c r="I613" s="1">
        <v>2</v>
      </c>
      <c r="J613" s="1">
        <v>14</v>
      </c>
      <c r="K613" s="1" t="s">
        <v>21</v>
      </c>
      <c r="L613" s="1" t="s">
        <v>429</v>
      </c>
      <c r="M613" s="1">
        <v>4</v>
      </c>
      <c r="N613" s="1">
        <v>7</v>
      </c>
      <c r="O613" s="1">
        <v>30476</v>
      </c>
      <c r="P613" s="1">
        <v>3.05</v>
      </c>
      <c r="Q613" s="1" t="s">
        <v>6</v>
      </c>
      <c r="R613" s="3">
        <v>0.40240000000000004</v>
      </c>
      <c r="S613" s="2">
        <v>46050</v>
      </c>
      <c r="T613" s="1">
        <v>157</v>
      </c>
      <c r="U613" s="1" t="s">
        <v>7</v>
      </c>
      <c r="V613" s="1">
        <v>129</v>
      </c>
      <c r="W613" s="1" t="b">
        <v>0</v>
      </c>
      <c r="X613" s="1" t="b">
        <v>0</v>
      </c>
      <c r="Y613" s="1">
        <v>24000</v>
      </c>
    </row>
    <row r="614" spans="1:25" x14ac:dyDescent="0.35">
      <c r="A614" s="1" t="s">
        <v>1277</v>
      </c>
      <c r="B614" s="1" t="s">
        <v>32</v>
      </c>
      <c r="C614" s="1" t="s">
        <v>33</v>
      </c>
      <c r="D614" s="1" t="s">
        <v>27</v>
      </c>
      <c r="E614" s="1">
        <v>2730</v>
      </c>
      <c r="F614" s="4">
        <v>12000000</v>
      </c>
      <c r="G614" s="4">
        <v>4395</v>
      </c>
      <c r="H614" s="1">
        <v>5</v>
      </c>
      <c r="I614" s="1">
        <v>2</v>
      </c>
      <c r="J614" s="1">
        <v>20</v>
      </c>
      <c r="K614" s="1" t="s">
        <v>21</v>
      </c>
      <c r="L614" s="1" t="s">
        <v>1278</v>
      </c>
      <c r="M614" s="1">
        <v>5</v>
      </c>
      <c r="N614" s="1">
        <v>9</v>
      </c>
      <c r="O614" s="1">
        <v>49283</v>
      </c>
      <c r="P614" s="1">
        <v>4.93</v>
      </c>
      <c r="Q614" s="1" t="s">
        <v>6</v>
      </c>
      <c r="R614" s="3">
        <v>0.49640000000000001</v>
      </c>
      <c r="S614" s="2">
        <v>46103</v>
      </c>
      <c r="T614" s="1">
        <v>261</v>
      </c>
      <c r="U614" s="1" t="s">
        <v>30</v>
      </c>
      <c r="V614" s="1">
        <v>141</v>
      </c>
      <c r="W614" s="1" t="b">
        <v>1</v>
      </c>
      <c r="X614" s="1" t="b">
        <v>0</v>
      </c>
      <c r="Y614" s="1">
        <v>24000</v>
      </c>
    </row>
    <row r="615" spans="1:25" x14ac:dyDescent="0.35">
      <c r="A615" s="1" t="s">
        <v>1279</v>
      </c>
      <c r="B615" s="1" t="s">
        <v>25</v>
      </c>
      <c r="C615" s="1" t="s">
        <v>314</v>
      </c>
      <c r="D615" s="1" t="s">
        <v>11</v>
      </c>
      <c r="E615" s="1">
        <v>345</v>
      </c>
      <c r="F615" s="4">
        <v>26749649</v>
      </c>
      <c r="G615" s="4">
        <v>77535</v>
      </c>
      <c r="H615" s="1">
        <v>0</v>
      </c>
      <c r="I615" s="1">
        <v>2</v>
      </c>
      <c r="J615" s="1">
        <v>2</v>
      </c>
      <c r="K615" s="1" t="s">
        <v>21</v>
      </c>
      <c r="L615" s="1" t="s">
        <v>1280</v>
      </c>
      <c r="M615" s="1">
        <v>8</v>
      </c>
      <c r="N615" s="1">
        <v>5</v>
      </c>
      <c r="O615" s="1">
        <v>97609</v>
      </c>
      <c r="P615" s="1">
        <v>4.38</v>
      </c>
      <c r="Q615" s="1" t="s">
        <v>14</v>
      </c>
      <c r="R615" s="3">
        <v>0.46889999999999998</v>
      </c>
      <c r="S615" s="2">
        <v>45859</v>
      </c>
      <c r="T615" s="1">
        <v>91</v>
      </c>
      <c r="U615" s="1" t="s">
        <v>7</v>
      </c>
      <c r="V615" s="1">
        <v>114</v>
      </c>
      <c r="W615" s="1" t="b">
        <v>0</v>
      </c>
      <c r="X615" s="1" t="b">
        <v>1</v>
      </c>
      <c r="Y615" s="1">
        <v>0</v>
      </c>
    </row>
    <row r="616" spans="1:25" x14ac:dyDescent="0.35">
      <c r="A616" s="1" t="s">
        <v>1281</v>
      </c>
      <c r="B616" s="1" t="s">
        <v>18</v>
      </c>
      <c r="C616" s="1" t="s">
        <v>169</v>
      </c>
      <c r="D616" s="1" t="s">
        <v>27</v>
      </c>
      <c r="E616" s="1">
        <v>3160</v>
      </c>
      <c r="F616" s="4">
        <v>15000000</v>
      </c>
      <c r="G616" s="4">
        <v>4746</v>
      </c>
      <c r="H616" s="1">
        <v>4</v>
      </c>
      <c r="I616" s="1">
        <v>3</v>
      </c>
      <c r="J616" s="1">
        <v>28</v>
      </c>
      <c r="K616" s="1" t="s">
        <v>21</v>
      </c>
      <c r="L616" s="1" t="s">
        <v>1282</v>
      </c>
      <c r="M616" s="1">
        <v>6</v>
      </c>
      <c r="N616" s="1">
        <v>10</v>
      </c>
      <c r="O616" s="1">
        <v>47897</v>
      </c>
      <c r="P616" s="1">
        <v>3.83</v>
      </c>
      <c r="Q616" s="1" t="s">
        <v>6</v>
      </c>
      <c r="R616" s="3">
        <v>0.44159999999999999</v>
      </c>
      <c r="S616" s="2">
        <v>45733</v>
      </c>
      <c r="T616" s="1">
        <v>250</v>
      </c>
      <c r="U616" s="1" t="s">
        <v>7</v>
      </c>
      <c r="V616" s="1">
        <v>78</v>
      </c>
      <c r="W616" s="1" t="b">
        <v>0</v>
      </c>
      <c r="X616" s="1" t="b">
        <v>1</v>
      </c>
      <c r="Y616" s="1">
        <v>0</v>
      </c>
    </row>
    <row r="617" spans="1:25" x14ac:dyDescent="0.35">
      <c r="A617" s="1" t="s">
        <v>1283</v>
      </c>
      <c r="B617" s="1" t="s">
        <v>9</v>
      </c>
      <c r="C617" s="1" t="s">
        <v>142</v>
      </c>
      <c r="D617" s="1" t="s">
        <v>11</v>
      </c>
      <c r="E617" s="1">
        <v>315</v>
      </c>
      <c r="F617" s="4">
        <v>42034728</v>
      </c>
      <c r="G617" s="4">
        <v>133443</v>
      </c>
      <c r="H617" s="1">
        <v>0</v>
      </c>
      <c r="I617" s="1">
        <v>1</v>
      </c>
      <c r="J617" s="1">
        <v>20</v>
      </c>
      <c r="K617" s="1" t="s">
        <v>58</v>
      </c>
      <c r="L617" s="1" t="s">
        <v>957</v>
      </c>
      <c r="M617" s="1">
        <v>3</v>
      </c>
      <c r="N617" s="1">
        <v>9</v>
      </c>
      <c r="O617" s="1">
        <v>128022</v>
      </c>
      <c r="P617" s="1">
        <v>3.65</v>
      </c>
      <c r="Q617" s="1" t="s">
        <v>14</v>
      </c>
      <c r="R617" s="3">
        <v>0.43270000000000003</v>
      </c>
      <c r="S617" s="2">
        <v>45894</v>
      </c>
      <c r="T617" s="1">
        <v>146</v>
      </c>
      <c r="U617" s="1" t="s">
        <v>23</v>
      </c>
      <c r="V617" s="1">
        <v>131</v>
      </c>
      <c r="W617" s="1" t="b">
        <v>0</v>
      </c>
      <c r="X617" s="1" t="b">
        <v>0</v>
      </c>
      <c r="Y617" s="1">
        <v>0</v>
      </c>
    </row>
    <row r="618" spans="1:25" x14ac:dyDescent="0.35">
      <c r="A618" s="1" t="s">
        <v>1284</v>
      </c>
      <c r="B618" s="1" t="s">
        <v>9</v>
      </c>
      <c r="C618" s="1" t="s">
        <v>189</v>
      </c>
      <c r="D618" s="1" t="s">
        <v>11</v>
      </c>
      <c r="E618" s="1">
        <v>353</v>
      </c>
      <c r="F618" s="4">
        <v>48216090</v>
      </c>
      <c r="G618" s="4">
        <v>136589</v>
      </c>
      <c r="H618" s="1">
        <v>0</v>
      </c>
      <c r="I618" s="1">
        <v>2</v>
      </c>
      <c r="J618" s="1">
        <v>6</v>
      </c>
      <c r="K618" s="1" t="s">
        <v>58</v>
      </c>
      <c r="L618" s="1" t="s">
        <v>1285</v>
      </c>
      <c r="M618" s="1">
        <v>4</v>
      </c>
      <c r="N618" s="1">
        <v>10</v>
      </c>
      <c r="O618" s="1">
        <v>123596</v>
      </c>
      <c r="P618" s="1">
        <v>3.08</v>
      </c>
      <c r="Q618" s="1" t="s">
        <v>14</v>
      </c>
      <c r="R618" s="3">
        <v>0.40380000000000005</v>
      </c>
      <c r="S618" s="2">
        <v>45759</v>
      </c>
      <c r="T618" s="1">
        <v>124</v>
      </c>
      <c r="U618" s="1" t="s">
        <v>7</v>
      </c>
      <c r="V618" s="1">
        <v>47</v>
      </c>
      <c r="W618" s="1" t="b">
        <v>0</v>
      </c>
      <c r="X618" s="1" t="b">
        <v>0</v>
      </c>
      <c r="Y618" s="1">
        <v>0</v>
      </c>
    </row>
    <row r="619" spans="1:25" x14ac:dyDescent="0.35">
      <c r="A619" s="1" t="s">
        <v>1286</v>
      </c>
      <c r="B619" s="1" t="s">
        <v>1</v>
      </c>
      <c r="C619" s="1" t="s">
        <v>303</v>
      </c>
      <c r="D619" s="1" t="s">
        <v>11</v>
      </c>
      <c r="E619" s="1">
        <v>555</v>
      </c>
      <c r="F619" s="4">
        <v>10000000</v>
      </c>
      <c r="G619" s="4">
        <v>18018</v>
      </c>
      <c r="H619" s="1">
        <v>0</v>
      </c>
      <c r="I619" s="1">
        <v>1</v>
      </c>
      <c r="J619" s="1">
        <v>24</v>
      </c>
      <c r="K619" s="1" t="s">
        <v>12</v>
      </c>
      <c r="L619" s="1" t="s">
        <v>1287</v>
      </c>
      <c r="M619" s="1">
        <v>4</v>
      </c>
      <c r="N619" s="1">
        <v>5</v>
      </c>
      <c r="O619" s="1">
        <v>29180</v>
      </c>
      <c r="P619" s="1">
        <v>3.5</v>
      </c>
      <c r="Q619" s="1" t="s">
        <v>6</v>
      </c>
      <c r="R619" s="3">
        <v>0.42509999999999998</v>
      </c>
      <c r="S619" s="2">
        <v>45977</v>
      </c>
      <c r="T619" s="1">
        <v>201</v>
      </c>
      <c r="U619" s="1" t="s">
        <v>7</v>
      </c>
      <c r="V619" s="1">
        <v>44</v>
      </c>
      <c r="W619" s="1" t="b">
        <v>0</v>
      </c>
      <c r="X619" s="1" t="b">
        <v>1</v>
      </c>
      <c r="Y619" s="1">
        <v>0</v>
      </c>
    </row>
    <row r="620" spans="1:25" x14ac:dyDescent="0.35">
      <c r="A620" s="1" t="s">
        <v>1288</v>
      </c>
      <c r="B620" s="1" t="s">
        <v>32</v>
      </c>
      <c r="C620" s="1" t="s">
        <v>33</v>
      </c>
      <c r="D620" s="1" t="s">
        <v>27</v>
      </c>
      <c r="E620" s="1">
        <v>3507</v>
      </c>
      <c r="F620" s="4">
        <v>12000000</v>
      </c>
      <c r="G620" s="4">
        <v>3421</v>
      </c>
      <c r="H620" s="1">
        <v>4</v>
      </c>
      <c r="I620" s="1">
        <v>3</v>
      </c>
      <c r="J620" s="1">
        <v>21</v>
      </c>
      <c r="K620" s="1" t="s">
        <v>61</v>
      </c>
      <c r="L620" s="1" t="s">
        <v>1289</v>
      </c>
      <c r="M620" s="1">
        <v>8</v>
      </c>
      <c r="N620" s="1">
        <v>4</v>
      </c>
      <c r="O620" s="1">
        <v>49283</v>
      </c>
      <c r="P620" s="1">
        <v>4.93</v>
      </c>
      <c r="Q620" s="1" t="s">
        <v>6</v>
      </c>
      <c r="R620" s="3">
        <v>0.49640000000000001</v>
      </c>
      <c r="S620" s="2">
        <v>46098</v>
      </c>
      <c r="T620" s="1">
        <v>266</v>
      </c>
      <c r="U620" s="1" t="s">
        <v>7</v>
      </c>
      <c r="V620" s="1">
        <v>134</v>
      </c>
      <c r="W620" s="1" t="b">
        <v>1</v>
      </c>
      <c r="X620" s="1" t="b">
        <v>1</v>
      </c>
      <c r="Y620" s="1">
        <v>0</v>
      </c>
    </row>
    <row r="621" spans="1:25" x14ac:dyDescent="0.35">
      <c r="A621" s="1" t="s">
        <v>1290</v>
      </c>
      <c r="B621" s="1" t="s">
        <v>54</v>
      </c>
      <c r="C621" s="1" t="s">
        <v>64</v>
      </c>
      <c r="D621" s="1" t="s">
        <v>27</v>
      </c>
      <c r="E621" s="1">
        <v>2850</v>
      </c>
      <c r="F621" s="4">
        <v>40000000</v>
      </c>
      <c r="G621" s="4">
        <v>14035</v>
      </c>
      <c r="H621" s="1">
        <v>4</v>
      </c>
      <c r="I621" s="1">
        <v>2</v>
      </c>
      <c r="J621" s="1">
        <v>12</v>
      </c>
      <c r="K621" s="1" t="s">
        <v>58</v>
      </c>
      <c r="L621" s="1" t="s">
        <v>1291</v>
      </c>
      <c r="M621" s="1">
        <v>3</v>
      </c>
      <c r="N621" s="1">
        <v>4</v>
      </c>
      <c r="O621" s="1">
        <v>150811</v>
      </c>
      <c r="P621" s="1">
        <v>4.5199999999999996</v>
      </c>
      <c r="Q621" s="1" t="s">
        <v>14</v>
      </c>
      <c r="R621" s="3">
        <v>0.47619999999999996</v>
      </c>
      <c r="S621" s="2">
        <v>46120</v>
      </c>
      <c r="T621" s="1">
        <v>333</v>
      </c>
      <c r="U621" s="1" t="s">
        <v>7</v>
      </c>
      <c r="V621" s="1">
        <v>35</v>
      </c>
      <c r="W621" s="1" t="b">
        <v>0</v>
      </c>
      <c r="X621" s="1" t="b">
        <v>0</v>
      </c>
      <c r="Y621" s="1">
        <v>0</v>
      </c>
    </row>
    <row r="622" spans="1:25" x14ac:dyDescent="0.35">
      <c r="A622" s="1" t="s">
        <v>1292</v>
      </c>
      <c r="B622" s="1" t="s">
        <v>1</v>
      </c>
      <c r="C622" s="1" t="s">
        <v>51</v>
      </c>
      <c r="D622" s="1" t="s">
        <v>11</v>
      </c>
      <c r="E622" s="1">
        <v>480</v>
      </c>
      <c r="F622" s="4">
        <v>10000000</v>
      </c>
      <c r="G622" s="4">
        <v>20833</v>
      </c>
      <c r="H622" s="1">
        <v>0</v>
      </c>
      <c r="I622" s="1">
        <v>2</v>
      </c>
      <c r="J622" s="1">
        <v>19</v>
      </c>
      <c r="K622" s="1" t="s">
        <v>12</v>
      </c>
      <c r="L622" s="1" t="s">
        <v>1293</v>
      </c>
      <c r="M622" s="1">
        <v>5</v>
      </c>
      <c r="N622" s="1">
        <v>7</v>
      </c>
      <c r="O622" s="1">
        <v>29781</v>
      </c>
      <c r="P622" s="1">
        <v>3.57</v>
      </c>
      <c r="Q622" s="1" t="s">
        <v>6</v>
      </c>
      <c r="R622" s="3">
        <v>0.42869999999999997</v>
      </c>
      <c r="S622" s="2">
        <v>45978</v>
      </c>
      <c r="T622" s="1">
        <v>83</v>
      </c>
      <c r="U622" s="1" t="s">
        <v>23</v>
      </c>
      <c r="V622" s="1">
        <v>95</v>
      </c>
      <c r="W622" s="1" t="b">
        <v>0</v>
      </c>
      <c r="X622" s="1" t="b">
        <v>1</v>
      </c>
      <c r="Y622" s="1">
        <v>0</v>
      </c>
    </row>
    <row r="623" spans="1:25" x14ac:dyDescent="0.35">
      <c r="A623" s="1" t="s">
        <v>1294</v>
      </c>
      <c r="B623" s="1" t="s">
        <v>54</v>
      </c>
      <c r="C623" s="1" t="s">
        <v>55</v>
      </c>
      <c r="D623" s="1" t="s">
        <v>3</v>
      </c>
      <c r="E623" s="1">
        <v>2283</v>
      </c>
      <c r="F623" s="4">
        <v>40000000</v>
      </c>
      <c r="G623" s="4">
        <v>17520</v>
      </c>
      <c r="H623" s="1">
        <v>4</v>
      </c>
      <c r="I623" s="1">
        <v>2</v>
      </c>
      <c r="J623" s="1">
        <v>12</v>
      </c>
      <c r="K623" s="1" t="s">
        <v>21</v>
      </c>
      <c r="L623" s="1" t="s">
        <v>1295</v>
      </c>
      <c r="M623" s="1">
        <v>4</v>
      </c>
      <c r="N623" s="1">
        <v>6</v>
      </c>
      <c r="O623" s="1">
        <v>130154</v>
      </c>
      <c r="P623" s="1">
        <v>3.9</v>
      </c>
      <c r="Q623" s="1" t="s">
        <v>14</v>
      </c>
      <c r="R623" s="3">
        <v>0.44520000000000004</v>
      </c>
      <c r="S623" s="2">
        <v>45759</v>
      </c>
      <c r="T623" s="1">
        <v>341</v>
      </c>
      <c r="U623" s="1" t="s">
        <v>7</v>
      </c>
      <c r="V623" s="1">
        <v>113</v>
      </c>
      <c r="W623" s="1" t="b">
        <v>0</v>
      </c>
      <c r="X623" s="1" t="b">
        <v>1</v>
      </c>
      <c r="Y623" s="1">
        <v>80000</v>
      </c>
    </row>
    <row r="624" spans="1:25" x14ac:dyDescent="0.35">
      <c r="A624" s="1" t="s">
        <v>1296</v>
      </c>
      <c r="B624" s="1" t="s">
        <v>25</v>
      </c>
      <c r="C624" s="1" t="s">
        <v>82</v>
      </c>
      <c r="D624" s="1" t="s">
        <v>27</v>
      </c>
      <c r="E624" s="1">
        <v>6656</v>
      </c>
      <c r="F624" s="4">
        <v>30000000</v>
      </c>
      <c r="G624" s="4">
        <v>4507</v>
      </c>
      <c r="H624" s="1">
        <v>4</v>
      </c>
      <c r="I624" s="1">
        <v>3</v>
      </c>
      <c r="J624" s="1">
        <v>28</v>
      </c>
      <c r="K624" s="1" t="s">
        <v>21</v>
      </c>
      <c r="L624" s="1" t="s">
        <v>1297</v>
      </c>
      <c r="M624" s="1">
        <v>6</v>
      </c>
      <c r="N624" s="1">
        <v>10</v>
      </c>
      <c r="O624" s="1">
        <v>80432</v>
      </c>
      <c r="P624" s="1">
        <v>3.22</v>
      </c>
      <c r="Q624" s="1" t="s">
        <v>14</v>
      </c>
      <c r="R624" s="3">
        <v>0.41090000000000004</v>
      </c>
      <c r="S624" s="2">
        <v>45489</v>
      </c>
      <c r="T624" s="1">
        <v>27</v>
      </c>
      <c r="U624" s="1" t="s">
        <v>7</v>
      </c>
      <c r="V624" s="1">
        <v>135</v>
      </c>
      <c r="W624" s="1" t="b">
        <v>1</v>
      </c>
      <c r="X624" s="1" t="b">
        <v>1</v>
      </c>
      <c r="Y624" s="1">
        <v>0</v>
      </c>
    </row>
    <row r="625" spans="1:25" x14ac:dyDescent="0.35">
      <c r="A625" s="1" t="s">
        <v>1298</v>
      </c>
      <c r="B625" s="1" t="s">
        <v>32</v>
      </c>
      <c r="C625" s="1" t="s">
        <v>41</v>
      </c>
      <c r="D625" s="1" t="s">
        <v>11</v>
      </c>
      <c r="E625" s="1">
        <v>514</v>
      </c>
      <c r="F625" s="4">
        <v>12000000</v>
      </c>
      <c r="G625" s="4">
        <v>23346</v>
      </c>
      <c r="H625" s="1">
        <v>1</v>
      </c>
      <c r="I625" s="1">
        <v>1</v>
      </c>
      <c r="J625" s="1">
        <v>30</v>
      </c>
      <c r="K625" s="1" t="s">
        <v>34</v>
      </c>
      <c r="L625" s="1" t="s">
        <v>1299</v>
      </c>
      <c r="M625" s="1">
        <v>6</v>
      </c>
      <c r="N625" s="1">
        <v>8</v>
      </c>
      <c r="O625" s="1">
        <v>43612</v>
      </c>
      <c r="P625" s="1">
        <v>4.3600000000000003</v>
      </c>
      <c r="Q625" s="1" t="s">
        <v>6</v>
      </c>
      <c r="R625" s="3">
        <v>0.46810000000000002</v>
      </c>
      <c r="S625" s="2">
        <v>45997</v>
      </c>
      <c r="T625" s="1">
        <v>78</v>
      </c>
      <c r="U625" s="1" t="s">
        <v>30</v>
      </c>
      <c r="V625" s="1">
        <v>80</v>
      </c>
      <c r="W625" s="1" t="b">
        <v>0</v>
      </c>
      <c r="X625" s="1" t="b">
        <v>0</v>
      </c>
      <c r="Y625" s="1">
        <v>0</v>
      </c>
    </row>
    <row r="626" spans="1:25" x14ac:dyDescent="0.35">
      <c r="A626" s="1" t="s">
        <v>1300</v>
      </c>
      <c r="B626" s="1" t="s">
        <v>25</v>
      </c>
      <c r="C626" s="1" t="s">
        <v>182</v>
      </c>
      <c r="D626" s="1" t="s">
        <v>27</v>
      </c>
      <c r="E626" s="1">
        <v>5986</v>
      </c>
      <c r="F626" s="4">
        <v>30000000</v>
      </c>
      <c r="G626" s="4">
        <v>5011</v>
      </c>
      <c r="H626" s="1">
        <v>5</v>
      </c>
      <c r="I626" s="1">
        <v>2</v>
      </c>
      <c r="J626" s="1">
        <v>21</v>
      </c>
      <c r="K626" s="1" t="s">
        <v>28</v>
      </c>
      <c r="L626" s="1" t="s">
        <v>1301</v>
      </c>
      <c r="M626" s="1">
        <v>3</v>
      </c>
      <c r="N626" s="1">
        <v>6</v>
      </c>
      <c r="O626" s="1">
        <v>118473</v>
      </c>
      <c r="P626" s="1">
        <v>4.74</v>
      </c>
      <c r="Q626" s="1" t="s">
        <v>14</v>
      </c>
      <c r="R626" s="3">
        <v>0.4869</v>
      </c>
      <c r="S626" s="2">
        <v>45817</v>
      </c>
      <c r="T626" s="1">
        <v>104</v>
      </c>
      <c r="U626" s="1" t="s">
        <v>23</v>
      </c>
      <c r="V626" s="1">
        <v>121</v>
      </c>
      <c r="W626" s="1" t="b">
        <v>1</v>
      </c>
      <c r="X626" s="1" t="b">
        <v>1</v>
      </c>
      <c r="Y626" s="1">
        <v>0</v>
      </c>
    </row>
    <row r="627" spans="1:25" x14ac:dyDescent="0.35">
      <c r="A627" s="1" t="s">
        <v>1302</v>
      </c>
      <c r="B627" s="1" t="s">
        <v>9</v>
      </c>
      <c r="C627" s="1" t="s">
        <v>163</v>
      </c>
      <c r="D627" s="1" t="s">
        <v>38</v>
      </c>
      <c r="E627" s="1">
        <v>5584</v>
      </c>
      <c r="F627" s="4">
        <v>50000000</v>
      </c>
      <c r="G627" s="4">
        <v>8954</v>
      </c>
      <c r="H627" s="1">
        <v>6</v>
      </c>
      <c r="I627" s="1">
        <v>4</v>
      </c>
      <c r="J627" s="1">
        <v>15</v>
      </c>
      <c r="K627" s="1" t="s">
        <v>61</v>
      </c>
      <c r="L627" s="1" t="s">
        <v>1303</v>
      </c>
      <c r="M627" s="1">
        <v>5</v>
      </c>
      <c r="N627" s="1">
        <v>8</v>
      </c>
      <c r="O627" s="1">
        <v>137668</v>
      </c>
      <c r="P627" s="1">
        <v>3.3</v>
      </c>
      <c r="Q627" s="1" t="s">
        <v>14</v>
      </c>
      <c r="R627" s="3">
        <v>0.41520000000000001</v>
      </c>
      <c r="S627" s="2">
        <v>45731</v>
      </c>
      <c r="T627" s="1">
        <v>82</v>
      </c>
      <c r="U627" s="1" t="s">
        <v>7</v>
      </c>
      <c r="V627" s="1">
        <v>134</v>
      </c>
      <c r="W627" s="1" t="b">
        <v>0</v>
      </c>
      <c r="X627" s="1" t="b">
        <v>0</v>
      </c>
      <c r="Y627" s="1">
        <v>100000</v>
      </c>
    </row>
    <row r="628" spans="1:25" x14ac:dyDescent="0.35">
      <c r="A628" s="1" t="s">
        <v>1304</v>
      </c>
      <c r="B628" s="1" t="s">
        <v>9</v>
      </c>
      <c r="C628" s="1" t="s">
        <v>142</v>
      </c>
      <c r="D628" s="1" t="s">
        <v>27</v>
      </c>
      <c r="E628" s="1">
        <v>5644</v>
      </c>
      <c r="F628" s="4">
        <v>50000000</v>
      </c>
      <c r="G628" s="4">
        <v>8858</v>
      </c>
      <c r="H628" s="1">
        <v>3</v>
      </c>
      <c r="I628" s="1">
        <v>1</v>
      </c>
      <c r="J628" s="1">
        <v>4</v>
      </c>
      <c r="K628" s="1" t="s">
        <v>12</v>
      </c>
      <c r="L628" s="1" t="s">
        <v>1305</v>
      </c>
      <c r="M628" s="1">
        <v>6</v>
      </c>
      <c r="N628" s="1">
        <v>4</v>
      </c>
      <c r="O628" s="1">
        <v>173740</v>
      </c>
      <c r="P628" s="1">
        <v>4.17</v>
      </c>
      <c r="Q628" s="1" t="s">
        <v>14</v>
      </c>
      <c r="R628" s="3">
        <v>0.45850000000000002</v>
      </c>
      <c r="S628" s="2">
        <v>45970</v>
      </c>
      <c r="T628" s="1">
        <v>344</v>
      </c>
      <c r="U628" s="1" t="s">
        <v>7</v>
      </c>
      <c r="V628" s="1">
        <v>155</v>
      </c>
      <c r="W628" s="1" t="b">
        <v>0</v>
      </c>
      <c r="X628" s="1" t="b">
        <v>0</v>
      </c>
      <c r="Y628" s="1">
        <v>100000</v>
      </c>
    </row>
    <row r="629" spans="1:25" x14ac:dyDescent="0.35">
      <c r="A629" s="1" t="s">
        <v>1306</v>
      </c>
      <c r="B629" s="1" t="s">
        <v>54</v>
      </c>
      <c r="C629" s="1" t="s">
        <v>64</v>
      </c>
      <c r="D629" s="1" t="s">
        <v>27</v>
      </c>
      <c r="E629" s="1">
        <v>3105</v>
      </c>
      <c r="F629" s="4">
        <v>40000000</v>
      </c>
      <c r="G629" s="4">
        <v>12882</v>
      </c>
      <c r="H629" s="1">
        <v>5</v>
      </c>
      <c r="I629" s="1">
        <v>3</v>
      </c>
      <c r="J629" s="1">
        <v>29</v>
      </c>
      <c r="K629" s="1" t="s">
        <v>58</v>
      </c>
      <c r="L629" s="1" t="s">
        <v>1307</v>
      </c>
      <c r="M629" s="1">
        <v>4</v>
      </c>
      <c r="N629" s="1">
        <v>8</v>
      </c>
      <c r="O629" s="1">
        <v>165571</v>
      </c>
      <c r="P629" s="1">
        <v>4.97</v>
      </c>
      <c r="Q629" s="1" t="s">
        <v>14</v>
      </c>
      <c r="R629" s="3">
        <v>0.49840000000000001</v>
      </c>
      <c r="S629" s="2">
        <v>45650</v>
      </c>
      <c r="T629" s="1">
        <v>87</v>
      </c>
      <c r="U629" s="1" t="s">
        <v>7</v>
      </c>
      <c r="V629" s="1">
        <v>136</v>
      </c>
      <c r="W629" s="1" t="b">
        <v>0</v>
      </c>
      <c r="X629" s="1" t="b">
        <v>0</v>
      </c>
      <c r="Y629" s="1">
        <v>80000</v>
      </c>
    </row>
    <row r="630" spans="1:25" x14ac:dyDescent="0.35">
      <c r="A630" s="1" t="s">
        <v>1308</v>
      </c>
      <c r="B630" s="1" t="s">
        <v>32</v>
      </c>
      <c r="C630" s="1" t="s">
        <v>200</v>
      </c>
      <c r="D630" s="1" t="s">
        <v>38</v>
      </c>
      <c r="E630" s="1">
        <v>3192</v>
      </c>
      <c r="F630" s="4">
        <v>12000000</v>
      </c>
      <c r="G630" s="4">
        <v>3759</v>
      </c>
      <c r="H630" s="1">
        <v>5</v>
      </c>
      <c r="I630" s="1">
        <v>3</v>
      </c>
      <c r="J630" s="1">
        <v>28</v>
      </c>
      <c r="K630" s="1" t="s">
        <v>42</v>
      </c>
      <c r="L630" s="1" t="s">
        <v>1309</v>
      </c>
      <c r="M630" s="1">
        <v>4</v>
      </c>
      <c r="N630" s="1">
        <v>10</v>
      </c>
      <c r="O630" s="1">
        <v>36750</v>
      </c>
      <c r="P630" s="1">
        <v>3.67</v>
      </c>
      <c r="Q630" s="1" t="s">
        <v>6</v>
      </c>
      <c r="R630" s="3">
        <v>0.43380000000000002</v>
      </c>
      <c r="S630" s="2">
        <v>45877</v>
      </c>
      <c r="T630" s="1">
        <v>338</v>
      </c>
      <c r="U630" s="1" t="s">
        <v>30</v>
      </c>
      <c r="V630" s="1">
        <v>147</v>
      </c>
      <c r="W630" s="1" t="b">
        <v>1</v>
      </c>
      <c r="X630" s="1" t="b">
        <v>0</v>
      </c>
      <c r="Y630" s="1">
        <v>24000</v>
      </c>
    </row>
    <row r="631" spans="1:25" x14ac:dyDescent="0.35">
      <c r="A631" s="1" t="s">
        <v>1310</v>
      </c>
      <c r="B631" s="1" t="s">
        <v>25</v>
      </c>
      <c r="C631" s="1" t="s">
        <v>37</v>
      </c>
      <c r="D631" s="1" t="s">
        <v>3</v>
      </c>
      <c r="E631" s="1">
        <v>2749</v>
      </c>
      <c r="F631" s="4">
        <v>30000000</v>
      </c>
      <c r="G631" s="4">
        <v>10913</v>
      </c>
      <c r="H631" s="1">
        <v>1</v>
      </c>
      <c r="I631" s="1">
        <v>2</v>
      </c>
      <c r="J631" s="1">
        <v>12</v>
      </c>
      <c r="K631" s="1" t="s">
        <v>34</v>
      </c>
      <c r="L631" s="1" t="s">
        <v>1311</v>
      </c>
      <c r="M631" s="1">
        <v>4</v>
      </c>
      <c r="N631" s="1">
        <v>10</v>
      </c>
      <c r="O631" s="1">
        <v>91781</v>
      </c>
      <c r="P631" s="1">
        <v>3.67</v>
      </c>
      <c r="Q631" s="1" t="s">
        <v>14</v>
      </c>
      <c r="R631" s="3">
        <v>0.43359999999999999</v>
      </c>
      <c r="S631" s="2">
        <v>45632</v>
      </c>
      <c r="T631" s="1">
        <v>209</v>
      </c>
      <c r="U631" s="1" t="s">
        <v>23</v>
      </c>
      <c r="V631" s="1">
        <v>138</v>
      </c>
      <c r="W631" s="1" t="b">
        <v>0</v>
      </c>
      <c r="X631" s="1" t="b">
        <v>1</v>
      </c>
      <c r="Y631" s="1">
        <v>0</v>
      </c>
    </row>
    <row r="632" spans="1:25" x14ac:dyDescent="0.35">
      <c r="A632" s="1" t="s">
        <v>1312</v>
      </c>
      <c r="B632" s="1" t="s">
        <v>1</v>
      </c>
      <c r="C632" s="1" t="s">
        <v>97</v>
      </c>
      <c r="D632" s="1" t="s">
        <v>38</v>
      </c>
      <c r="E632" s="1">
        <v>4580</v>
      </c>
      <c r="F632" s="4">
        <v>10000000</v>
      </c>
      <c r="G632" s="4">
        <v>2183</v>
      </c>
      <c r="H632" s="1">
        <v>5</v>
      </c>
      <c r="I632" s="1">
        <v>3</v>
      </c>
      <c r="J632" s="1">
        <v>8</v>
      </c>
      <c r="K632" s="1" t="s">
        <v>58</v>
      </c>
      <c r="L632" s="1" t="s">
        <v>1313</v>
      </c>
      <c r="M632" s="1">
        <v>3</v>
      </c>
      <c r="N632" s="1">
        <v>5</v>
      </c>
      <c r="O632" s="1">
        <v>27142</v>
      </c>
      <c r="P632" s="1">
        <v>3.26</v>
      </c>
      <c r="Q632" s="1" t="s">
        <v>6</v>
      </c>
      <c r="R632" s="3">
        <v>0.41289999999999999</v>
      </c>
      <c r="S632" s="2">
        <v>46047</v>
      </c>
      <c r="T632" s="1">
        <v>34</v>
      </c>
      <c r="U632" s="1" t="s">
        <v>7</v>
      </c>
      <c r="V632" s="1">
        <v>125</v>
      </c>
      <c r="W632" s="1" t="b">
        <v>1</v>
      </c>
      <c r="X632" s="1" t="b">
        <v>1</v>
      </c>
      <c r="Y632" s="1">
        <v>20000</v>
      </c>
    </row>
    <row r="633" spans="1:25" x14ac:dyDescent="0.35">
      <c r="A633" s="1" t="s">
        <v>1314</v>
      </c>
      <c r="B633" s="1" t="s">
        <v>9</v>
      </c>
      <c r="C633" s="1" t="s">
        <v>189</v>
      </c>
      <c r="D633" s="1" t="s">
        <v>3</v>
      </c>
      <c r="E633" s="1">
        <v>1797</v>
      </c>
      <c r="F633" s="4">
        <v>50000000</v>
      </c>
      <c r="G633" s="4">
        <v>27824</v>
      </c>
      <c r="H633" s="1">
        <v>1</v>
      </c>
      <c r="I633" s="1">
        <v>1</v>
      </c>
      <c r="J633" s="1">
        <v>18</v>
      </c>
      <c r="K633" s="1" t="s">
        <v>58</v>
      </c>
      <c r="L633" s="1" t="s">
        <v>1315</v>
      </c>
      <c r="M633" s="1">
        <v>8</v>
      </c>
      <c r="N633" s="1">
        <v>10</v>
      </c>
      <c r="O633" s="1">
        <v>184854</v>
      </c>
      <c r="P633" s="1">
        <v>4.4400000000000004</v>
      </c>
      <c r="Q633" s="1" t="s">
        <v>14</v>
      </c>
      <c r="R633" s="3">
        <v>0.4718</v>
      </c>
      <c r="S633" s="2">
        <v>46063</v>
      </c>
      <c r="T633" s="1">
        <v>108</v>
      </c>
      <c r="U633" s="1" t="s">
        <v>7</v>
      </c>
      <c r="V633" s="1">
        <v>89</v>
      </c>
      <c r="W633" s="1" t="b">
        <v>1</v>
      </c>
      <c r="X633" s="1" t="b">
        <v>1</v>
      </c>
      <c r="Y633" s="1">
        <v>0</v>
      </c>
    </row>
    <row r="634" spans="1:25" x14ac:dyDescent="0.35">
      <c r="A634" s="1" t="s">
        <v>1316</v>
      </c>
      <c r="B634" s="1" t="s">
        <v>54</v>
      </c>
      <c r="C634" s="1" t="s">
        <v>104</v>
      </c>
      <c r="D634" s="1" t="s">
        <v>38</v>
      </c>
      <c r="E634" s="1">
        <v>4578</v>
      </c>
      <c r="F634" s="4">
        <v>40000000</v>
      </c>
      <c r="G634" s="4">
        <v>8737</v>
      </c>
      <c r="H634" s="1">
        <v>5</v>
      </c>
      <c r="I634" s="1">
        <v>2</v>
      </c>
      <c r="J634" s="1">
        <v>22</v>
      </c>
      <c r="K634" s="1" t="s">
        <v>28</v>
      </c>
      <c r="L634" s="1" t="s">
        <v>1317</v>
      </c>
      <c r="M634" s="1">
        <v>6</v>
      </c>
      <c r="N634" s="1">
        <v>5</v>
      </c>
      <c r="O634" s="1">
        <v>133838</v>
      </c>
      <c r="P634" s="1">
        <v>4.0199999999999996</v>
      </c>
      <c r="Q634" s="1" t="s">
        <v>14</v>
      </c>
      <c r="R634" s="3">
        <v>0.45079999999999998</v>
      </c>
      <c r="S634" s="2">
        <v>46075</v>
      </c>
      <c r="T634" s="1">
        <v>74</v>
      </c>
      <c r="U634" s="1" t="s">
        <v>7</v>
      </c>
      <c r="V634" s="1">
        <v>97</v>
      </c>
      <c r="W634" s="1" t="b">
        <v>1</v>
      </c>
      <c r="X634" s="1" t="b">
        <v>1</v>
      </c>
      <c r="Y634" s="1">
        <v>80000</v>
      </c>
    </row>
    <row r="635" spans="1:25" x14ac:dyDescent="0.35">
      <c r="A635" s="1" t="s">
        <v>1318</v>
      </c>
      <c r="B635" s="1" t="s">
        <v>25</v>
      </c>
      <c r="C635" s="1" t="s">
        <v>82</v>
      </c>
      <c r="D635" s="1" t="s">
        <v>20</v>
      </c>
      <c r="E635" s="1">
        <v>4597</v>
      </c>
      <c r="F635" s="4">
        <v>30000000</v>
      </c>
      <c r="G635" s="4">
        <v>6525</v>
      </c>
      <c r="H635" s="1">
        <v>3</v>
      </c>
      <c r="I635" s="1">
        <v>1</v>
      </c>
      <c r="J635" s="1">
        <v>12</v>
      </c>
      <c r="K635" s="1" t="s">
        <v>34</v>
      </c>
      <c r="L635" s="1" t="s">
        <v>1319</v>
      </c>
      <c r="M635" s="1">
        <v>8</v>
      </c>
      <c r="N635" s="1">
        <v>9</v>
      </c>
      <c r="O635" s="1">
        <v>111772</v>
      </c>
      <c r="P635" s="1">
        <v>4.47</v>
      </c>
      <c r="Q635" s="1" t="s">
        <v>14</v>
      </c>
      <c r="R635" s="3">
        <v>0.47350000000000003</v>
      </c>
      <c r="S635" s="2">
        <v>45613</v>
      </c>
      <c r="T635" s="1">
        <v>145</v>
      </c>
      <c r="U635" s="1" t="s">
        <v>7</v>
      </c>
      <c r="V635" s="1">
        <v>94</v>
      </c>
      <c r="W635" s="1" t="b">
        <v>1</v>
      </c>
      <c r="X635" s="1" t="b">
        <v>1</v>
      </c>
      <c r="Y635" s="1">
        <v>60000</v>
      </c>
    </row>
    <row r="636" spans="1:25" x14ac:dyDescent="0.35">
      <c r="A636" s="1" t="s">
        <v>1320</v>
      </c>
      <c r="B636" s="1" t="s">
        <v>9</v>
      </c>
      <c r="C636" s="1" t="s">
        <v>114</v>
      </c>
      <c r="D636" s="1" t="s">
        <v>20</v>
      </c>
      <c r="E636" s="1">
        <v>4502</v>
      </c>
      <c r="F636" s="4">
        <v>50000000</v>
      </c>
      <c r="G636" s="4">
        <v>11106</v>
      </c>
      <c r="H636" s="1">
        <v>2</v>
      </c>
      <c r="I636" s="1">
        <v>2</v>
      </c>
      <c r="J636" s="1">
        <v>2</v>
      </c>
      <c r="K636" s="1" t="s">
        <v>34</v>
      </c>
      <c r="L636" s="1" t="s">
        <v>1321</v>
      </c>
      <c r="M636" s="1">
        <v>8</v>
      </c>
      <c r="N636" s="1">
        <v>7</v>
      </c>
      <c r="O636" s="1">
        <v>151588</v>
      </c>
      <c r="P636" s="1">
        <v>3.64</v>
      </c>
      <c r="Q636" s="1" t="s">
        <v>14</v>
      </c>
      <c r="R636" s="3">
        <v>0.43189999999999995</v>
      </c>
      <c r="S636" s="2">
        <v>45790</v>
      </c>
      <c r="T636" s="1">
        <v>256</v>
      </c>
      <c r="U636" s="1" t="s">
        <v>30</v>
      </c>
      <c r="V636" s="1">
        <v>124</v>
      </c>
      <c r="W636" s="1" t="b">
        <v>0</v>
      </c>
      <c r="X636" s="1" t="b">
        <v>0</v>
      </c>
      <c r="Y636" s="1">
        <v>0</v>
      </c>
    </row>
    <row r="637" spans="1:25" x14ac:dyDescent="0.35">
      <c r="A637" s="1" t="s">
        <v>1322</v>
      </c>
      <c r="B637" s="1" t="s">
        <v>32</v>
      </c>
      <c r="C637" s="1" t="s">
        <v>194</v>
      </c>
      <c r="D637" s="1" t="s">
        <v>27</v>
      </c>
      <c r="E637" s="1">
        <v>3868</v>
      </c>
      <c r="F637" s="4">
        <v>12000000</v>
      </c>
      <c r="G637" s="4">
        <v>3102</v>
      </c>
      <c r="H637" s="1">
        <v>4</v>
      </c>
      <c r="I637" s="1">
        <v>2</v>
      </c>
      <c r="J637" s="1">
        <v>22</v>
      </c>
      <c r="K637" s="1" t="s">
        <v>42</v>
      </c>
      <c r="L637" s="1" t="s">
        <v>1323</v>
      </c>
      <c r="M637" s="1">
        <v>5</v>
      </c>
      <c r="N637" s="1">
        <v>10</v>
      </c>
      <c r="O637" s="1">
        <v>39287</v>
      </c>
      <c r="P637" s="1">
        <v>3.93</v>
      </c>
      <c r="Q637" s="1" t="s">
        <v>6</v>
      </c>
      <c r="R637" s="3">
        <v>0.44640000000000002</v>
      </c>
      <c r="S637" s="2">
        <v>46000</v>
      </c>
      <c r="T637" s="1">
        <v>215</v>
      </c>
      <c r="U637" s="1" t="s">
        <v>7</v>
      </c>
      <c r="V637" s="1">
        <v>128</v>
      </c>
      <c r="W637" s="1" t="b">
        <v>1</v>
      </c>
      <c r="X637" s="1" t="b">
        <v>1</v>
      </c>
      <c r="Y637" s="1">
        <v>0</v>
      </c>
    </row>
    <row r="638" spans="1:25" x14ac:dyDescent="0.35">
      <c r="A638" s="1" t="s">
        <v>1324</v>
      </c>
      <c r="B638" s="1" t="s">
        <v>18</v>
      </c>
      <c r="C638" s="1" t="s">
        <v>243</v>
      </c>
      <c r="D638" s="1" t="s">
        <v>27</v>
      </c>
      <c r="E638" s="1">
        <v>5272</v>
      </c>
      <c r="F638" s="4">
        <v>15000000</v>
      </c>
      <c r="G638" s="4">
        <v>2845</v>
      </c>
      <c r="H638" s="1">
        <v>5</v>
      </c>
      <c r="I638" s="1">
        <v>2</v>
      </c>
      <c r="J638" s="1">
        <v>13</v>
      </c>
      <c r="K638" s="1" t="s">
        <v>61</v>
      </c>
      <c r="L638" s="1" t="s">
        <v>1325</v>
      </c>
      <c r="M638" s="1">
        <v>8</v>
      </c>
      <c r="N638" s="1">
        <v>6</v>
      </c>
      <c r="O638" s="1">
        <v>42443</v>
      </c>
      <c r="P638" s="1">
        <v>3.4</v>
      </c>
      <c r="Q638" s="1" t="s">
        <v>6</v>
      </c>
      <c r="R638" s="3">
        <v>0.41979999999999995</v>
      </c>
      <c r="S638" s="2">
        <v>45647</v>
      </c>
      <c r="T638" s="1">
        <v>143</v>
      </c>
      <c r="U638" s="1" t="s">
        <v>7</v>
      </c>
      <c r="V638" s="1">
        <v>170</v>
      </c>
      <c r="W638" s="1" t="b">
        <v>1</v>
      </c>
      <c r="X638" s="1" t="b">
        <v>1</v>
      </c>
      <c r="Y638" s="1">
        <v>0</v>
      </c>
    </row>
    <row r="639" spans="1:25" x14ac:dyDescent="0.35">
      <c r="A639" s="1" t="s">
        <v>1326</v>
      </c>
      <c r="B639" s="1" t="s">
        <v>32</v>
      </c>
      <c r="C639" s="1" t="s">
        <v>194</v>
      </c>
      <c r="D639" s="1" t="s">
        <v>11</v>
      </c>
      <c r="E639" s="1">
        <v>471</v>
      </c>
      <c r="F639" s="4">
        <v>12000000</v>
      </c>
      <c r="G639" s="4">
        <v>25477</v>
      </c>
      <c r="H639" s="1">
        <v>1</v>
      </c>
      <c r="I639" s="1">
        <v>1</v>
      </c>
      <c r="J639" s="1">
        <v>15</v>
      </c>
      <c r="K639" s="1" t="s">
        <v>4</v>
      </c>
      <c r="L639" s="1" t="s">
        <v>1327</v>
      </c>
      <c r="M639" s="1">
        <v>8</v>
      </c>
      <c r="N639" s="1">
        <v>4</v>
      </c>
      <c r="O639" s="1">
        <v>39884</v>
      </c>
      <c r="P639" s="1">
        <v>3.99</v>
      </c>
      <c r="Q639" s="1" t="s">
        <v>6</v>
      </c>
      <c r="R639" s="3">
        <v>0.44939999999999997</v>
      </c>
      <c r="S639" s="2">
        <v>45935</v>
      </c>
      <c r="T639" s="1">
        <v>324</v>
      </c>
      <c r="U639" s="1" t="s">
        <v>7</v>
      </c>
      <c r="V639" s="1">
        <v>108</v>
      </c>
      <c r="W639" s="1" t="b">
        <v>1</v>
      </c>
      <c r="X639" s="1" t="b">
        <v>0</v>
      </c>
      <c r="Y639" s="1">
        <v>0</v>
      </c>
    </row>
    <row r="640" spans="1:25" x14ac:dyDescent="0.35">
      <c r="A640" s="1" t="s">
        <v>1328</v>
      </c>
      <c r="B640" s="1" t="s">
        <v>1</v>
      </c>
      <c r="C640" s="1" t="s">
        <v>51</v>
      </c>
      <c r="D640" s="1" t="s">
        <v>11</v>
      </c>
      <c r="E640" s="1">
        <v>563</v>
      </c>
      <c r="F640" s="4">
        <v>10000000</v>
      </c>
      <c r="G640" s="4">
        <v>17761</v>
      </c>
      <c r="H640" s="1">
        <v>0</v>
      </c>
      <c r="I640" s="1">
        <v>1</v>
      </c>
      <c r="J640" s="1">
        <v>16</v>
      </c>
      <c r="K640" s="1" t="s">
        <v>42</v>
      </c>
      <c r="L640" s="1" t="s">
        <v>1329</v>
      </c>
      <c r="M640" s="1">
        <v>5</v>
      </c>
      <c r="N640" s="1">
        <v>6</v>
      </c>
      <c r="O640" s="1">
        <v>32451</v>
      </c>
      <c r="P640" s="1">
        <v>3.89</v>
      </c>
      <c r="Q640" s="1" t="s">
        <v>6</v>
      </c>
      <c r="R640" s="3">
        <v>0.44469999999999998</v>
      </c>
      <c r="S640" s="2">
        <v>45729</v>
      </c>
      <c r="T640" s="1">
        <v>161</v>
      </c>
      <c r="U640" s="1" t="s">
        <v>7</v>
      </c>
      <c r="V640" s="1">
        <v>89</v>
      </c>
      <c r="W640" s="1" t="b">
        <v>0</v>
      </c>
      <c r="X640" s="1" t="b">
        <v>0</v>
      </c>
      <c r="Y640" s="1">
        <v>0</v>
      </c>
    </row>
    <row r="641" spans="1:25" x14ac:dyDescent="0.35">
      <c r="A641" s="1" t="s">
        <v>1330</v>
      </c>
      <c r="B641" s="1" t="s">
        <v>32</v>
      </c>
      <c r="C641" s="1" t="s">
        <v>200</v>
      </c>
      <c r="D641" s="1" t="s">
        <v>27</v>
      </c>
      <c r="E641" s="1">
        <v>3041</v>
      </c>
      <c r="F641" s="4">
        <v>12000000</v>
      </c>
      <c r="G641" s="4">
        <v>3946</v>
      </c>
      <c r="H641" s="1">
        <v>5</v>
      </c>
      <c r="I641" s="1">
        <v>2</v>
      </c>
      <c r="J641" s="1">
        <v>22</v>
      </c>
      <c r="K641" s="1" t="s">
        <v>12</v>
      </c>
      <c r="L641" s="1" t="s">
        <v>1331</v>
      </c>
      <c r="M641" s="1">
        <v>7</v>
      </c>
      <c r="N641" s="1">
        <v>4</v>
      </c>
      <c r="O641" s="1">
        <v>31911</v>
      </c>
      <c r="P641" s="1">
        <v>3.19</v>
      </c>
      <c r="Q641" s="1" t="s">
        <v>6</v>
      </c>
      <c r="R641" s="3">
        <v>0.40960000000000002</v>
      </c>
      <c r="S641" s="2">
        <v>46005</v>
      </c>
      <c r="T641" s="1">
        <v>252</v>
      </c>
      <c r="U641" s="1" t="s">
        <v>30</v>
      </c>
      <c r="V641" s="1">
        <v>165</v>
      </c>
      <c r="W641" s="1" t="b">
        <v>0</v>
      </c>
      <c r="X641" s="1" t="b">
        <v>0</v>
      </c>
      <c r="Y641" s="1">
        <v>24000</v>
      </c>
    </row>
    <row r="642" spans="1:25" x14ac:dyDescent="0.35">
      <c r="A642" s="1" t="s">
        <v>1332</v>
      </c>
      <c r="B642" s="1" t="s">
        <v>18</v>
      </c>
      <c r="C642" s="1" t="s">
        <v>19</v>
      </c>
      <c r="D642" s="1" t="s">
        <v>27</v>
      </c>
      <c r="E642" s="1">
        <v>4262</v>
      </c>
      <c r="F642" s="4">
        <v>15000000</v>
      </c>
      <c r="G642" s="4">
        <v>3519</v>
      </c>
      <c r="H642" s="1">
        <v>4</v>
      </c>
      <c r="I642" s="1">
        <v>3</v>
      </c>
      <c r="J642" s="1">
        <v>27</v>
      </c>
      <c r="K642" s="1" t="s">
        <v>28</v>
      </c>
      <c r="L642" s="1" t="s">
        <v>1333</v>
      </c>
      <c r="M642" s="1">
        <v>3</v>
      </c>
      <c r="N642" s="1">
        <v>10</v>
      </c>
      <c r="O642" s="1">
        <v>58120</v>
      </c>
      <c r="P642" s="1">
        <v>4.6500000000000004</v>
      </c>
      <c r="Q642" s="1" t="s">
        <v>6</v>
      </c>
      <c r="R642" s="3">
        <v>0.48249999999999998</v>
      </c>
      <c r="S642" s="2">
        <v>45662</v>
      </c>
      <c r="T642" s="1">
        <v>164</v>
      </c>
      <c r="U642" s="1" t="s">
        <v>7</v>
      </c>
      <c r="V642" s="1">
        <v>99</v>
      </c>
      <c r="W642" s="1" t="b">
        <v>0</v>
      </c>
      <c r="X642" s="1" t="b">
        <v>0</v>
      </c>
      <c r="Y642" s="1">
        <v>30000</v>
      </c>
    </row>
    <row r="643" spans="1:25" x14ac:dyDescent="0.35">
      <c r="A643" s="1" t="s">
        <v>1334</v>
      </c>
      <c r="B643" s="1" t="s">
        <v>1</v>
      </c>
      <c r="C643" s="1" t="s">
        <v>303</v>
      </c>
      <c r="D643" s="1" t="s">
        <v>38</v>
      </c>
      <c r="E643" s="1">
        <v>7956</v>
      </c>
      <c r="F643" s="4">
        <v>10000000</v>
      </c>
      <c r="G643" s="4">
        <v>1256</v>
      </c>
      <c r="H643" s="1">
        <v>4</v>
      </c>
      <c r="I643" s="1">
        <v>3</v>
      </c>
      <c r="J643" s="1">
        <v>23</v>
      </c>
      <c r="K643" s="1" t="s">
        <v>4</v>
      </c>
      <c r="L643" s="1" t="s">
        <v>1335</v>
      </c>
      <c r="M643" s="1">
        <v>3</v>
      </c>
      <c r="N643" s="1">
        <v>5</v>
      </c>
      <c r="O643" s="1">
        <v>32049</v>
      </c>
      <c r="P643" s="1">
        <v>3.85</v>
      </c>
      <c r="Q643" s="1" t="s">
        <v>6</v>
      </c>
      <c r="R643" s="3">
        <v>0.44229999999999997</v>
      </c>
      <c r="S643" s="2">
        <v>46145</v>
      </c>
      <c r="T643" s="1">
        <v>152</v>
      </c>
      <c r="U643" s="1" t="s">
        <v>7</v>
      </c>
      <c r="V643" s="1">
        <v>66</v>
      </c>
      <c r="W643" s="1" t="b">
        <v>1</v>
      </c>
      <c r="X643" s="1" t="b">
        <v>1</v>
      </c>
      <c r="Y643" s="1">
        <v>0</v>
      </c>
    </row>
    <row r="644" spans="1:25" x14ac:dyDescent="0.35">
      <c r="A644" s="1" t="s">
        <v>1336</v>
      </c>
      <c r="B644" s="1" t="s">
        <v>9</v>
      </c>
      <c r="C644" s="1" t="s">
        <v>163</v>
      </c>
      <c r="D644" s="1" t="s">
        <v>11</v>
      </c>
      <c r="E644" s="1">
        <v>325</v>
      </c>
      <c r="F644" s="4">
        <v>50000000</v>
      </c>
      <c r="G644" s="4">
        <v>153846</v>
      </c>
      <c r="H644" s="1">
        <v>1</v>
      </c>
      <c r="I644" s="1">
        <v>2</v>
      </c>
      <c r="J644" s="1">
        <v>17</v>
      </c>
      <c r="K644" s="1" t="s">
        <v>34</v>
      </c>
      <c r="L644" s="1" t="s">
        <v>1337</v>
      </c>
      <c r="M644" s="1">
        <v>4</v>
      </c>
      <c r="N644" s="1">
        <v>5</v>
      </c>
      <c r="O644" s="1">
        <v>141481</v>
      </c>
      <c r="P644" s="1">
        <v>3.4</v>
      </c>
      <c r="Q644" s="1" t="s">
        <v>14</v>
      </c>
      <c r="R644" s="3">
        <v>0.41979999999999995</v>
      </c>
      <c r="S644" s="2">
        <v>45535</v>
      </c>
      <c r="T644" s="1">
        <v>66</v>
      </c>
      <c r="U644" s="1" t="s">
        <v>7</v>
      </c>
      <c r="V644" s="1">
        <v>180</v>
      </c>
      <c r="W644" s="1" t="b">
        <v>0</v>
      </c>
      <c r="X644" s="1" t="b">
        <v>1</v>
      </c>
      <c r="Y644" s="1">
        <v>100000</v>
      </c>
    </row>
    <row r="645" spans="1:25" x14ac:dyDescent="0.35">
      <c r="A645" s="1" t="s">
        <v>1338</v>
      </c>
      <c r="B645" s="1" t="s">
        <v>9</v>
      </c>
      <c r="C645" s="1" t="s">
        <v>163</v>
      </c>
      <c r="D645" s="1" t="s">
        <v>38</v>
      </c>
      <c r="E645" s="1">
        <v>6908</v>
      </c>
      <c r="F645" s="4">
        <v>50000000</v>
      </c>
      <c r="G645" s="4">
        <v>7237</v>
      </c>
      <c r="H645" s="1">
        <v>5</v>
      </c>
      <c r="I645" s="1">
        <v>2</v>
      </c>
      <c r="J645" s="1">
        <v>10</v>
      </c>
      <c r="K645" s="1" t="s">
        <v>12</v>
      </c>
      <c r="L645" s="1" t="s">
        <v>1339</v>
      </c>
      <c r="M645" s="1">
        <v>8</v>
      </c>
      <c r="N645" s="1">
        <v>8</v>
      </c>
      <c r="O645" s="1">
        <v>188377</v>
      </c>
      <c r="P645" s="1">
        <v>4.5199999999999996</v>
      </c>
      <c r="Q645" s="1" t="s">
        <v>14</v>
      </c>
      <c r="R645" s="3">
        <v>0.47609999999999997</v>
      </c>
      <c r="S645" s="2">
        <v>45497</v>
      </c>
      <c r="T645" s="1">
        <v>21</v>
      </c>
      <c r="U645" s="1" t="s">
        <v>7</v>
      </c>
      <c r="V645" s="1">
        <v>175</v>
      </c>
      <c r="W645" s="1" t="b">
        <v>1</v>
      </c>
      <c r="X645" s="1" t="b">
        <v>1</v>
      </c>
      <c r="Y645" s="1">
        <v>0</v>
      </c>
    </row>
    <row r="646" spans="1:25" x14ac:dyDescent="0.35">
      <c r="A646" s="1" t="s">
        <v>1340</v>
      </c>
      <c r="B646" s="1" t="s">
        <v>9</v>
      </c>
      <c r="C646" s="1" t="s">
        <v>189</v>
      </c>
      <c r="D646" s="1" t="s">
        <v>27</v>
      </c>
      <c r="E646" s="1">
        <v>3241</v>
      </c>
      <c r="F646" s="4">
        <v>50000000</v>
      </c>
      <c r="G646" s="4">
        <v>15427</v>
      </c>
      <c r="H646" s="1">
        <v>3</v>
      </c>
      <c r="I646" s="1">
        <v>1</v>
      </c>
      <c r="J646" s="1">
        <v>30</v>
      </c>
      <c r="K646" s="1" t="s">
        <v>58</v>
      </c>
      <c r="L646" s="1" t="s">
        <v>1341</v>
      </c>
      <c r="M646" s="1">
        <v>8</v>
      </c>
      <c r="N646" s="1">
        <v>10</v>
      </c>
      <c r="O646" s="1">
        <v>170425</v>
      </c>
      <c r="P646" s="1">
        <v>4.09</v>
      </c>
      <c r="Q646" s="1" t="s">
        <v>14</v>
      </c>
      <c r="R646" s="3">
        <v>0.45450000000000002</v>
      </c>
      <c r="S646" s="2">
        <v>45619</v>
      </c>
      <c r="T646" s="1">
        <v>356</v>
      </c>
      <c r="U646" s="1" t="s">
        <v>7</v>
      </c>
      <c r="V646" s="1">
        <v>131</v>
      </c>
      <c r="W646" s="1" t="b">
        <v>1</v>
      </c>
      <c r="X646" s="1" t="b">
        <v>1</v>
      </c>
      <c r="Y646" s="1">
        <v>100000</v>
      </c>
    </row>
    <row r="647" spans="1:25" x14ac:dyDescent="0.35">
      <c r="A647" s="1" t="s">
        <v>1342</v>
      </c>
      <c r="B647" s="1" t="s">
        <v>18</v>
      </c>
      <c r="C647" s="1" t="s">
        <v>217</v>
      </c>
      <c r="D647" s="1" t="s">
        <v>3</v>
      </c>
      <c r="E647" s="1">
        <v>1468</v>
      </c>
      <c r="F647" s="4">
        <v>15000000</v>
      </c>
      <c r="G647" s="4">
        <v>10217</v>
      </c>
      <c r="H647" s="1">
        <v>2</v>
      </c>
      <c r="I647" s="1">
        <v>1</v>
      </c>
      <c r="J647" s="1">
        <v>1</v>
      </c>
      <c r="K647" s="1" t="s">
        <v>28</v>
      </c>
      <c r="L647" s="1" t="s">
        <v>1343</v>
      </c>
      <c r="M647" s="1">
        <v>8</v>
      </c>
      <c r="N647" s="1">
        <v>5</v>
      </c>
      <c r="O647" s="1">
        <v>43316</v>
      </c>
      <c r="P647" s="1">
        <v>3.47</v>
      </c>
      <c r="Q647" s="1" t="s">
        <v>6</v>
      </c>
      <c r="R647" s="3">
        <v>0.42330000000000001</v>
      </c>
      <c r="S647" s="2">
        <v>46000</v>
      </c>
      <c r="T647" s="1">
        <v>164</v>
      </c>
      <c r="U647" s="1" t="s">
        <v>23</v>
      </c>
      <c r="V647" s="1">
        <v>158</v>
      </c>
      <c r="W647" s="1" t="b">
        <v>0</v>
      </c>
      <c r="X647" s="1" t="b">
        <v>0</v>
      </c>
      <c r="Y647" s="1">
        <v>0</v>
      </c>
    </row>
    <row r="648" spans="1:25" x14ac:dyDescent="0.35">
      <c r="A648" s="1" t="s">
        <v>1344</v>
      </c>
      <c r="B648" s="1" t="s">
        <v>9</v>
      </c>
      <c r="C648" s="1" t="s">
        <v>109</v>
      </c>
      <c r="D648" s="1" t="s">
        <v>20</v>
      </c>
      <c r="E648" s="1">
        <v>3516</v>
      </c>
      <c r="F648" s="4">
        <v>50000000</v>
      </c>
      <c r="G648" s="4">
        <v>14220</v>
      </c>
      <c r="H648" s="1">
        <v>2</v>
      </c>
      <c r="I648" s="1">
        <v>2</v>
      </c>
      <c r="J648" s="1">
        <v>17</v>
      </c>
      <c r="K648" s="1" t="s">
        <v>4</v>
      </c>
      <c r="L648" s="1" t="s">
        <v>883</v>
      </c>
      <c r="M648" s="1">
        <v>3</v>
      </c>
      <c r="N648" s="1">
        <v>8</v>
      </c>
      <c r="O648" s="1">
        <v>165955</v>
      </c>
      <c r="P648" s="1">
        <v>3.98</v>
      </c>
      <c r="Q648" s="1" t="s">
        <v>14</v>
      </c>
      <c r="R648" s="3">
        <v>0.44909999999999994</v>
      </c>
      <c r="S648" s="2">
        <v>45799</v>
      </c>
      <c r="T648" s="1">
        <v>261</v>
      </c>
      <c r="U648" s="1" t="s">
        <v>30</v>
      </c>
      <c r="V648" s="1">
        <v>124</v>
      </c>
      <c r="W648" s="1" t="b">
        <v>1</v>
      </c>
      <c r="X648" s="1" t="b">
        <v>0</v>
      </c>
      <c r="Y648" s="1">
        <v>100000</v>
      </c>
    </row>
    <row r="649" spans="1:25" x14ac:dyDescent="0.35">
      <c r="A649" s="1" t="s">
        <v>1345</v>
      </c>
      <c r="B649" s="1" t="s">
        <v>25</v>
      </c>
      <c r="C649" s="1" t="s">
        <v>37</v>
      </c>
      <c r="D649" s="1" t="s">
        <v>3</v>
      </c>
      <c r="E649" s="1">
        <v>2970</v>
      </c>
      <c r="F649" s="4">
        <v>30000000</v>
      </c>
      <c r="G649" s="4">
        <v>10101</v>
      </c>
      <c r="H649" s="1">
        <v>3</v>
      </c>
      <c r="I649" s="1">
        <v>2</v>
      </c>
      <c r="J649" s="1">
        <v>17</v>
      </c>
      <c r="K649" s="1" t="s">
        <v>34</v>
      </c>
      <c r="L649" s="1" t="s">
        <v>1346</v>
      </c>
      <c r="M649" s="1">
        <v>5</v>
      </c>
      <c r="N649" s="1">
        <v>9</v>
      </c>
      <c r="O649" s="1">
        <v>91352</v>
      </c>
      <c r="P649" s="1">
        <v>3.65</v>
      </c>
      <c r="Q649" s="1" t="s">
        <v>14</v>
      </c>
      <c r="R649" s="3">
        <v>0.43270000000000003</v>
      </c>
      <c r="S649" s="2">
        <v>45890</v>
      </c>
      <c r="T649" s="1">
        <v>232</v>
      </c>
      <c r="U649" s="1" t="s">
        <v>7</v>
      </c>
      <c r="V649" s="1">
        <v>103</v>
      </c>
      <c r="W649" s="1" t="b">
        <v>1</v>
      </c>
      <c r="X649" s="1" t="b">
        <v>0</v>
      </c>
      <c r="Y649" s="1">
        <v>0</v>
      </c>
    </row>
    <row r="650" spans="1:25" x14ac:dyDescent="0.35">
      <c r="A650" s="1" t="s">
        <v>1347</v>
      </c>
      <c r="B650" s="1" t="s">
        <v>25</v>
      </c>
      <c r="C650" s="1" t="s">
        <v>82</v>
      </c>
      <c r="D650" s="1" t="s">
        <v>3</v>
      </c>
      <c r="E650" s="1">
        <v>570</v>
      </c>
      <c r="F650" s="4">
        <v>30000000</v>
      </c>
      <c r="G650" s="4">
        <v>52631</v>
      </c>
      <c r="H650" s="1">
        <v>4</v>
      </c>
      <c r="I650" s="1">
        <v>2</v>
      </c>
      <c r="J650" s="1">
        <v>23</v>
      </c>
      <c r="K650" s="1" t="s">
        <v>34</v>
      </c>
      <c r="L650" s="1" t="s">
        <v>1348</v>
      </c>
      <c r="M650" s="1">
        <v>4</v>
      </c>
      <c r="N650" s="1">
        <v>10</v>
      </c>
      <c r="O650" s="1">
        <v>77718</v>
      </c>
      <c r="P650" s="1">
        <v>3.11</v>
      </c>
      <c r="Q650" s="1" t="s">
        <v>14</v>
      </c>
      <c r="R650" s="3">
        <v>0.40539999999999998</v>
      </c>
      <c r="S650" s="2">
        <v>45515</v>
      </c>
      <c r="T650" s="1">
        <v>112</v>
      </c>
      <c r="U650" s="1" t="s">
        <v>7</v>
      </c>
      <c r="V650" s="1">
        <v>94</v>
      </c>
      <c r="W650" s="1" t="b">
        <v>1</v>
      </c>
      <c r="X650" s="1" t="b">
        <v>0</v>
      </c>
      <c r="Y650" s="1">
        <v>60000</v>
      </c>
    </row>
    <row r="651" spans="1:25" x14ac:dyDescent="0.35">
      <c r="A651" s="1" t="s">
        <v>1349</v>
      </c>
      <c r="B651" s="1" t="s">
        <v>25</v>
      </c>
      <c r="C651" s="1" t="s">
        <v>82</v>
      </c>
      <c r="D651" s="1" t="s">
        <v>20</v>
      </c>
      <c r="E651" s="1">
        <v>2345</v>
      </c>
      <c r="F651" s="4">
        <v>30000000</v>
      </c>
      <c r="G651" s="4">
        <v>12793</v>
      </c>
      <c r="H651" s="1">
        <v>5</v>
      </c>
      <c r="I651" s="1">
        <v>3</v>
      </c>
      <c r="J651" s="1">
        <v>23</v>
      </c>
      <c r="K651" s="1" t="s">
        <v>34</v>
      </c>
      <c r="L651" s="1" t="s">
        <v>1350</v>
      </c>
      <c r="M651" s="1">
        <v>5</v>
      </c>
      <c r="N651" s="1">
        <v>4</v>
      </c>
      <c r="O651" s="1">
        <v>108351</v>
      </c>
      <c r="P651" s="1">
        <v>4.33</v>
      </c>
      <c r="Q651" s="1" t="s">
        <v>14</v>
      </c>
      <c r="R651" s="3">
        <v>0.4667</v>
      </c>
      <c r="S651" s="2">
        <v>45902</v>
      </c>
      <c r="T651" s="1">
        <v>16</v>
      </c>
      <c r="U651" s="1" t="s">
        <v>7</v>
      </c>
      <c r="V651" s="1">
        <v>30</v>
      </c>
      <c r="W651" s="1" t="b">
        <v>1</v>
      </c>
      <c r="X651" s="1" t="b">
        <v>1</v>
      </c>
      <c r="Y651" s="1">
        <v>0</v>
      </c>
    </row>
    <row r="652" spans="1:25" x14ac:dyDescent="0.35">
      <c r="A652" s="1" t="s">
        <v>1351</v>
      </c>
      <c r="B652" s="1" t="s">
        <v>9</v>
      </c>
      <c r="C652" s="1" t="s">
        <v>163</v>
      </c>
      <c r="D652" s="1" t="s">
        <v>11</v>
      </c>
      <c r="E652" s="1">
        <v>445</v>
      </c>
      <c r="F652" s="4">
        <v>50000000</v>
      </c>
      <c r="G652" s="4">
        <v>112359</v>
      </c>
      <c r="H652" s="1">
        <v>0</v>
      </c>
      <c r="I652" s="1">
        <v>1</v>
      </c>
      <c r="J652" s="1">
        <v>1</v>
      </c>
      <c r="K652" s="1" t="s">
        <v>58</v>
      </c>
      <c r="L652" s="1" t="s">
        <v>1352</v>
      </c>
      <c r="M652" s="1">
        <v>5</v>
      </c>
      <c r="N652" s="1">
        <v>4</v>
      </c>
      <c r="O652" s="1">
        <v>179468</v>
      </c>
      <c r="P652" s="1">
        <v>4.3099999999999996</v>
      </c>
      <c r="Q652" s="1" t="s">
        <v>14</v>
      </c>
      <c r="R652" s="3">
        <v>0.46539999999999998</v>
      </c>
      <c r="S652" s="2">
        <v>45852</v>
      </c>
      <c r="T652" s="1">
        <v>73</v>
      </c>
      <c r="U652" s="1" t="s">
        <v>30</v>
      </c>
      <c r="V652" s="1">
        <v>107</v>
      </c>
      <c r="W652" s="1" t="b">
        <v>0</v>
      </c>
      <c r="X652" s="1" t="b">
        <v>0</v>
      </c>
      <c r="Y652" s="1">
        <v>100000</v>
      </c>
    </row>
    <row r="653" spans="1:25" x14ac:dyDescent="0.35">
      <c r="A653" s="1" t="s">
        <v>1353</v>
      </c>
      <c r="B653" s="1" t="s">
        <v>9</v>
      </c>
      <c r="C653" s="1" t="s">
        <v>142</v>
      </c>
      <c r="D653" s="1" t="s">
        <v>3</v>
      </c>
      <c r="E653" s="1">
        <v>2351</v>
      </c>
      <c r="F653" s="4">
        <v>50000000</v>
      </c>
      <c r="G653" s="4">
        <v>21267</v>
      </c>
      <c r="H653" s="1">
        <v>2</v>
      </c>
      <c r="I653" s="1">
        <v>1</v>
      </c>
      <c r="J653" s="1">
        <v>3</v>
      </c>
      <c r="K653" s="1" t="s">
        <v>34</v>
      </c>
      <c r="L653" s="1" t="s">
        <v>1354</v>
      </c>
      <c r="M653" s="1">
        <v>3</v>
      </c>
      <c r="N653" s="1">
        <v>5</v>
      </c>
      <c r="O653" s="1">
        <v>171935</v>
      </c>
      <c r="P653" s="1">
        <v>4.13</v>
      </c>
      <c r="Q653" s="1" t="s">
        <v>14</v>
      </c>
      <c r="R653" s="3">
        <v>0.45630000000000004</v>
      </c>
      <c r="S653" s="2">
        <v>46092</v>
      </c>
      <c r="T653" s="1">
        <v>34</v>
      </c>
      <c r="U653" s="1" t="s">
        <v>30</v>
      </c>
      <c r="V653" s="1">
        <v>85</v>
      </c>
      <c r="W653" s="1" t="b">
        <v>0</v>
      </c>
      <c r="X653" s="1" t="b">
        <v>0</v>
      </c>
      <c r="Y653" s="1">
        <v>100000</v>
      </c>
    </row>
    <row r="654" spans="1:25" x14ac:dyDescent="0.35">
      <c r="A654" s="1" t="s">
        <v>1355</v>
      </c>
      <c r="B654" s="1" t="s">
        <v>9</v>
      </c>
      <c r="C654" s="1" t="s">
        <v>114</v>
      </c>
      <c r="D654" s="1" t="s">
        <v>11</v>
      </c>
      <c r="E654" s="1">
        <v>488</v>
      </c>
      <c r="F654" s="4">
        <v>50000000</v>
      </c>
      <c r="G654" s="4">
        <v>102459</v>
      </c>
      <c r="H654" s="1">
        <v>1</v>
      </c>
      <c r="I654" s="1">
        <v>1</v>
      </c>
      <c r="J654" s="1">
        <v>0</v>
      </c>
      <c r="K654" s="1" t="s">
        <v>34</v>
      </c>
      <c r="L654" s="1" t="s">
        <v>1356</v>
      </c>
      <c r="M654" s="1">
        <v>7</v>
      </c>
      <c r="N654" s="1">
        <v>7</v>
      </c>
      <c r="O654" s="1">
        <v>147663</v>
      </c>
      <c r="P654" s="1">
        <v>3.54</v>
      </c>
      <c r="Q654" s="1" t="s">
        <v>14</v>
      </c>
      <c r="R654" s="3">
        <v>0.42719999999999997</v>
      </c>
      <c r="S654" s="2">
        <v>45964</v>
      </c>
      <c r="T654" s="1">
        <v>333</v>
      </c>
      <c r="U654" s="1" t="s">
        <v>7</v>
      </c>
      <c r="V654" s="1">
        <v>30</v>
      </c>
      <c r="W654" s="1" t="b">
        <v>1</v>
      </c>
      <c r="X654" s="1" t="b">
        <v>0</v>
      </c>
      <c r="Y654" s="1">
        <v>0</v>
      </c>
    </row>
    <row r="655" spans="1:25" x14ac:dyDescent="0.35">
      <c r="A655" s="1" t="s">
        <v>1357</v>
      </c>
      <c r="B655" s="1" t="s">
        <v>25</v>
      </c>
      <c r="C655" s="1" t="s">
        <v>182</v>
      </c>
      <c r="D655" s="1" t="s">
        <v>3</v>
      </c>
      <c r="E655" s="1">
        <v>1573</v>
      </c>
      <c r="F655" s="4">
        <v>30000000</v>
      </c>
      <c r="G655" s="4">
        <v>19071</v>
      </c>
      <c r="H655" s="1">
        <v>3</v>
      </c>
      <c r="I655" s="1">
        <v>1</v>
      </c>
      <c r="J655" s="1">
        <v>19</v>
      </c>
      <c r="K655" s="1" t="s">
        <v>12</v>
      </c>
      <c r="L655" s="1" t="s">
        <v>1358</v>
      </c>
      <c r="M655" s="1">
        <v>5</v>
      </c>
      <c r="N655" s="1">
        <v>6</v>
      </c>
      <c r="O655" s="1">
        <v>102038</v>
      </c>
      <c r="P655" s="1">
        <v>4.08</v>
      </c>
      <c r="Q655" s="1" t="s">
        <v>14</v>
      </c>
      <c r="R655" s="3">
        <v>0.45409999999999995</v>
      </c>
      <c r="S655" s="2">
        <v>45828</v>
      </c>
      <c r="T655" s="1">
        <v>90</v>
      </c>
      <c r="U655" s="1" t="s">
        <v>30</v>
      </c>
      <c r="V655" s="1">
        <v>134</v>
      </c>
      <c r="W655" s="1" t="b">
        <v>0</v>
      </c>
      <c r="X655" s="1" t="b">
        <v>0</v>
      </c>
      <c r="Y655" s="1">
        <v>0</v>
      </c>
    </row>
    <row r="656" spans="1:25" x14ac:dyDescent="0.35">
      <c r="A656" s="1" t="s">
        <v>1359</v>
      </c>
      <c r="B656" s="1" t="s">
        <v>54</v>
      </c>
      <c r="C656" s="1" t="s">
        <v>72</v>
      </c>
      <c r="D656" s="1" t="s">
        <v>27</v>
      </c>
      <c r="E656" s="1">
        <v>7510</v>
      </c>
      <c r="F656" s="4">
        <v>40000000</v>
      </c>
      <c r="G656" s="4">
        <v>5326</v>
      </c>
      <c r="H656" s="1">
        <v>6</v>
      </c>
      <c r="I656" s="1">
        <v>4</v>
      </c>
      <c r="J656" s="1">
        <v>11</v>
      </c>
      <c r="K656" s="1" t="s">
        <v>42</v>
      </c>
      <c r="L656" s="1" t="s">
        <v>1360</v>
      </c>
      <c r="M656" s="1">
        <v>6</v>
      </c>
      <c r="N656" s="1">
        <v>6</v>
      </c>
      <c r="O656" s="1">
        <v>157453</v>
      </c>
      <c r="P656" s="1">
        <v>4.72</v>
      </c>
      <c r="Q656" s="1" t="s">
        <v>14</v>
      </c>
      <c r="R656" s="3">
        <v>0.48619999999999997</v>
      </c>
      <c r="S656" s="2">
        <v>45988</v>
      </c>
      <c r="T656" s="1">
        <v>321</v>
      </c>
      <c r="U656" s="1" t="s">
        <v>23</v>
      </c>
      <c r="V656" s="1">
        <v>159</v>
      </c>
      <c r="W656" s="1" t="b">
        <v>1</v>
      </c>
      <c r="X656" s="1" t="b">
        <v>0</v>
      </c>
      <c r="Y656" s="1">
        <v>80000</v>
      </c>
    </row>
    <row r="657" spans="1:25" x14ac:dyDescent="0.35">
      <c r="A657" s="1" t="s">
        <v>1361</v>
      </c>
      <c r="B657" s="1" t="s">
        <v>32</v>
      </c>
      <c r="C657" s="1" t="s">
        <v>41</v>
      </c>
      <c r="D657" s="1" t="s">
        <v>27</v>
      </c>
      <c r="E657" s="1">
        <v>7678</v>
      </c>
      <c r="F657" s="4">
        <v>12000000</v>
      </c>
      <c r="G657" s="4">
        <v>1562</v>
      </c>
      <c r="H657" s="1">
        <v>6</v>
      </c>
      <c r="I657" s="1">
        <v>3</v>
      </c>
      <c r="J657" s="1">
        <v>26</v>
      </c>
      <c r="K657" s="1" t="s">
        <v>28</v>
      </c>
      <c r="L657" s="1" t="s">
        <v>1362</v>
      </c>
      <c r="M657" s="1">
        <v>6</v>
      </c>
      <c r="N657" s="1">
        <v>9</v>
      </c>
      <c r="O657" s="1">
        <v>41008</v>
      </c>
      <c r="P657" s="1">
        <v>4.0999999999999996</v>
      </c>
      <c r="Q657" s="1" t="s">
        <v>6</v>
      </c>
      <c r="R657" s="3">
        <v>0.45500000000000002</v>
      </c>
      <c r="S657" s="2">
        <v>45988</v>
      </c>
      <c r="T657" s="1">
        <v>251</v>
      </c>
      <c r="U657" s="1" t="s">
        <v>30</v>
      </c>
      <c r="V657" s="1">
        <v>115</v>
      </c>
      <c r="W657" s="1" t="b">
        <v>1</v>
      </c>
      <c r="X657" s="1" t="b">
        <v>0</v>
      </c>
      <c r="Y657" s="1">
        <v>0</v>
      </c>
    </row>
    <row r="658" spans="1:25" x14ac:dyDescent="0.35">
      <c r="A658" s="1" t="s">
        <v>1363</v>
      </c>
      <c r="B658" s="1" t="s">
        <v>32</v>
      </c>
      <c r="C658" s="1" t="s">
        <v>197</v>
      </c>
      <c r="D658" s="1" t="s">
        <v>38</v>
      </c>
      <c r="E658" s="1">
        <v>8381</v>
      </c>
      <c r="F658" s="4">
        <v>12000000</v>
      </c>
      <c r="G658" s="4">
        <v>1431</v>
      </c>
      <c r="H658" s="1">
        <v>5</v>
      </c>
      <c r="I658" s="1">
        <v>2</v>
      </c>
      <c r="J658" s="1">
        <v>18</v>
      </c>
      <c r="K658" s="1" t="s">
        <v>42</v>
      </c>
      <c r="L658" s="1" t="s">
        <v>1364</v>
      </c>
      <c r="M658" s="1">
        <v>5</v>
      </c>
      <c r="N658" s="1">
        <v>10</v>
      </c>
      <c r="O658" s="1">
        <v>43878</v>
      </c>
      <c r="P658" s="1">
        <v>4.3899999999999997</v>
      </c>
      <c r="Q658" s="1" t="s">
        <v>6</v>
      </c>
      <c r="R658" s="3">
        <v>0.46939999999999998</v>
      </c>
      <c r="S658" s="2">
        <v>45964</v>
      </c>
      <c r="T658" s="1">
        <v>56</v>
      </c>
      <c r="U658" s="1" t="s">
        <v>30</v>
      </c>
      <c r="V658" s="1">
        <v>159</v>
      </c>
      <c r="W658" s="1" t="b">
        <v>0</v>
      </c>
      <c r="X658" s="1" t="b">
        <v>1</v>
      </c>
      <c r="Y658" s="1">
        <v>24000</v>
      </c>
    </row>
    <row r="659" spans="1:25" x14ac:dyDescent="0.35">
      <c r="A659" s="1" t="s">
        <v>1365</v>
      </c>
      <c r="B659" s="1" t="s">
        <v>1</v>
      </c>
      <c r="C659" s="1" t="s">
        <v>97</v>
      </c>
      <c r="D659" s="1" t="s">
        <v>27</v>
      </c>
      <c r="E659" s="1">
        <v>5326</v>
      </c>
      <c r="F659" s="4">
        <v>10000000</v>
      </c>
      <c r="G659" s="4">
        <v>1877</v>
      </c>
      <c r="H659" s="1">
        <v>5</v>
      </c>
      <c r="I659" s="1">
        <v>2</v>
      </c>
      <c r="J659" s="1">
        <v>17</v>
      </c>
      <c r="K659" s="1" t="s">
        <v>61</v>
      </c>
      <c r="L659" s="1" t="s">
        <v>1366</v>
      </c>
      <c r="M659" s="1">
        <v>8</v>
      </c>
      <c r="N659" s="1">
        <v>4</v>
      </c>
      <c r="O659" s="1">
        <v>36341</v>
      </c>
      <c r="P659" s="1">
        <v>4.3600000000000003</v>
      </c>
      <c r="Q659" s="1" t="s">
        <v>6</v>
      </c>
      <c r="R659" s="3">
        <v>0.46799999999999997</v>
      </c>
      <c r="S659" s="2">
        <v>46088</v>
      </c>
      <c r="T659" s="1">
        <v>184</v>
      </c>
      <c r="U659" s="1" t="s">
        <v>7</v>
      </c>
      <c r="V659" s="1">
        <v>138</v>
      </c>
      <c r="W659" s="1" t="b">
        <v>0</v>
      </c>
      <c r="X659" s="1" t="b">
        <v>1</v>
      </c>
      <c r="Y659" s="1">
        <v>0</v>
      </c>
    </row>
    <row r="660" spans="1:25" x14ac:dyDescent="0.35">
      <c r="A660" s="1" t="s">
        <v>1367</v>
      </c>
      <c r="B660" s="1" t="s">
        <v>54</v>
      </c>
      <c r="C660" s="1" t="s">
        <v>89</v>
      </c>
      <c r="D660" s="1" t="s">
        <v>20</v>
      </c>
      <c r="E660" s="1">
        <v>2353</v>
      </c>
      <c r="F660" s="4">
        <v>40000000</v>
      </c>
      <c r="G660" s="4">
        <v>16999</v>
      </c>
      <c r="H660" s="1">
        <v>4</v>
      </c>
      <c r="I660" s="1">
        <v>3</v>
      </c>
      <c r="J660" s="1">
        <v>19</v>
      </c>
      <c r="K660" s="1" t="s">
        <v>28</v>
      </c>
      <c r="L660" s="1" t="s">
        <v>1368</v>
      </c>
      <c r="M660" s="1">
        <v>7</v>
      </c>
      <c r="N660" s="1">
        <v>10</v>
      </c>
      <c r="O660" s="1">
        <v>131573</v>
      </c>
      <c r="P660" s="1">
        <v>3.95</v>
      </c>
      <c r="Q660" s="1" t="s">
        <v>14</v>
      </c>
      <c r="R660" s="3">
        <v>0.44740000000000002</v>
      </c>
      <c r="S660" s="2">
        <v>45764</v>
      </c>
      <c r="T660" s="1">
        <v>217</v>
      </c>
      <c r="U660" s="1" t="s">
        <v>30</v>
      </c>
      <c r="V660" s="1">
        <v>55</v>
      </c>
      <c r="W660" s="1" t="b">
        <v>0</v>
      </c>
      <c r="X660" s="1" t="b">
        <v>0</v>
      </c>
      <c r="Y660" s="1">
        <v>80000</v>
      </c>
    </row>
    <row r="661" spans="1:25" x14ac:dyDescent="0.35">
      <c r="A661" s="1" t="s">
        <v>1369</v>
      </c>
      <c r="B661" s="1" t="s">
        <v>18</v>
      </c>
      <c r="C661" s="1" t="s">
        <v>169</v>
      </c>
      <c r="D661" s="1" t="s">
        <v>11</v>
      </c>
      <c r="E661" s="1">
        <v>294</v>
      </c>
      <c r="F661" s="4">
        <v>15000000</v>
      </c>
      <c r="G661" s="4">
        <v>51020</v>
      </c>
      <c r="H661" s="1">
        <v>1</v>
      </c>
      <c r="I661" s="1">
        <v>2</v>
      </c>
      <c r="J661" s="1">
        <v>17</v>
      </c>
      <c r="K661" s="1" t="s">
        <v>42</v>
      </c>
      <c r="L661" s="1" t="s">
        <v>1370</v>
      </c>
      <c r="M661" s="1">
        <v>3</v>
      </c>
      <c r="N661" s="1">
        <v>4</v>
      </c>
      <c r="O661" s="1">
        <v>45934</v>
      </c>
      <c r="P661" s="1">
        <v>3.67</v>
      </c>
      <c r="Q661" s="1" t="s">
        <v>6</v>
      </c>
      <c r="R661" s="3">
        <v>0.43369999999999997</v>
      </c>
      <c r="S661" s="2">
        <v>45538</v>
      </c>
      <c r="T661" s="1">
        <v>159</v>
      </c>
      <c r="U661" s="1" t="s">
        <v>23</v>
      </c>
      <c r="V661" s="1">
        <v>112</v>
      </c>
      <c r="W661" s="1" t="b">
        <v>0</v>
      </c>
      <c r="X661" s="1" t="b">
        <v>1</v>
      </c>
      <c r="Y661" s="1">
        <v>0</v>
      </c>
    </row>
    <row r="662" spans="1:25" x14ac:dyDescent="0.35">
      <c r="A662" s="1" t="s">
        <v>1371</v>
      </c>
      <c r="B662" s="1" t="s">
        <v>9</v>
      </c>
      <c r="C662" s="1" t="s">
        <v>189</v>
      </c>
      <c r="D662" s="1" t="s">
        <v>27</v>
      </c>
      <c r="E662" s="1">
        <v>6861</v>
      </c>
      <c r="F662" s="4">
        <v>50000000</v>
      </c>
      <c r="G662" s="4">
        <v>7287</v>
      </c>
      <c r="H662" s="1">
        <v>3</v>
      </c>
      <c r="I662" s="1">
        <v>2</v>
      </c>
      <c r="J662" s="1">
        <v>2</v>
      </c>
      <c r="K662" s="1" t="s">
        <v>34</v>
      </c>
      <c r="L662" s="1" t="s">
        <v>1372</v>
      </c>
      <c r="M662" s="1">
        <v>7</v>
      </c>
      <c r="N662" s="1">
        <v>7</v>
      </c>
      <c r="O662" s="1">
        <v>183184</v>
      </c>
      <c r="P662" s="1">
        <v>4.4000000000000004</v>
      </c>
      <c r="Q662" s="1" t="s">
        <v>14</v>
      </c>
      <c r="R662" s="3">
        <v>0.4698</v>
      </c>
      <c r="S662" s="2">
        <v>45654</v>
      </c>
      <c r="T662" s="1">
        <v>84</v>
      </c>
      <c r="U662" s="1" t="s">
        <v>7</v>
      </c>
      <c r="V662" s="1">
        <v>105</v>
      </c>
      <c r="W662" s="1" t="b">
        <v>1</v>
      </c>
      <c r="X662" s="1" t="b">
        <v>0</v>
      </c>
      <c r="Y662" s="1">
        <v>0</v>
      </c>
    </row>
    <row r="663" spans="1:25" x14ac:dyDescent="0.35">
      <c r="A663" s="1" t="s">
        <v>1373</v>
      </c>
      <c r="B663" s="1" t="s">
        <v>18</v>
      </c>
      <c r="C663" s="1" t="s">
        <v>169</v>
      </c>
      <c r="D663" s="1" t="s">
        <v>27</v>
      </c>
      <c r="E663" s="1">
        <v>2629</v>
      </c>
      <c r="F663" s="4">
        <v>15000000</v>
      </c>
      <c r="G663" s="4">
        <v>5705</v>
      </c>
      <c r="H663" s="1">
        <v>4</v>
      </c>
      <c r="I663" s="1">
        <v>3</v>
      </c>
      <c r="J663" s="1">
        <v>15</v>
      </c>
      <c r="K663" s="1" t="s">
        <v>21</v>
      </c>
      <c r="L663" s="1" t="s">
        <v>1374</v>
      </c>
      <c r="M663" s="1">
        <v>4</v>
      </c>
      <c r="N663" s="1">
        <v>8</v>
      </c>
      <c r="O663" s="1">
        <v>42066</v>
      </c>
      <c r="P663" s="1">
        <v>3.37</v>
      </c>
      <c r="Q663" s="1" t="s">
        <v>6</v>
      </c>
      <c r="R663" s="3">
        <v>0.41830000000000001</v>
      </c>
      <c r="S663" s="2">
        <v>45808</v>
      </c>
      <c r="T663" s="1">
        <v>118</v>
      </c>
      <c r="U663" s="1" t="s">
        <v>23</v>
      </c>
      <c r="V663" s="1">
        <v>156</v>
      </c>
      <c r="W663" s="1" t="b">
        <v>0</v>
      </c>
      <c r="X663" s="1" t="b">
        <v>1</v>
      </c>
      <c r="Y663" s="1">
        <v>30000</v>
      </c>
    </row>
    <row r="664" spans="1:25" x14ac:dyDescent="0.35">
      <c r="A664" s="1" t="s">
        <v>1375</v>
      </c>
      <c r="B664" s="1" t="s">
        <v>25</v>
      </c>
      <c r="C664" s="1" t="s">
        <v>82</v>
      </c>
      <c r="D664" s="1" t="s">
        <v>27</v>
      </c>
      <c r="E664" s="1">
        <v>6957</v>
      </c>
      <c r="F664" s="4">
        <v>30000000</v>
      </c>
      <c r="G664" s="4">
        <v>4312</v>
      </c>
      <c r="H664" s="1">
        <v>3</v>
      </c>
      <c r="I664" s="1">
        <v>2</v>
      </c>
      <c r="J664" s="1">
        <v>15</v>
      </c>
      <c r="K664" s="1" t="s">
        <v>58</v>
      </c>
      <c r="L664" s="1" t="s">
        <v>1376</v>
      </c>
      <c r="M664" s="1">
        <v>5</v>
      </c>
      <c r="N664" s="1">
        <v>7</v>
      </c>
      <c r="O664" s="1">
        <v>76676</v>
      </c>
      <c r="P664" s="1">
        <v>3.07</v>
      </c>
      <c r="Q664" s="1" t="s">
        <v>14</v>
      </c>
      <c r="R664" s="3">
        <v>0.40340000000000004</v>
      </c>
      <c r="S664" s="2">
        <v>45710</v>
      </c>
      <c r="T664" s="1">
        <v>34</v>
      </c>
      <c r="U664" s="1" t="s">
        <v>7</v>
      </c>
      <c r="V664" s="1">
        <v>47</v>
      </c>
      <c r="W664" s="1" t="b">
        <v>1</v>
      </c>
      <c r="X664" s="1" t="b">
        <v>0</v>
      </c>
      <c r="Y664" s="1">
        <v>0</v>
      </c>
    </row>
    <row r="665" spans="1:25" x14ac:dyDescent="0.35">
      <c r="A665" s="1" t="s">
        <v>1377</v>
      </c>
      <c r="B665" s="1" t="s">
        <v>18</v>
      </c>
      <c r="C665" s="1" t="s">
        <v>19</v>
      </c>
      <c r="D665" s="1" t="s">
        <v>38</v>
      </c>
      <c r="E665" s="1">
        <v>4992</v>
      </c>
      <c r="F665" s="4">
        <v>15000000</v>
      </c>
      <c r="G665" s="4">
        <v>3004</v>
      </c>
      <c r="H665" s="1">
        <v>4</v>
      </c>
      <c r="I665" s="1">
        <v>2</v>
      </c>
      <c r="J665" s="1">
        <v>0</v>
      </c>
      <c r="K665" s="1" t="s">
        <v>12</v>
      </c>
      <c r="L665" s="1" t="s">
        <v>1378</v>
      </c>
      <c r="M665" s="1">
        <v>4</v>
      </c>
      <c r="N665" s="1">
        <v>7</v>
      </c>
      <c r="O665" s="1">
        <v>49446</v>
      </c>
      <c r="P665" s="1">
        <v>3.96</v>
      </c>
      <c r="Q665" s="1" t="s">
        <v>6</v>
      </c>
      <c r="R665" s="3">
        <v>0.44780000000000003</v>
      </c>
      <c r="S665" s="2">
        <v>45484</v>
      </c>
      <c r="T665" s="1">
        <v>287</v>
      </c>
      <c r="U665" s="1" t="s">
        <v>7</v>
      </c>
      <c r="V665" s="1">
        <v>59</v>
      </c>
      <c r="W665" s="1" t="b">
        <v>1</v>
      </c>
      <c r="X665" s="1" t="b">
        <v>1</v>
      </c>
      <c r="Y665" s="1">
        <v>30000</v>
      </c>
    </row>
    <row r="666" spans="1:25" x14ac:dyDescent="0.35">
      <c r="A666" s="1" t="s">
        <v>1379</v>
      </c>
      <c r="B666" s="1" t="s">
        <v>25</v>
      </c>
      <c r="C666" s="1" t="s">
        <v>26</v>
      </c>
      <c r="D666" s="1" t="s">
        <v>27</v>
      </c>
      <c r="E666" s="1">
        <v>7746</v>
      </c>
      <c r="F666" s="4">
        <v>30000000</v>
      </c>
      <c r="G666" s="4">
        <v>3872</v>
      </c>
      <c r="H666" s="1">
        <v>6</v>
      </c>
      <c r="I666" s="1">
        <v>3</v>
      </c>
      <c r="J666" s="1">
        <v>11</v>
      </c>
      <c r="K666" s="1" t="s">
        <v>34</v>
      </c>
      <c r="L666" s="1" t="s">
        <v>1380</v>
      </c>
      <c r="M666" s="1">
        <v>3</v>
      </c>
      <c r="N666" s="1">
        <v>5</v>
      </c>
      <c r="O666" s="1">
        <v>75442</v>
      </c>
      <c r="P666" s="1">
        <v>3.02</v>
      </c>
      <c r="Q666" s="1" t="s">
        <v>14</v>
      </c>
      <c r="R666" s="3">
        <v>0.40090000000000003</v>
      </c>
      <c r="S666" s="2">
        <v>46016</v>
      </c>
      <c r="T666" s="1">
        <v>110</v>
      </c>
      <c r="U666" s="1" t="s">
        <v>7</v>
      </c>
      <c r="V666" s="1">
        <v>152</v>
      </c>
      <c r="W666" s="1" t="b">
        <v>1</v>
      </c>
      <c r="X666" s="1" t="b">
        <v>0</v>
      </c>
      <c r="Y666" s="1">
        <v>0</v>
      </c>
    </row>
    <row r="667" spans="1:25" x14ac:dyDescent="0.35">
      <c r="A667" s="1" t="s">
        <v>1381</v>
      </c>
      <c r="B667" s="1" t="s">
        <v>18</v>
      </c>
      <c r="C667" s="1" t="s">
        <v>217</v>
      </c>
      <c r="D667" s="1" t="s">
        <v>3</v>
      </c>
      <c r="E667" s="1">
        <v>1106</v>
      </c>
      <c r="F667" s="4">
        <v>15000000</v>
      </c>
      <c r="G667" s="4">
        <v>13562</v>
      </c>
      <c r="H667" s="1">
        <v>4</v>
      </c>
      <c r="I667" s="1">
        <v>2</v>
      </c>
      <c r="J667" s="1">
        <v>4</v>
      </c>
      <c r="K667" s="1" t="s">
        <v>61</v>
      </c>
      <c r="L667" s="1" t="s">
        <v>1382</v>
      </c>
      <c r="M667" s="1">
        <v>8</v>
      </c>
      <c r="N667" s="1">
        <v>5</v>
      </c>
      <c r="O667" s="1">
        <v>56335</v>
      </c>
      <c r="P667" s="1">
        <v>4.51</v>
      </c>
      <c r="Q667" s="1" t="s">
        <v>6</v>
      </c>
      <c r="R667" s="3">
        <v>0.4753</v>
      </c>
      <c r="S667" s="2">
        <v>45516</v>
      </c>
      <c r="T667" s="1">
        <v>209</v>
      </c>
      <c r="U667" s="1" t="s">
        <v>7</v>
      </c>
      <c r="V667" s="1">
        <v>97</v>
      </c>
      <c r="W667" s="1" t="b">
        <v>1</v>
      </c>
      <c r="X667" s="1" t="b">
        <v>0</v>
      </c>
      <c r="Y667" s="1">
        <v>30000</v>
      </c>
    </row>
    <row r="668" spans="1:25" x14ac:dyDescent="0.35">
      <c r="A668" s="1" t="s">
        <v>1383</v>
      </c>
      <c r="B668" s="1" t="s">
        <v>54</v>
      </c>
      <c r="C668" s="1" t="s">
        <v>89</v>
      </c>
      <c r="D668" s="1" t="s">
        <v>3</v>
      </c>
      <c r="E668" s="1">
        <v>1188</v>
      </c>
      <c r="F668" s="4">
        <v>40000000</v>
      </c>
      <c r="G668" s="4">
        <v>33670</v>
      </c>
      <c r="H668" s="1">
        <v>3</v>
      </c>
      <c r="I668" s="1">
        <v>2</v>
      </c>
      <c r="J668" s="1">
        <v>14</v>
      </c>
      <c r="K668" s="1" t="s">
        <v>4</v>
      </c>
      <c r="L668" s="1" t="s">
        <v>1384</v>
      </c>
      <c r="M668" s="1">
        <v>7</v>
      </c>
      <c r="N668" s="1">
        <v>4</v>
      </c>
      <c r="O668" s="1">
        <v>119175</v>
      </c>
      <c r="P668" s="1">
        <v>3.58</v>
      </c>
      <c r="Q668" s="1" t="s">
        <v>14</v>
      </c>
      <c r="R668" s="3">
        <v>0.42880000000000001</v>
      </c>
      <c r="S668" s="2">
        <v>46080</v>
      </c>
      <c r="T668" s="1">
        <v>34</v>
      </c>
      <c r="U668" s="1" t="s">
        <v>7</v>
      </c>
      <c r="V668" s="1">
        <v>136</v>
      </c>
      <c r="W668" s="1" t="b">
        <v>1</v>
      </c>
      <c r="X668" s="1" t="b">
        <v>1</v>
      </c>
      <c r="Y668" s="1">
        <v>80000</v>
      </c>
    </row>
    <row r="669" spans="1:25" x14ac:dyDescent="0.35">
      <c r="A669" s="1" t="s">
        <v>1385</v>
      </c>
      <c r="B669" s="1" t="s">
        <v>54</v>
      </c>
      <c r="C669" s="1" t="s">
        <v>72</v>
      </c>
      <c r="D669" s="1" t="s">
        <v>11</v>
      </c>
      <c r="E669" s="1">
        <v>393</v>
      </c>
      <c r="F669" s="4">
        <v>40000000</v>
      </c>
      <c r="G669" s="4">
        <v>101781</v>
      </c>
      <c r="H669" s="1">
        <v>1</v>
      </c>
      <c r="I669" s="1">
        <v>2</v>
      </c>
      <c r="J669" s="1">
        <v>9</v>
      </c>
      <c r="K669" s="1" t="s">
        <v>21</v>
      </c>
      <c r="L669" s="1" t="s">
        <v>1386</v>
      </c>
      <c r="M669" s="1">
        <v>7</v>
      </c>
      <c r="N669" s="1">
        <v>9</v>
      </c>
      <c r="O669" s="1">
        <v>155967</v>
      </c>
      <c r="P669" s="1">
        <v>4.68</v>
      </c>
      <c r="Q669" s="1" t="s">
        <v>14</v>
      </c>
      <c r="R669" s="3">
        <v>0.48399999999999999</v>
      </c>
      <c r="S669" s="2">
        <v>45553</v>
      </c>
      <c r="T669" s="1">
        <v>71</v>
      </c>
      <c r="U669" s="1" t="s">
        <v>30</v>
      </c>
      <c r="V669" s="1">
        <v>176</v>
      </c>
      <c r="W669" s="1" t="b">
        <v>0</v>
      </c>
      <c r="X669" s="1" t="b">
        <v>0</v>
      </c>
      <c r="Y669" s="1">
        <v>80000</v>
      </c>
    </row>
    <row r="670" spans="1:25" x14ac:dyDescent="0.35">
      <c r="A670" s="1" t="s">
        <v>1387</v>
      </c>
      <c r="B670" s="1" t="s">
        <v>1</v>
      </c>
      <c r="C670" s="1" t="s">
        <v>48</v>
      </c>
      <c r="D670" s="1" t="s">
        <v>20</v>
      </c>
      <c r="E670" s="1">
        <v>3682</v>
      </c>
      <c r="F670" s="4">
        <v>10000000</v>
      </c>
      <c r="G670" s="4">
        <v>2715</v>
      </c>
      <c r="H670" s="1">
        <v>2</v>
      </c>
      <c r="I670" s="1">
        <v>2</v>
      </c>
      <c r="J670" s="1">
        <v>20</v>
      </c>
      <c r="K670" s="1" t="s">
        <v>4</v>
      </c>
      <c r="L670" s="1" t="s">
        <v>1388</v>
      </c>
      <c r="M670" s="1">
        <v>5</v>
      </c>
      <c r="N670" s="1">
        <v>6</v>
      </c>
      <c r="O670" s="1">
        <v>30808</v>
      </c>
      <c r="P670" s="1">
        <v>3.7</v>
      </c>
      <c r="Q670" s="1" t="s">
        <v>6</v>
      </c>
      <c r="R670" s="3">
        <v>0.43479999999999996</v>
      </c>
      <c r="S670" s="2">
        <v>45843</v>
      </c>
      <c r="T670" s="1">
        <v>347</v>
      </c>
      <c r="U670" s="1" t="s">
        <v>7</v>
      </c>
      <c r="V670" s="1">
        <v>162</v>
      </c>
      <c r="W670" s="1" t="b">
        <v>0</v>
      </c>
      <c r="X670" s="1" t="b">
        <v>0</v>
      </c>
      <c r="Y670" s="1">
        <v>0</v>
      </c>
    </row>
    <row r="671" spans="1:25" x14ac:dyDescent="0.35">
      <c r="A671" s="1" t="s">
        <v>1389</v>
      </c>
      <c r="B671" s="1" t="s">
        <v>32</v>
      </c>
      <c r="C671" s="1" t="s">
        <v>197</v>
      </c>
      <c r="D671" s="1" t="s">
        <v>27</v>
      </c>
      <c r="E671" s="1">
        <v>7022</v>
      </c>
      <c r="F671" s="4">
        <v>12000000</v>
      </c>
      <c r="G671" s="4">
        <v>1708</v>
      </c>
      <c r="H671" s="1">
        <v>4</v>
      </c>
      <c r="I671" s="1">
        <v>3</v>
      </c>
      <c r="J671" s="1">
        <v>6</v>
      </c>
      <c r="K671" s="1" t="s">
        <v>34</v>
      </c>
      <c r="L671" s="1" t="s">
        <v>1390</v>
      </c>
      <c r="M671" s="1">
        <v>8</v>
      </c>
      <c r="N671" s="1">
        <v>5</v>
      </c>
      <c r="O671" s="1">
        <v>34114</v>
      </c>
      <c r="P671" s="1">
        <v>3.41</v>
      </c>
      <c r="Q671" s="1" t="s">
        <v>6</v>
      </c>
      <c r="R671" s="3">
        <v>0.42060000000000003</v>
      </c>
      <c r="S671" s="2">
        <v>45508</v>
      </c>
      <c r="T671" s="1">
        <v>192</v>
      </c>
      <c r="U671" s="1" t="s">
        <v>30</v>
      </c>
      <c r="V671" s="1">
        <v>157</v>
      </c>
      <c r="W671" s="1" t="b">
        <v>1</v>
      </c>
      <c r="X671" s="1" t="b">
        <v>0</v>
      </c>
      <c r="Y671" s="1">
        <v>0</v>
      </c>
    </row>
    <row r="672" spans="1:25" x14ac:dyDescent="0.35">
      <c r="A672" s="1" t="s">
        <v>1391</v>
      </c>
      <c r="B672" s="1" t="s">
        <v>1</v>
      </c>
      <c r="C672" s="1" t="s">
        <v>97</v>
      </c>
      <c r="D672" s="1" t="s">
        <v>38</v>
      </c>
      <c r="E672" s="1">
        <v>6760</v>
      </c>
      <c r="F672" s="4">
        <v>10000000</v>
      </c>
      <c r="G672" s="4">
        <v>1479</v>
      </c>
      <c r="H672" s="1">
        <v>6</v>
      </c>
      <c r="I672" s="1">
        <v>4</v>
      </c>
      <c r="J672" s="1">
        <v>4</v>
      </c>
      <c r="K672" s="1" t="s">
        <v>21</v>
      </c>
      <c r="L672" s="1" t="s">
        <v>1392</v>
      </c>
      <c r="M672" s="1">
        <v>5</v>
      </c>
      <c r="N672" s="1">
        <v>7</v>
      </c>
      <c r="O672" s="1">
        <v>28148</v>
      </c>
      <c r="P672" s="1">
        <v>3.38</v>
      </c>
      <c r="Q672" s="1" t="s">
        <v>6</v>
      </c>
      <c r="R672" s="3">
        <v>0.41889999999999999</v>
      </c>
      <c r="S672" s="2">
        <v>45896</v>
      </c>
      <c r="T672" s="1">
        <v>299</v>
      </c>
      <c r="U672" s="1" t="s">
        <v>23</v>
      </c>
      <c r="V672" s="1">
        <v>170</v>
      </c>
      <c r="W672" s="1" t="b">
        <v>0</v>
      </c>
      <c r="X672" s="1" t="b">
        <v>0</v>
      </c>
      <c r="Y672" s="1">
        <v>20000</v>
      </c>
    </row>
    <row r="673" spans="1:25" x14ac:dyDescent="0.35">
      <c r="A673" s="1" t="s">
        <v>1393</v>
      </c>
      <c r="B673" s="1" t="s">
        <v>54</v>
      </c>
      <c r="C673" s="1" t="s">
        <v>64</v>
      </c>
      <c r="D673" s="1" t="s">
        <v>11</v>
      </c>
      <c r="E673" s="1">
        <v>571</v>
      </c>
      <c r="F673" s="4">
        <v>40000000</v>
      </c>
      <c r="G673" s="4">
        <v>70052</v>
      </c>
      <c r="H673" s="1">
        <v>1</v>
      </c>
      <c r="I673" s="1">
        <v>1</v>
      </c>
      <c r="J673" s="1">
        <v>15</v>
      </c>
      <c r="K673" s="1" t="s">
        <v>12</v>
      </c>
      <c r="L673" s="1" t="s">
        <v>1394</v>
      </c>
      <c r="M673" s="1">
        <v>6</v>
      </c>
      <c r="N673" s="1">
        <v>6</v>
      </c>
      <c r="O673" s="1">
        <v>166279</v>
      </c>
      <c r="P673" s="1">
        <v>4.99</v>
      </c>
      <c r="Q673" s="1" t="s">
        <v>14</v>
      </c>
      <c r="R673" s="3">
        <v>0.49939999999999996</v>
      </c>
      <c r="S673" s="2">
        <v>46114</v>
      </c>
      <c r="T673" s="1">
        <v>281</v>
      </c>
      <c r="U673" s="1" t="s">
        <v>30</v>
      </c>
      <c r="V673" s="1">
        <v>57</v>
      </c>
      <c r="W673" s="1" t="b">
        <v>0</v>
      </c>
      <c r="X673" s="1" t="b">
        <v>1</v>
      </c>
      <c r="Y673" s="1">
        <v>80000</v>
      </c>
    </row>
    <row r="674" spans="1:25" x14ac:dyDescent="0.35">
      <c r="A674" s="1" t="s">
        <v>1395</v>
      </c>
      <c r="B674" s="1" t="s">
        <v>1</v>
      </c>
      <c r="C674" s="1" t="s">
        <v>45</v>
      </c>
      <c r="D674" s="1" t="s">
        <v>11</v>
      </c>
      <c r="E674" s="1">
        <v>354</v>
      </c>
      <c r="F674" s="4">
        <v>10000000</v>
      </c>
      <c r="G674" s="4">
        <v>28248</v>
      </c>
      <c r="H674" s="1">
        <v>0</v>
      </c>
      <c r="I674" s="1">
        <v>1</v>
      </c>
      <c r="J674" s="1">
        <v>0</v>
      </c>
      <c r="K674" s="1" t="s">
        <v>21</v>
      </c>
      <c r="L674" s="1" t="s">
        <v>1396</v>
      </c>
      <c r="M674" s="1">
        <v>3</v>
      </c>
      <c r="N674" s="1">
        <v>6</v>
      </c>
      <c r="O674" s="1">
        <v>28673</v>
      </c>
      <c r="P674" s="1">
        <v>3.44</v>
      </c>
      <c r="Q674" s="1" t="s">
        <v>6</v>
      </c>
      <c r="R674" s="3">
        <v>0.42200000000000004</v>
      </c>
      <c r="S674" s="2">
        <v>45538</v>
      </c>
      <c r="T674" s="1">
        <v>182</v>
      </c>
      <c r="U674" s="1" t="s">
        <v>7</v>
      </c>
      <c r="V674" s="1">
        <v>171</v>
      </c>
      <c r="W674" s="1" t="b">
        <v>1</v>
      </c>
      <c r="X674" s="1" t="b">
        <v>1</v>
      </c>
      <c r="Y674" s="1">
        <v>20000</v>
      </c>
    </row>
    <row r="675" spans="1:25" x14ac:dyDescent="0.35">
      <c r="A675" s="1" t="s">
        <v>1397</v>
      </c>
      <c r="B675" s="1" t="s">
        <v>32</v>
      </c>
      <c r="C675" s="1" t="s">
        <v>67</v>
      </c>
      <c r="D675" s="1" t="s">
        <v>20</v>
      </c>
      <c r="E675" s="1">
        <v>4622</v>
      </c>
      <c r="F675" s="4">
        <v>12000000</v>
      </c>
      <c r="G675" s="4">
        <v>2596</v>
      </c>
      <c r="H675" s="1">
        <v>3</v>
      </c>
      <c r="I675" s="1">
        <v>1</v>
      </c>
      <c r="J675" s="1">
        <v>25</v>
      </c>
      <c r="K675" s="1" t="s">
        <v>34</v>
      </c>
      <c r="L675" s="1" t="s">
        <v>1398</v>
      </c>
      <c r="M675" s="1">
        <v>6</v>
      </c>
      <c r="N675" s="1">
        <v>5</v>
      </c>
      <c r="O675" s="1">
        <v>32491</v>
      </c>
      <c r="P675" s="1">
        <v>3.25</v>
      </c>
      <c r="Q675" s="1" t="s">
        <v>6</v>
      </c>
      <c r="R675" s="3">
        <v>0.41249999999999998</v>
      </c>
      <c r="S675" s="2">
        <v>45904</v>
      </c>
      <c r="T675" s="1">
        <v>236</v>
      </c>
      <c r="U675" s="1" t="s">
        <v>30</v>
      </c>
      <c r="V675" s="1">
        <v>91</v>
      </c>
      <c r="W675" s="1" t="b">
        <v>1</v>
      </c>
      <c r="X675" s="1" t="b">
        <v>1</v>
      </c>
      <c r="Y675" s="1">
        <v>24000</v>
      </c>
    </row>
    <row r="676" spans="1:25" x14ac:dyDescent="0.35">
      <c r="A676" s="1" t="s">
        <v>1399</v>
      </c>
      <c r="B676" s="1" t="s">
        <v>54</v>
      </c>
      <c r="C676" s="1" t="s">
        <v>64</v>
      </c>
      <c r="D676" s="1" t="s">
        <v>3</v>
      </c>
      <c r="E676" s="1">
        <v>1378</v>
      </c>
      <c r="F676" s="4">
        <v>40000000</v>
      </c>
      <c r="G676" s="4">
        <v>29027</v>
      </c>
      <c r="H676" s="1">
        <v>3</v>
      </c>
      <c r="I676" s="1">
        <v>2</v>
      </c>
      <c r="J676" s="1">
        <v>18</v>
      </c>
      <c r="K676" s="1" t="s">
        <v>42</v>
      </c>
      <c r="L676" s="1" t="s">
        <v>1400</v>
      </c>
      <c r="M676" s="1">
        <v>7</v>
      </c>
      <c r="N676" s="1">
        <v>10</v>
      </c>
      <c r="O676" s="1">
        <v>149277</v>
      </c>
      <c r="P676" s="1">
        <v>4.4800000000000004</v>
      </c>
      <c r="Q676" s="1" t="s">
        <v>14</v>
      </c>
      <c r="R676" s="3">
        <v>0.47389999999999999</v>
      </c>
      <c r="S676" s="2">
        <v>45763</v>
      </c>
      <c r="T676" s="1">
        <v>12</v>
      </c>
      <c r="U676" s="1" t="s">
        <v>23</v>
      </c>
      <c r="V676" s="1">
        <v>127</v>
      </c>
      <c r="W676" s="1" t="b">
        <v>0</v>
      </c>
      <c r="X676" s="1" t="b">
        <v>1</v>
      </c>
      <c r="Y676" s="1">
        <v>0</v>
      </c>
    </row>
    <row r="677" spans="1:25" x14ac:dyDescent="0.35">
      <c r="A677" s="1" t="s">
        <v>1401</v>
      </c>
      <c r="B677" s="1" t="s">
        <v>18</v>
      </c>
      <c r="C677" s="1" t="s">
        <v>166</v>
      </c>
      <c r="D677" s="1" t="s">
        <v>20</v>
      </c>
      <c r="E677" s="1">
        <v>2819</v>
      </c>
      <c r="F677" s="4">
        <v>15000000</v>
      </c>
      <c r="G677" s="4">
        <v>5321</v>
      </c>
      <c r="H677" s="1">
        <v>2</v>
      </c>
      <c r="I677" s="1">
        <v>2</v>
      </c>
      <c r="J677" s="1">
        <v>16</v>
      </c>
      <c r="K677" s="1" t="s">
        <v>61</v>
      </c>
      <c r="L677" s="1" t="s">
        <v>1402</v>
      </c>
      <c r="M677" s="1">
        <v>7</v>
      </c>
      <c r="N677" s="1">
        <v>6</v>
      </c>
      <c r="O677" s="1">
        <v>42678</v>
      </c>
      <c r="P677" s="1">
        <v>3.41</v>
      </c>
      <c r="Q677" s="1" t="s">
        <v>6</v>
      </c>
      <c r="R677" s="3">
        <v>0.42070000000000002</v>
      </c>
      <c r="S677" s="2">
        <v>45835</v>
      </c>
      <c r="T677" s="1">
        <v>149</v>
      </c>
      <c r="U677" s="1" t="s">
        <v>7</v>
      </c>
      <c r="V677" s="1">
        <v>93</v>
      </c>
      <c r="W677" s="1" t="b">
        <v>1</v>
      </c>
      <c r="X677" s="1" t="b">
        <v>0</v>
      </c>
      <c r="Y677" s="1">
        <v>0</v>
      </c>
    </row>
    <row r="678" spans="1:25" x14ac:dyDescent="0.35">
      <c r="A678" s="1" t="s">
        <v>1403</v>
      </c>
      <c r="B678" s="1" t="s">
        <v>9</v>
      </c>
      <c r="C678" s="1" t="s">
        <v>142</v>
      </c>
      <c r="D678" s="1" t="s">
        <v>38</v>
      </c>
      <c r="E678" s="1">
        <v>4999</v>
      </c>
      <c r="F678" s="4">
        <v>50000000</v>
      </c>
      <c r="G678" s="4">
        <v>10002</v>
      </c>
      <c r="H678" s="1">
        <v>6</v>
      </c>
      <c r="I678" s="1">
        <v>3</v>
      </c>
      <c r="J678" s="1">
        <v>14</v>
      </c>
      <c r="K678" s="1" t="s">
        <v>42</v>
      </c>
      <c r="L678" s="1" t="s">
        <v>1404</v>
      </c>
      <c r="M678" s="1">
        <v>8</v>
      </c>
      <c r="N678" s="1">
        <v>6</v>
      </c>
      <c r="O678" s="1">
        <v>132455</v>
      </c>
      <c r="P678" s="1">
        <v>3.18</v>
      </c>
      <c r="Q678" s="1" t="s">
        <v>14</v>
      </c>
      <c r="R678" s="3">
        <v>0.40889999999999999</v>
      </c>
      <c r="S678" s="2">
        <v>45895</v>
      </c>
      <c r="T678" s="1">
        <v>134</v>
      </c>
      <c r="U678" s="1" t="s">
        <v>7</v>
      </c>
      <c r="V678" s="1">
        <v>123</v>
      </c>
      <c r="W678" s="1" t="b">
        <v>0</v>
      </c>
      <c r="X678" s="1" t="b">
        <v>1</v>
      </c>
      <c r="Y678" s="1">
        <v>100000</v>
      </c>
    </row>
    <row r="679" spans="1:25" x14ac:dyDescent="0.35">
      <c r="A679" s="1" t="s">
        <v>1405</v>
      </c>
      <c r="B679" s="1" t="s">
        <v>25</v>
      </c>
      <c r="C679" s="1" t="s">
        <v>37</v>
      </c>
      <c r="D679" s="1" t="s">
        <v>38</v>
      </c>
      <c r="E679" s="1">
        <v>7907</v>
      </c>
      <c r="F679" s="4">
        <v>30000000</v>
      </c>
      <c r="G679" s="4">
        <v>3794</v>
      </c>
      <c r="H679" s="1">
        <v>6</v>
      </c>
      <c r="I679" s="1">
        <v>3</v>
      </c>
      <c r="J679" s="1">
        <v>27</v>
      </c>
      <c r="K679" s="1" t="s">
        <v>4</v>
      </c>
      <c r="L679" s="1" t="s">
        <v>1406</v>
      </c>
      <c r="M679" s="1">
        <v>3</v>
      </c>
      <c r="N679" s="1">
        <v>8</v>
      </c>
      <c r="O679" s="1">
        <v>120792</v>
      </c>
      <c r="P679" s="1">
        <v>4.83</v>
      </c>
      <c r="Q679" s="1" t="s">
        <v>14</v>
      </c>
      <c r="R679" s="3">
        <v>0.49159999999999998</v>
      </c>
      <c r="S679" s="2">
        <v>46062</v>
      </c>
      <c r="T679" s="1">
        <v>129</v>
      </c>
      <c r="U679" s="1" t="s">
        <v>30</v>
      </c>
      <c r="V679" s="1">
        <v>42</v>
      </c>
      <c r="W679" s="1" t="b">
        <v>1</v>
      </c>
      <c r="X679" s="1" t="b">
        <v>0</v>
      </c>
      <c r="Y679" s="1">
        <v>0</v>
      </c>
    </row>
    <row r="680" spans="1:25" x14ac:dyDescent="0.35">
      <c r="A680" s="1" t="s">
        <v>1407</v>
      </c>
      <c r="B680" s="1" t="s">
        <v>25</v>
      </c>
      <c r="C680" s="1" t="s">
        <v>26</v>
      </c>
      <c r="D680" s="1" t="s">
        <v>27</v>
      </c>
      <c r="E680" s="1">
        <v>5570</v>
      </c>
      <c r="F680" s="4">
        <v>30000000</v>
      </c>
      <c r="G680" s="4">
        <v>5385</v>
      </c>
      <c r="H680" s="1">
        <v>5</v>
      </c>
      <c r="I680" s="1">
        <v>2</v>
      </c>
      <c r="J680" s="1">
        <v>7</v>
      </c>
      <c r="K680" s="1" t="s">
        <v>28</v>
      </c>
      <c r="L680" s="1" t="s">
        <v>1408</v>
      </c>
      <c r="M680" s="1">
        <v>6</v>
      </c>
      <c r="N680" s="1">
        <v>7</v>
      </c>
      <c r="O680" s="1">
        <v>114155</v>
      </c>
      <c r="P680" s="1">
        <v>4.57</v>
      </c>
      <c r="Q680" s="1" t="s">
        <v>14</v>
      </c>
      <c r="R680" s="3">
        <v>0.4783</v>
      </c>
      <c r="S680" s="2">
        <v>45976</v>
      </c>
      <c r="T680" s="1">
        <v>86</v>
      </c>
      <c r="U680" s="1" t="s">
        <v>7</v>
      </c>
      <c r="V680" s="1">
        <v>138</v>
      </c>
      <c r="W680" s="1" t="b">
        <v>1</v>
      </c>
      <c r="X680" s="1" t="b">
        <v>1</v>
      </c>
      <c r="Y680" s="1">
        <v>60000</v>
      </c>
    </row>
    <row r="681" spans="1:25" x14ac:dyDescent="0.35">
      <c r="A681" s="1" t="s">
        <v>1409</v>
      </c>
      <c r="B681" s="1" t="s">
        <v>32</v>
      </c>
      <c r="C681" s="1" t="s">
        <v>194</v>
      </c>
      <c r="D681" s="1" t="s">
        <v>3</v>
      </c>
      <c r="E681" s="1">
        <v>675</v>
      </c>
      <c r="F681" s="4">
        <v>12000000</v>
      </c>
      <c r="G681" s="4">
        <v>17777</v>
      </c>
      <c r="H681" s="1">
        <v>1</v>
      </c>
      <c r="I681" s="1">
        <v>2</v>
      </c>
      <c r="J681" s="1">
        <v>26</v>
      </c>
      <c r="K681" s="1" t="s">
        <v>12</v>
      </c>
      <c r="L681" s="1" t="s">
        <v>1410</v>
      </c>
      <c r="M681" s="1">
        <v>4</v>
      </c>
      <c r="N681" s="1">
        <v>4</v>
      </c>
      <c r="O681" s="1">
        <v>33054</v>
      </c>
      <c r="P681" s="1">
        <v>3.31</v>
      </c>
      <c r="Q681" s="1" t="s">
        <v>6</v>
      </c>
      <c r="R681" s="3">
        <v>0.4153</v>
      </c>
      <c r="S681" s="2">
        <v>45965</v>
      </c>
      <c r="T681" s="1">
        <v>88</v>
      </c>
      <c r="U681" s="1" t="s">
        <v>7</v>
      </c>
      <c r="V681" s="1">
        <v>113</v>
      </c>
      <c r="W681" s="1" t="b">
        <v>0</v>
      </c>
      <c r="X681" s="1" t="b">
        <v>1</v>
      </c>
      <c r="Y681" s="1">
        <v>24000</v>
      </c>
    </row>
    <row r="682" spans="1:25" x14ac:dyDescent="0.35">
      <c r="A682" s="1" t="s">
        <v>1411</v>
      </c>
      <c r="B682" s="1" t="s">
        <v>18</v>
      </c>
      <c r="C682" s="1" t="s">
        <v>217</v>
      </c>
      <c r="D682" s="1" t="s">
        <v>27</v>
      </c>
      <c r="E682" s="1">
        <v>2396</v>
      </c>
      <c r="F682" s="4">
        <v>15000000</v>
      </c>
      <c r="G682" s="4">
        <v>6260</v>
      </c>
      <c r="H682" s="1">
        <v>6</v>
      </c>
      <c r="I682" s="1">
        <v>3</v>
      </c>
      <c r="J682" s="1">
        <v>27</v>
      </c>
      <c r="K682" s="1" t="s">
        <v>4</v>
      </c>
      <c r="L682" s="1" t="s">
        <v>1412</v>
      </c>
      <c r="M682" s="1">
        <v>4</v>
      </c>
      <c r="N682" s="1">
        <v>9</v>
      </c>
      <c r="O682" s="1">
        <v>55255</v>
      </c>
      <c r="P682" s="1">
        <v>4.42</v>
      </c>
      <c r="Q682" s="1" t="s">
        <v>6</v>
      </c>
      <c r="R682" s="3">
        <v>0.47100000000000003</v>
      </c>
      <c r="S682" s="2">
        <v>45426</v>
      </c>
      <c r="T682" s="1">
        <v>35</v>
      </c>
      <c r="U682" s="1" t="s">
        <v>7</v>
      </c>
      <c r="V682" s="1">
        <v>40</v>
      </c>
      <c r="W682" s="1" t="b">
        <v>0</v>
      </c>
      <c r="X682" s="1" t="b">
        <v>1</v>
      </c>
      <c r="Y682" s="1">
        <v>30000</v>
      </c>
    </row>
    <row r="683" spans="1:25" x14ac:dyDescent="0.35">
      <c r="A683" s="1" t="s">
        <v>1413</v>
      </c>
      <c r="B683" s="1" t="s">
        <v>54</v>
      </c>
      <c r="C683" s="1" t="s">
        <v>89</v>
      </c>
      <c r="D683" s="1" t="s">
        <v>38</v>
      </c>
      <c r="E683" s="1">
        <v>9544</v>
      </c>
      <c r="F683" s="4">
        <v>40000000</v>
      </c>
      <c r="G683" s="4">
        <v>4191</v>
      </c>
      <c r="H683" s="1">
        <v>5</v>
      </c>
      <c r="I683" s="1">
        <v>3</v>
      </c>
      <c r="J683" s="1">
        <v>17</v>
      </c>
      <c r="K683" s="1" t="s">
        <v>34</v>
      </c>
      <c r="L683" s="1" t="s">
        <v>1414</v>
      </c>
      <c r="M683" s="1">
        <v>7</v>
      </c>
      <c r="N683" s="1">
        <v>5</v>
      </c>
      <c r="O683" s="1">
        <v>127178</v>
      </c>
      <c r="P683" s="1">
        <v>3.82</v>
      </c>
      <c r="Q683" s="1" t="s">
        <v>14</v>
      </c>
      <c r="R683" s="3">
        <v>0.44079999999999997</v>
      </c>
      <c r="S683" s="2">
        <v>45641</v>
      </c>
      <c r="T683" s="1">
        <v>106</v>
      </c>
      <c r="U683" s="1" t="s">
        <v>23</v>
      </c>
      <c r="V683" s="1">
        <v>39</v>
      </c>
      <c r="W683" s="1" t="b">
        <v>1</v>
      </c>
      <c r="X683" s="1" t="b">
        <v>0</v>
      </c>
      <c r="Y683" s="1">
        <v>0</v>
      </c>
    </row>
    <row r="684" spans="1:25" x14ac:dyDescent="0.35">
      <c r="A684" s="1" t="s">
        <v>1415</v>
      </c>
      <c r="B684" s="1" t="s">
        <v>9</v>
      </c>
      <c r="C684" s="1" t="s">
        <v>109</v>
      </c>
      <c r="D684" s="1" t="s">
        <v>11</v>
      </c>
      <c r="E684" s="1">
        <v>445</v>
      </c>
      <c r="F684" s="4">
        <v>50000000</v>
      </c>
      <c r="G684" s="4">
        <v>112359</v>
      </c>
      <c r="H684" s="1">
        <v>1</v>
      </c>
      <c r="I684" s="1">
        <v>2</v>
      </c>
      <c r="J684" s="1">
        <v>11</v>
      </c>
      <c r="K684" s="1" t="s">
        <v>28</v>
      </c>
      <c r="L684" s="1" t="s">
        <v>1416</v>
      </c>
      <c r="M684" s="1">
        <v>3</v>
      </c>
      <c r="N684" s="1">
        <v>8</v>
      </c>
      <c r="O684" s="1">
        <v>189589</v>
      </c>
      <c r="P684" s="1">
        <v>4.55</v>
      </c>
      <c r="Q684" s="1" t="s">
        <v>14</v>
      </c>
      <c r="R684" s="3">
        <v>0.47749999999999998</v>
      </c>
      <c r="S684" s="2">
        <v>46006</v>
      </c>
      <c r="T684" s="1">
        <v>333</v>
      </c>
      <c r="U684" s="1" t="s">
        <v>7</v>
      </c>
      <c r="V684" s="1">
        <v>65</v>
      </c>
      <c r="W684" s="1" t="b">
        <v>0</v>
      </c>
      <c r="X684" s="1" t="b">
        <v>0</v>
      </c>
      <c r="Y684" s="1">
        <v>100000</v>
      </c>
    </row>
    <row r="685" spans="1:25" x14ac:dyDescent="0.35">
      <c r="A685" s="1" t="s">
        <v>1417</v>
      </c>
      <c r="B685" s="1" t="s">
        <v>25</v>
      </c>
      <c r="C685" s="1" t="s">
        <v>314</v>
      </c>
      <c r="D685" s="1" t="s">
        <v>27</v>
      </c>
      <c r="E685" s="1">
        <v>5596</v>
      </c>
      <c r="F685" s="4">
        <v>30000000</v>
      </c>
      <c r="G685" s="4">
        <v>5360</v>
      </c>
      <c r="H685" s="1">
        <v>5</v>
      </c>
      <c r="I685" s="1">
        <v>3</v>
      </c>
      <c r="J685" s="1">
        <v>12</v>
      </c>
      <c r="K685" s="1" t="s">
        <v>28</v>
      </c>
      <c r="L685" s="1" t="s">
        <v>1418</v>
      </c>
      <c r="M685" s="1">
        <v>6</v>
      </c>
      <c r="N685" s="1">
        <v>6</v>
      </c>
      <c r="O685" s="1">
        <v>82276</v>
      </c>
      <c r="P685" s="1">
        <v>3.29</v>
      </c>
      <c r="Q685" s="1" t="s">
        <v>14</v>
      </c>
      <c r="R685" s="3">
        <v>0.41460000000000002</v>
      </c>
      <c r="S685" s="2">
        <v>45501</v>
      </c>
      <c r="T685" s="1">
        <v>28</v>
      </c>
      <c r="U685" s="1" t="s">
        <v>23</v>
      </c>
      <c r="V685" s="1">
        <v>125</v>
      </c>
      <c r="W685" s="1" t="b">
        <v>0</v>
      </c>
      <c r="X685" s="1" t="b">
        <v>0</v>
      </c>
      <c r="Y685" s="1">
        <v>0</v>
      </c>
    </row>
    <row r="686" spans="1:25" x14ac:dyDescent="0.35">
      <c r="A686" s="1" t="s">
        <v>1419</v>
      </c>
      <c r="B686" s="1" t="s">
        <v>1</v>
      </c>
      <c r="C686" s="1" t="s">
        <v>48</v>
      </c>
      <c r="D686" s="1" t="s">
        <v>3</v>
      </c>
      <c r="E686" s="1">
        <v>2850</v>
      </c>
      <c r="F686" s="4">
        <v>10000000</v>
      </c>
      <c r="G686" s="4">
        <v>3508</v>
      </c>
      <c r="H686" s="1">
        <v>3</v>
      </c>
      <c r="I686" s="1">
        <v>2</v>
      </c>
      <c r="J686" s="1">
        <v>26</v>
      </c>
      <c r="K686" s="1" t="s">
        <v>12</v>
      </c>
      <c r="L686" s="1" t="s">
        <v>1420</v>
      </c>
      <c r="M686" s="1">
        <v>7</v>
      </c>
      <c r="N686" s="1">
        <v>4</v>
      </c>
      <c r="O686" s="1">
        <v>40366</v>
      </c>
      <c r="P686" s="1">
        <v>4.84</v>
      </c>
      <c r="Q686" s="1" t="s">
        <v>6</v>
      </c>
      <c r="R686" s="3">
        <v>0.49219999999999997</v>
      </c>
      <c r="S686" s="2">
        <v>45987</v>
      </c>
      <c r="T686" s="1">
        <v>365</v>
      </c>
      <c r="U686" s="1" t="s">
        <v>7</v>
      </c>
      <c r="V686" s="1">
        <v>67</v>
      </c>
      <c r="W686" s="1" t="b">
        <v>0</v>
      </c>
      <c r="X686" s="1" t="b">
        <v>1</v>
      </c>
      <c r="Y686" s="1">
        <v>20000</v>
      </c>
    </row>
    <row r="687" spans="1:25" x14ac:dyDescent="0.35">
      <c r="A687" s="1" t="s">
        <v>1421</v>
      </c>
      <c r="B687" s="1" t="s">
        <v>32</v>
      </c>
      <c r="C687" s="1" t="s">
        <v>41</v>
      </c>
      <c r="D687" s="1" t="s">
        <v>38</v>
      </c>
      <c r="E687" s="1">
        <v>6041</v>
      </c>
      <c r="F687" s="4">
        <v>12000000</v>
      </c>
      <c r="G687" s="4">
        <v>1986</v>
      </c>
      <c r="H687" s="1">
        <v>4</v>
      </c>
      <c r="I687" s="1">
        <v>3</v>
      </c>
      <c r="J687" s="1">
        <v>12</v>
      </c>
      <c r="K687" s="1" t="s">
        <v>34</v>
      </c>
      <c r="L687" s="1" t="s">
        <v>1422</v>
      </c>
      <c r="M687" s="1">
        <v>5</v>
      </c>
      <c r="N687" s="1">
        <v>7</v>
      </c>
      <c r="O687" s="1">
        <v>46024</v>
      </c>
      <c r="P687" s="1">
        <v>4.5999999999999996</v>
      </c>
      <c r="Q687" s="1" t="s">
        <v>6</v>
      </c>
      <c r="R687" s="3">
        <v>0.48009999999999997</v>
      </c>
      <c r="S687" s="2">
        <v>45557</v>
      </c>
      <c r="T687" s="1">
        <v>222</v>
      </c>
      <c r="U687" s="1" t="s">
        <v>7</v>
      </c>
      <c r="V687" s="1">
        <v>154</v>
      </c>
      <c r="W687" s="1" t="b">
        <v>1</v>
      </c>
      <c r="X687" s="1" t="b">
        <v>1</v>
      </c>
      <c r="Y687" s="1">
        <v>24000</v>
      </c>
    </row>
    <row r="688" spans="1:25" x14ac:dyDescent="0.35">
      <c r="A688" s="1" t="s">
        <v>1423</v>
      </c>
      <c r="B688" s="1" t="s">
        <v>18</v>
      </c>
      <c r="C688" s="1" t="s">
        <v>139</v>
      </c>
      <c r="D688" s="1" t="s">
        <v>11</v>
      </c>
      <c r="E688" s="1">
        <v>575</v>
      </c>
      <c r="F688" s="4">
        <v>15000000</v>
      </c>
      <c r="G688" s="4">
        <v>26086</v>
      </c>
      <c r="H688" s="1">
        <v>1</v>
      </c>
      <c r="I688" s="1">
        <v>1</v>
      </c>
      <c r="J688" s="1">
        <v>4</v>
      </c>
      <c r="K688" s="1" t="s">
        <v>4</v>
      </c>
      <c r="L688" s="1" t="s">
        <v>16</v>
      </c>
      <c r="M688" s="1">
        <v>4</v>
      </c>
      <c r="N688" s="1">
        <v>8</v>
      </c>
      <c r="O688" s="1">
        <v>45072</v>
      </c>
      <c r="P688" s="1">
        <v>3.61</v>
      </c>
      <c r="Q688" s="1" t="s">
        <v>6</v>
      </c>
      <c r="R688" s="3">
        <v>0.43030000000000002</v>
      </c>
      <c r="S688" s="2">
        <v>46020</v>
      </c>
      <c r="T688" s="1">
        <v>214</v>
      </c>
      <c r="U688" s="1" t="s">
        <v>7</v>
      </c>
      <c r="V688" s="1">
        <v>79</v>
      </c>
      <c r="W688" s="1" t="b">
        <v>1</v>
      </c>
      <c r="X688" s="1" t="b">
        <v>0</v>
      </c>
      <c r="Y688" s="1">
        <v>0</v>
      </c>
    </row>
    <row r="689" spans="1:25" x14ac:dyDescent="0.35">
      <c r="A689" s="1" t="s">
        <v>1424</v>
      </c>
      <c r="B689" s="1" t="s">
        <v>25</v>
      </c>
      <c r="C689" s="1" t="s">
        <v>314</v>
      </c>
      <c r="D689" s="1" t="s">
        <v>3</v>
      </c>
      <c r="E689" s="1">
        <v>1069</v>
      </c>
      <c r="F689" s="4">
        <v>30000000</v>
      </c>
      <c r="G689" s="4">
        <v>28063</v>
      </c>
      <c r="H689" s="1">
        <v>1</v>
      </c>
      <c r="I689" s="1">
        <v>2</v>
      </c>
      <c r="J689" s="1">
        <v>23</v>
      </c>
      <c r="K689" s="1" t="s">
        <v>58</v>
      </c>
      <c r="L689" s="1" t="s">
        <v>1425</v>
      </c>
      <c r="M689" s="1">
        <v>6</v>
      </c>
      <c r="N689" s="1">
        <v>6</v>
      </c>
      <c r="O689" s="1">
        <v>97980</v>
      </c>
      <c r="P689" s="1">
        <v>3.92</v>
      </c>
      <c r="Q689" s="1" t="s">
        <v>14</v>
      </c>
      <c r="R689" s="3">
        <v>0.44600000000000001</v>
      </c>
      <c r="S689" s="2">
        <v>45806</v>
      </c>
      <c r="T689" s="1">
        <v>133</v>
      </c>
      <c r="U689" s="1" t="s">
        <v>30</v>
      </c>
      <c r="V689" s="1">
        <v>150</v>
      </c>
      <c r="W689" s="1" t="b">
        <v>0</v>
      </c>
      <c r="X689" s="1" t="b">
        <v>0</v>
      </c>
      <c r="Y689" s="1">
        <v>60000</v>
      </c>
    </row>
    <row r="690" spans="1:25" x14ac:dyDescent="0.35">
      <c r="A690" s="1" t="s">
        <v>1426</v>
      </c>
      <c r="B690" s="1" t="s">
        <v>1</v>
      </c>
      <c r="C690" s="1" t="s">
        <v>45</v>
      </c>
      <c r="D690" s="1" t="s">
        <v>38</v>
      </c>
      <c r="E690" s="1">
        <v>7260</v>
      </c>
      <c r="F690" s="4">
        <v>10000000</v>
      </c>
      <c r="G690" s="4">
        <v>1377</v>
      </c>
      <c r="H690" s="1">
        <v>6</v>
      </c>
      <c r="I690" s="1">
        <v>4</v>
      </c>
      <c r="J690" s="1">
        <v>25</v>
      </c>
      <c r="K690" s="1" t="s">
        <v>34</v>
      </c>
      <c r="L690" s="1" t="s">
        <v>1427</v>
      </c>
      <c r="M690" s="1">
        <v>7</v>
      </c>
      <c r="N690" s="1">
        <v>8</v>
      </c>
      <c r="O690" s="1">
        <v>37071</v>
      </c>
      <c r="P690" s="1">
        <v>4.45</v>
      </c>
      <c r="Q690" s="1" t="s">
        <v>6</v>
      </c>
      <c r="R690" s="3">
        <v>0.47240000000000004</v>
      </c>
      <c r="S690" s="2">
        <v>45742</v>
      </c>
      <c r="T690" s="1">
        <v>132</v>
      </c>
      <c r="U690" s="1" t="s">
        <v>7</v>
      </c>
      <c r="V690" s="1">
        <v>106</v>
      </c>
      <c r="W690" s="1" t="b">
        <v>1</v>
      </c>
      <c r="X690" s="1" t="b">
        <v>1</v>
      </c>
      <c r="Y690" s="1">
        <v>20000</v>
      </c>
    </row>
    <row r="691" spans="1:25" x14ac:dyDescent="0.35">
      <c r="A691" s="1" t="s">
        <v>1428</v>
      </c>
      <c r="B691" s="1" t="s">
        <v>25</v>
      </c>
      <c r="C691" s="1" t="s">
        <v>82</v>
      </c>
      <c r="D691" s="1" t="s">
        <v>11</v>
      </c>
      <c r="E691" s="1">
        <v>328</v>
      </c>
      <c r="F691" s="4">
        <v>30000000</v>
      </c>
      <c r="G691" s="4">
        <v>91463</v>
      </c>
      <c r="H691" s="1">
        <v>0</v>
      </c>
      <c r="I691" s="1">
        <v>2</v>
      </c>
      <c r="J691" s="1">
        <v>13</v>
      </c>
      <c r="K691" s="1" t="s">
        <v>42</v>
      </c>
      <c r="L691" s="1" t="s">
        <v>1429</v>
      </c>
      <c r="M691" s="1">
        <v>8</v>
      </c>
      <c r="N691" s="1">
        <v>4</v>
      </c>
      <c r="O691" s="1">
        <v>108144</v>
      </c>
      <c r="P691" s="1">
        <v>4.33</v>
      </c>
      <c r="Q691" s="1" t="s">
        <v>14</v>
      </c>
      <c r="R691" s="3">
        <v>0.46630000000000005</v>
      </c>
      <c r="S691" s="2">
        <v>45835</v>
      </c>
      <c r="T691" s="1">
        <v>208</v>
      </c>
      <c r="U691" s="1" t="s">
        <v>23</v>
      </c>
      <c r="V691" s="1">
        <v>141</v>
      </c>
      <c r="W691" s="1" t="b">
        <v>0</v>
      </c>
      <c r="X691" s="1" t="b">
        <v>1</v>
      </c>
      <c r="Y691" s="1">
        <v>0</v>
      </c>
    </row>
    <row r="692" spans="1:25" x14ac:dyDescent="0.35">
      <c r="A692" s="1" t="s">
        <v>1430</v>
      </c>
      <c r="B692" s="1" t="s">
        <v>18</v>
      </c>
      <c r="C692" s="1" t="s">
        <v>169</v>
      </c>
      <c r="D692" s="1" t="s">
        <v>20</v>
      </c>
      <c r="E692" s="1">
        <v>3017</v>
      </c>
      <c r="F692" s="4">
        <v>15000000</v>
      </c>
      <c r="G692" s="4">
        <v>4971</v>
      </c>
      <c r="H692" s="1">
        <v>2</v>
      </c>
      <c r="I692" s="1">
        <v>2</v>
      </c>
      <c r="J692" s="1">
        <v>7</v>
      </c>
      <c r="K692" s="1" t="s">
        <v>34</v>
      </c>
      <c r="L692" s="1" t="s">
        <v>1431</v>
      </c>
      <c r="M692" s="1">
        <v>6</v>
      </c>
      <c r="N692" s="1">
        <v>6</v>
      </c>
      <c r="O692" s="1">
        <v>57613</v>
      </c>
      <c r="P692" s="1">
        <v>4.6100000000000003</v>
      </c>
      <c r="Q692" s="1" t="s">
        <v>6</v>
      </c>
      <c r="R692" s="3">
        <v>0.48049999999999998</v>
      </c>
      <c r="S692" s="2">
        <v>45812</v>
      </c>
      <c r="T692" s="1">
        <v>43</v>
      </c>
      <c r="U692" s="1" t="s">
        <v>7</v>
      </c>
      <c r="V692" s="1">
        <v>126</v>
      </c>
      <c r="W692" s="1" t="b">
        <v>1</v>
      </c>
      <c r="X692" s="1" t="b">
        <v>1</v>
      </c>
      <c r="Y692" s="1">
        <v>30000</v>
      </c>
    </row>
    <row r="693" spans="1:25" x14ac:dyDescent="0.35">
      <c r="A693" s="1" t="s">
        <v>1432</v>
      </c>
      <c r="B693" s="1" t="s">
        <v>1</v>
      </c>
      <c r="C693" s="1" t="s">
        <v>2</v>
      </c>
      <c r="D693" s="1" t="s">
        <v>27</v>
      </c>
      <c r="E693" s="1">
        <v>6426</v>
      </c>
      <c r="F693" s="4">
        <v>10000000</v>
      </c>
      <c r="G693" s="4">
        <v>1556</v>
      </c>
      <c r="H693" s="1">
        <v>6</v>
      </c>
      <c r="I693" s="1">
        <v>4</v>
      </c>
      <c r="J693" s="1">
        <v>28</v>
      </c>
      <c r="K693" s="1" t="s">
        <v>42</v>
      </c>
      <c r="L693" s="1" t="s">
        <v>1433</v>
      </c>
      <c r="M693" s="1">
        <v>3</v>
      </c>
      <c r="N693" s="1">
        <v>10</v>
      </c>
      <c r="O693" s="1">
        <v>27224</v>
      </c>
      <c r="P693" s="1">
        <v>3.27</v>
      </c>
      <c r="Q693" s="1" t="s">
        <v>6</v>
      </c>
      <c r="R693" s="3">
        <v>0.4133</v>
      </c>
      <c r="S693" s="2">
        <v>45781</v>
      </c>
      <c r="T693" s="1">
        <v>342</v>
      </c>
      <c r="U693" s="1" t="s">
        <v>30</v>
      </c>
      <c r="V693" s="1">
        <v>121</v>
      </c>
      <c r="W693" s="1" t="b">
        <v>1</v>
      </c>
      <c r="X693" s="1" t="b">
        <v>1</v>
      </c>
      <c r="Y693" s="1">
        <v>20000</v>
      </c>
    </row>
    <row r="694" spans="1:25" x14ac:dyDescent="0.35">
      <c r="A694" s="1" t="s">
        <v>1434</v>
      </c>
      <c r="B694" s="1" t="s">
        <v>54</v>
      </c>
      <c r="C694" s="1" t="s">
        <v>72</v>
      </c>
      <c r="D694" s="1" t="s">
        <v>3</v>
      </c>
      <c r="E694" s="1">
        <v>559</v>
      </c>
      <c r="F694" s="4">
        <v>40000000</v>
      </c>
      <c r="G694" s="4">
        <v>71556</v>
      </c>
      <c r="H694" s="1">
        <v>1</v>
      </c>
      <c r="I694" s="1">
        <v>1</v>
      </c>
      <c r="J694" s="1">
        <v>19</v>
      </c>
      <c r="K694" s="1" t="s">
        <v>42</v>
      </c>
      <c r="L694" s="1" t="s">
        <v>1435</v>
      </c>
      <c r="M694" s="1">
        <v>3</v>
      </c>
      <c r="N694" s="1">
        <v>4</v>
      </c>
      <c r="O694" s="1">
        <v>139558</v>
      </c>
      <c r="P694" s="1">
        <v>4.1900000000000004</v>
      </c>
      <c r="Q694" s="1" t="s">
        <v>14</v>
      </c>
      <c r="R694" s="3">
        <v>0.45929999999999999</v>
      </c>
      <c r="S694" s="2">
        <v>45526</v>
      </c>
      <c r="T694" s="1">
        <v>71</v>
      </c>
      <c r="U694" s="1" t="s">
        <v>30</v>
      </c>
      <c r="V694" s="1">
        <v>102</v>
      </c>
      <c r="W694" s="1" t="b">
        <v>1</v>
      </c>
      <c r="X694" s="1" t="b">
        <v>0</v>
      </c>
      <c r="Y694" s="1">
        <v>0</v>
      </c>
    </row>
    <row r="695" spans="1:25" x14ac:dyDescent="0.35">
      <c r="A695" s="1" t="s">
        <v>1436</v>
      </c>
      <c r="B695" s="1" t="s">
        <v>25</v>
      </c>
      <c r="C695" s="1" t="s">
        <v>182</v>
      </c>
      <c r="D695" s="1" t="s">
        <v>38</v>
      </c>
      <c r="E695" s="1">
        <v>3787</v>
      </c>
      <c r="F695" s="4">
        <v>30000000</v>
      </c>
      <c r="G695" s="4">
        <v>7921</v>
      </c>
      <c r="H695" s="1">
        <v>5</v>
      </c>
      <c r="I695" s="1">
        <v>2</v>
      </c>
      <c r="J695" s="1">
        <v>22</v>
      </c>
      <c r="K695" s="1" t="s">
        <v>42</v>
      </c>
      <c r="L695" s="1" t="s">
        <v>1437</v>
      </c>
      <c r="M695" s="1">
        <v>5</v>
      </c>
      <c r="N695" s="1">
        <v>9</v>
      </c>
      <c r="O695" s="1">
        <v>92937</v>
      </c>
      <c r="P695" s="1">
        <v>3.72</v>
      </c>
      <c r="Q695" s="1" t="s">
        <v>14</v>
      </c>
      <c r="R695" s="3">
        <v>0.43590000000000001</v>
      </c>
      <c r="S695" s="2">
        <v>45635</v>
      </c>
      <c r="T695" s="1">
        <v>215</v>
      </c>
      <c r="U695" s="1" t="s">
        <v>7</v>
      </c>
      <c r="V695" s="1">
        <v>132</v>
      </c>
      <c r="W695" s="1" t="b">
        <v>1</v>
      </c>
      <c r="X695" s="1" t="b">
        <v>0</v>
      </c>
      <c r="Y695" s="1">
        <v>0</v>
      </c>
    </row>
    <row r="696" spans="1:25" x14ac:dyDescent="0.35">
      <c r="A696" s="1" t="s">
        <v>1438</v>
      </c>
      <c r="B696" s="1" t="s">
        <v>25</v>
      </c>
      <c r="C696" s="1" t="s">
        <v>82</v>
      </c>
      <c r="D696" s="1" t="s">
        <v>11</v>
      </c>
      <c r="E696" s="1">
        <v>326</v>
      </c>
      <c r="F696" s="4">
        <v>30000000</v>
      </c>
      <c r="G696" s="4">
        <v>92024</v>
      </c>
      <c r="H696" s="1">
        <v>0</v>
      </c>
      <c r="I696" s="1">
        <v>1</v>
      </c>
      <c r="J696" s="1">
        <v>2</v>
      </c>
      <c r="K696" s="1" t="s">
        <v>58</v>
      </c>
      <c r="L696" s="1" t="s">
        <v>1439</v>
      </c>
      <c r="M696" s="1">
        <v>3</v>
      </c>
      <c r="N696" s="1">
        <v>6</v>
      </c>
      <c r="O696" s="1">
        <v>81305</v>
      </c>
      <c r="P696" s="1">
        <v>3.25</v>
      </c>
      <c r="Q696" s="1" t="s">
        <v>14</v>
      </c>
      <c r="R696" s="3">
        <v>0.41259999999999997</v>
      </c>
      <c r="S696" s="2">
        <v>46081</v>
      </c>
      <c r="T696" s="1">
        <v>297</v>
      </c>
      <c r="U696" s="1" t="s">
        <v>7</v>
      </c>
      <c r="V696" s="1">
        <v>111</v>
      </c>
      <c r="W696" s="1" t="b">
        <v>1</v>
      </c>
      <c r="X696" s="1" t="b">
        <v>0</v>
      </c>
      <c r="Y696" s="1">
        <v>0</v>
      </c>
    </row>
    <row r="697" spans="1:25" x14ac:dyDescent="0.35">
      <c r="A697" s="1" t="s">
        <v>1440</v>
      </c>
      <c r="B697" s="1" t="s">
        <v>18</v>
      </c>
      <c r="C697" s="1" t="s">
        <v>169</v>
      </c>
      <c r="D697" s="1" t="s">
        <v>38</v>
      </c>
      <c r="E697" s="1">
        <v>8975</v>
      </c>
      <c r="F697" s="4">
        <v>15000000</v>
      </c>
      <c r="G697" s="4">
        <v>1671</v>
      </c>
      <c r="H697" s="1">
        <v>6</v>
      </c>
      <c r="I697" s="1">
        <v>4</v>
      </c>
      <c r="J697" s="1">
        <v>29</v>
      </c>
      <c r="K697" s="1" t="s">
        <v>58</v>
      </c>
      <c r="L697" s="1" t="s">
        <v>1441</v>
      </c>
      <c r="M697" s="1">
        <v>8</v>
      </c>
      <c r="N697" s="1">
        <v>10</v>
      </c>
      <c r="O697" s="1">
        <v>58528</v>
      </c>
      <c r="P697" s="1">
        <v>4.68</v>
      </c>
      <c r="Q697" s="1" t="s">
        <v>6</v>
      </c>
      <c r="R697" s="3">
        <v>0.48409999999999997</v>
      </c>
      <c r="S697" s="2">
        <v>45898</v>
      </c>
      <c r="T697" s="1">
        <v>238</v>
      </c>
      <c r="U697" s="1" t="s">
        <v>7</v>
      </c>
      <c r="V697" s="1">
        <v>157</v>
      </c>
      <c r="W697" s="1" t="b">
        <v>0</v>
      </c>
      <c r="X697" s="1" t="b">
        <v>0</v>
      </c>
      <c r="Y697" s="1">
        <v>0</v>
      </c>
    </row>
    <row r="698" spans="1:25" x14ac:dyDescent="0.35">
      <c r="A698" s="1" t="s">
        <v>1442</v>
      </c>
      <c r="B698" s="1" t="s">
        <v>25</v>
      </c>
      <c r="C698" s="1" t="s">
        <v>26</v>
      </c>
      <c r="D698" s="1" t="s">
        <v>11</v>
      </c>
      <c r="E698" s="1">
        <v>587</v>
      </c>
      <c r="F698" s="4">
        <v>30000000</v>
      </c>
      <c r="G698" s="4">
        <v>51107</v>
      </c>
      <c r="H698" s="1">
        <v>1</v>
      </c>
      <c r="I698" s="1">
        <v>1</v>
      </c>
      <c r="J698" s="1">
        <v>0</v>
      </c>
      <c r="K698" s="1" t="s">
        <v>12</v>
      </c>
      <c r="L698" s="1" t="s">
        <v>1443</v>
      </c>
      <c r="M698" s="1">
        <v>4</v>
      </c>
      <c r="N698" s="1">
        <v>7</v>
      </c>
      <c r="O698" s="1">
        <v>119210</v>
      </c>
      <c r="P698" s="1">
        <v>4.7699999999999996</v>
      </c>
      <c r="Q698" s="1" t="s">
        <v>14</v>
      </c>
      <c r="R698" s="3">
        <v>0.48840000000000006</v>
      </c>
      <c r="S698" s="2">
        <v>45911</v>
      </c>
      <c r="T698" s="1">
        <v>104</v>
      </c>
      <c r="U698" s="1" t="s">
        <v>7</v>
      </c>
      <c r="V698" s="1">
        <v>101</v>
      </c>
      <c r="W698" s="1" t="b">
        <v>1</v>
      </c>
      <c r="X698" s="1" t="b">
        <v>0</v>
      </c>
      <c r="Y698" s="1">
        <v>60000</v>
      </c>
    </row>
    <row r="699" spans="1:25" x14ac:dyDescent="0.35">
      <c r="A699" s="1" t="s">
        <v>1444</v>
      </c>
      <c r="B699" s="1" t="s">
        <v>9</v>
      </c>
      <c r="C699" s="1" t="s">
        <v>142</v>
      </c>
      <c r="D699" s="1" t="s">
        <v>20</v>
      </c>
      <c r="E699" s="1">
        <v>4413</v>
      </c>
      <c r="F699" s="4">
        <v>50000000</v>
      </c>
      <c r="G699" s="4">
        <v>11330</v>
      </c>
      <c r="H699" s="1">
        <v>4</v>
      </c>
      <c r="I699" s="1">
        <v>3</v>
      </c>
      <c r="J699" s="1">
        <v>10</v>
      </c>
      <c r="K699" s="1" t="s">
        <v>4</v>
      </c>
      <c r="L699" s="1" t="s">
        <v>610</v>
      </c>
      <c r="M699" s="1">
        <v>3</v>
      </c>
      <c r="N699" s="1">
        <v>7</v>
      </c>
      <c r="O699" s="1">
        <v>181696</v>
      </c>
      <c r="P699" s="1">
        <v>4.3600000000000003</v>
      </c>
      <c r="Q699" s="1" t="s">
        <v>14</v>
      </c>
      <c r="R699" s="3">
        <v>0.46799999999999997</v>
      </c>
      <c r="S699" s="2">
        <v>45639</v>
      </c>
      <c r="T699" s="1">
        <v>303</v>
      </c>
      <c r="U699" s="1" t="s">
        <v>7</v>
      </c>
      <c r="V699" s="1">
        <v>165</v>
      </c>
      <c r="W699" s="1" t="b">
        <v>1</v>
      </c>
      <c r="X699" s="1" t="b">
        <v>0</v>
      </c>
      <c r="Y699" s="1">
        <v>100000</v>
      </c>
    </row>
    <row r="700" spans="1:25" x14ac:dyDescent="0.35">
      <c r="A700" s="1" t="s">
        <v>1445</v>
      </c>
      <c r="B700" s="1" t="s">
        <v>18</v>
      </c>
      <c r="C700" s="1" t="s">
        <v>243</v>
      </c>
      <c r="D700" s="1" t="s">
        <v>38</v>
      </c>
      <c r="E700" s="1">
        <v>7482</v>
      </c>
      <c r="F700" s="4">
        <v>15000000</v>
      </c>
      <c r="G700" s="4">
        <v>2004</v>
      </c>
      <c r="H700" s="1">
        <v>5</v>
      </c>
      <c r="I700" s="1">
        <v>3</v>
      </c>
      <c r="J700" s="1">
        <v>1</v>
      </c>
      <c r="K700" s="1" t="s">
        <v>58</v>
      </c>
      <c r="L700" s="1" t="s">
        <v>1446</v>
      </c>
      <c r="M700" s="1">
        <v>5</v>
      </c>
      <c r="N700" s="1">
        <v>8</v>
      </c>
      <c r="O700" s="1">
        <v>59455</v>
      </c>
      <c r="P700" s="1">
        <v>4.76</v>
      </c>
      <c r="Q700" s="1" t="s">
        <v>6</v>
      </c>
      <c r="R700" s="3">
        <v>0.48780000000000001</v>
      </c>
      <c r="S700" s="2">
        <v>45682</v>
      </c>
      <c r="T700" s="1">
        <v>119</v>
      </c>
      <c r="U700" s="1" t="s">
        <v>23</v>
      </c>
      <c r="V700" s="1">
        <v>176</v>
      </c>
      <c r="W700" s="1" t="b">
        <v>0</v>
      </c>
      <c r="X700" s="1" t="b">
        <v>1</v>
      </c>
      <c r="Y700" s="1">
        <v>0</v>
      </c>
    </row>
    <row r="701" spans="1:25" x14ac:dyDescent="0.35">
      <c r="A701" s="1" t="s">
        <v>1447</v>
      </c>
      <c r="B701" s="1" t="s">
        <v>54</v>
      </c>
      <c r="C701" s="1" t="s">
        <v>72</v>
      </c>
      <c r="D701" s="1" t="s">
        <v>3</v>
      </c>
      <c r="E701" s="1">
        <v>1339</v>
      </c>
      <c r="F701" s="4">
        <v>40000000</v>
      </c>
      <c r="G701" s="4">
        <v>29873</v>
      </c>
      <c r="H701" s="1">
        <v>3</v>
      </c>
      <c r="I701" s="1">
        <v>2</v>
      </c>
      <c r="J701" s="1">
        <v>8</v>
      </c>
      <c r="K701" s="1" t="s">
        <v>4</v>
      </c>
      <c r="L701" s="1" t="s">
        <v>1448</v>
      </c>
      <c r="M701" s="1">
        <v>3</v>
      </c>
      <c r="N701" s="1">
        <v>4</v>
      </c>
      <c r="O701" s="1">
        <v>129949</v>
      </c>
      <c r="P701" s="1">
        <v>3.9</v>
      </c>
      <c r="Q701" s="1" t="s">
        <v>14</v>
      </c>
      <c r="R701" s="3">
        <v>0.44490000000000002</v>
      </c>
      <c r="S701" s="2">
        <v>45750</v>
      </c>
      <c r="T701" s="1">
        <v>141</v>
      </c>
      <c r="U701" s="1" t="s">
        <v>7</v>
      </c>
      <c r="V701" s="1">
        <v>49</v>
      </c>
      <c r="W701" s="1" t="b">
        <v>0</v>
      </c>
      <c r="X701" s="1" t="b">
        <v>1</v>
      </c>
      <c r="Y701" s="1">
        <v>0</v>
      </c>
    </row>
    <row r="702" spans="1:25" x14ac:dyDescent="0.35">
      <c r="A702" s="1" t="s">
        <v>1449</v>
      </c>
      <c r="B702" s="1" t="s">
        <v>32</v>
      </c>
      <c r="C702" s="1" t="s">
        <v>194</v>
      </c>
      <c r="D702" s="1" t="s">
        <v>3</v>
      </c>
      <c r="E702" s="1">
        <v>2434</v>
      </c>
      <c r="F702" s="4">
        <v>12000000</v>
      </c>
      <c r="G702" s="4">
        <v>4930</v>
      </c>
      <c r="H702" s="1">
        <v>2</v>
      </c>
      <c r="I702" s="1">
        <v>2</v>
      </c>
      <c r="J702" s="1">
        <v>24</v>
      </c>
      <c r="K702" s="1" t="s">
        <v>61</v>
      </c>
      <c r="L702" s="1" t="s">
        <v>1450</v>
      </c>
      <c r="M702" s="1">
        <v>3</v>
      </c>
      <c r="N702" s="1">
        <v>6</v>
      </c>
      <c r="O702" s="1">
        <v>34005</v>
      </c>
      <c r="P702" s="1">
        <v>3.4</v>
      </c>
      <c r="Q702" s="1" t="s">
        <v>6</v>
      </c>
      <c r="R702" s="3">
        <v>0.42</v>
      </c>
      <c r="S702" s="2">
        <v>45455</v>
      </c>
      <c r="T702" s="1">
        <v>246</v>
      </c>
      <c r="U702" s="1" t="s">
        <v>7</v>
      </c>
      <c r="V702" s="1">
        <v>92</v>
      </c>
      <c r="W702" s="1" t="b">
        <v>1</v>
      </c>
      <c r="X702" s="1" t="b">
        <v>1</v>
      </c>
      <c r="Y702" s="1">
        <v>24000</v>
      </c>
    </row>
    <row r="703" spans="1:25" x14ac:dyDescent="0.35">
      <c r="A703" s="1" t="s">
        <v>1451</v>
      </c>
      <c r="B703" s="1" t="s">
        <v>1</v>
      </c>
      <c r="C703" s="1" t="s">
        <v>45</v>
      </c>
      <c r="D703" s="1" t="s">
        <v>20</v>
      </c>
      <c r="E703" s="1">
        <v>2192</v>
      </c>
      <c r="F703" s="4">
        <v>10000000</v>
      </c>
      <c r="G703" s="4">
        <v>4562</v>
      </c>
      <c r="H703" s="1">
        <v>4</v>
      </c>
      <c r="I703" s="1">
        <v>3</v>
      </c>
      <c r="J703" s="1">
        <v>13</v>
      </c>
      <c r="K703" s="1" t="s">
        <v>58</v>
      </c>
      <c r="L703" s="1" t="s">
        <v>1452</v>
      </c>
      <c r="M703" s="1">
        <v>4</v>
      </c>
      <c r="N703" s="1">
        <v>9</v>
      </c>
      <c r="O703" s="1">
        <v>29812</v>
      </c>
      <c r="P703" s="1">
        <v>3.58</v>
      </c>
      <c r="Q703" s="1" t="s">
        <v>6</v>
      </c>
      <c r="R703" s="3">
        <v>0.4289</v>
      </c>
      <c r="S703" s="2">
        <v>45601</v>
      </c>
      <c r="T703" s="1">
        <v>40</v>
      </c>
      <c r="U703" s="1" t="s">
        <v>30</v>
      </c>
      <c r="V703" s="1">
        <v>47</v>
      </c>
      <c r="W703" s="1" t="b">
        <v>1</v>
      </c>
      <c r="X703" s="1" t="b">
        <v>1</v>
      </c>
      <c r="Y703" s="1">
        <v>20000</v>
      </c>
    </row>
    <row r="704" spans="1:25" x14ac:dyDescent="0.35">
      <c r="A704" s="1" t="s">
        <v>1453</v>
      </c>
      <c r="B704" s="1" t="s">
        <v>25</v>
      </c>
      <c r="C704" s="1" t="s">
        <v>314</v>
      </c>
      <c r="D704" s="1" t="s">
        <v>20</v>
      </c>
      <c r="E704" s="1">
        <v>2233</v>
      </c>
      <c r="F704" s="4">
        <v>30000000</v>
      </c>
      <c r="G704" s="4">
        <v>13434</v>
      </c>
      <c r="H704" s="1">
        <v>2</v>
      </c>
      <c r="I704" s="1">
        <v>2</v>
      </c>
      <c r="J704" s="1">
        <v>10</v>
      </c>
      <c r="K704" s="1" t="s">
        <v>58</v>
      </c>
      <c r="L704" s="1" t="s">
        <v>1454</v>
      </c>
      <c r="M704" s="1">
        <v>3</v>
      </c>
      <c r="N704" s="1">
        <v>4</v>
      </c>
      <c r="O704" s="1">
        <v>105718</v>
      </c>
      <c r="P704" s="1">
        <v>4.2300000000000004</v>
      </c>
      <c r="Q704" s="1" t="s">
        <v>14</v>
      </c>
      <c r="R704" s="3">
        <v>0.46140000000000003</v>
      </c>
      <c r="S704" s="2">
        <v>46071</v>
      </c>
      <c r="T704" s="1">
        <v>91</v>
      </c>
      <c r="U704" s="1" t="s">
        <v>7</v>
      </c>
      <c r="V704" s="1">
        <v>120</v>
      </c>
      <c r="W704" s="1" t="b">
        <v>0</v>
      </c>
      <c r="X704" s="1" t="b">
        <v>1</v>
      </c>
      <c r="Y704" s="1">
        <v>0</v>
      </c>
    </row>
    <row r="705" spans="1:25" x14ac:dyDescent="0.35">
      <c r="A705" s="1" t="s">
        <v>1455</v>
      </c>
      <c r="B705" s="1" t="s">
        <v>1</v>
      </c>
      <c r="C705" s="1" t="s">
        <v>2</v>
      </c>
      <c r="D705" s="1" t="s">
        <v>38</v>
      </c>
      <c r="E705" s="1">
        <v>9589</v>
      </c>
      <c r="F705" s="4">
        <v>10000000</v>
      </c>
      <c r="G705" s="4">
        <v>1042</v>
      </c>
      <c r="H705" s="1">
        <v>4</v>
      </c>
      <c r="I705" s="1">
        <v>2</v>
      </c>
      <c r="J705" s="1">
        <v>5</v>
      </c>
      <c r="K705" s="1" t="s">
        <v>12</v>
      </c>
      <c r="L705" s="1" t="s">
        <v>1456</v>
      </c>
      <c r="M705" s="1">
        <v>4</v>
      </c>
      <c r="N705" s="1">
        <v>8</v>
      </c>
      <c r="O705" s="1">
        <v>39225</v>
      </c>
      <c r="P705" s="1">
        <v>4.71</v>
      </c>
      <c r="Q705" s="1" t="s">
        <v>6</v>
      </c>
      <c r="R705" s="3">
        <v>0.4854</v>
      </c>
      <c r="S705" s="2">
        <v>45714</v>
      </c>
      <c r="T705" s="1">
        <v>109</v>
      </c>
      <c r="U705" s="1" t="s">
        <v>7</v>
      </c>
      <c r="V705" s="1">
        <v>133</v>
      </c>
      <c r="W705" s="1" t="b">
        <v>1</v>
      </c>
      <c r="X705" s="1" t="b">
        <v>1</v>
      </c>
      <c r="Y705" s="1">
        <v>0</v>
      </c>
    </row>
    <row r="706" spans="1:25" x14ac:dyDescent="0.35">
      <c r="A706" s="1" t="s">
        <v>1457</v>
      </c>
      <c r="B706" s="1" t="s">
        <v>32</v>
      </c>
      <c r="C706" s="1" t="s">
        <v>194</v>
      </c>
      <c r="D706" s="1" t="s">
        <v>3</v>
      </c>
      <c r="E706" s="1">
        <v>1328</v>
      </c>
      <c r="F706" s="4">
        <v>12000000</v>
      </c>
      <c r="G706" s="4">
        <v>9036</v>
      </c>
      <c r="H706" s="1">
        <v>4</v>
      </c>
      <c r="I706" s="1">
        <v>3</v>
      </c>
      <c r="J706" s="1">
        <v>12</v>
      </c>
      <c r="K706" s="1" t="s">
        <v>4</v>
      </c>
      <c r="L706" s="1" t="s">
        <v>1458</v>
      </c>
      <c r="M706" s="1">
        <v>5</v>
      </c>
      <c r="N706" s="1">
        <v>9</v>
      </c>
      <c r="O706" s="1">
        <v>37108</v>
      </c>
      <c r="P706" s="1">
        <v>3.71</v>
      </c>
      <c r="Q706" s="1" t="s">
        <v>6</v>
      </c>
      <c r="R706" s="3">
        <v>0.4355</v>
      </c>
      <c r="S706" s="2">
        <v>45476</v>
      </c>
      <c r="T706" s="1">
        <v>213</v>
      </c>
      <c r="U706" s="1" t="s">
        <v>23</v>
      </c>
      <c r="V706" s="1">
        <v>116</v>
      </c>
      <c r="W706" s="1" t="b">
        <v>1</v>
      </c>
      <c r="X706" s="1" t="b">
        <v>0</v>
      </c>
      <c r="Y706" s="1">
        <v>0</v>
      </c>
    </row>
    <row r="707" spans="1:25" x14ac:dyDescent="0.35">
      <c r="A707" s="1" t="s">
        <v>1459</v>
      </c>
      <c r="B707" s="1" t="s">
        <v>9</v>
      </c>
      <c r="C707" s="1" t="s">
        <v>10</v>
      </c>
      <c r="D707" s="1" t="s">
        <v>3</v>
      </c>
      <c r="E707" s="1">
        <v>2835</v>
      </c>
      <c r="F707" s="4">
        <v>50000000</v>
      </c>
      <c r="G707" s="4">
        <v>17636</v>
      </c>
      <c r="H707" s="1">
        <v>1</v>
      </c>
      <c r="I707" s="1">
        <v>1</v>
      </c>
      <c r="J707" s="1">
        <v>15</v>
      </c>
      <c r="K707" s="1" t="s">
        <v>12</v>
      </c>
      <c r="L707" s="1" t="s">
        <v>1460</v>
      </c>
      <c r="M707" s="1">
        <v>6</v>
      </c>
      <c r="N707" s="1">
        <v>10</v>
      </c>
      <c r="O707" s="1">
        <v>169756</v>
      </c>
      <c r="P707" s="1">
        <v>4.07</v>
      </c>
      <c r="Q707" s="1" t="s">
        <v>14</v>
      </c>
      <c r="R707" s="3">
        <v>0.45369999999999999</v>
      </c>
      <c r="S707" s="2">
        <v>45721</v>
      </c>
      <c r="T707" s="1">
        <v>29</v>
      </c>
      <c r="U707" s="1" t="s">
        <v>7</v>
      </c>
      <c r="V707" s="1">
        <v>57</v>
      </c>
      <c r="W707" s="1" t="b">
        <v>0</v>
      </c>
      <c r="X707" s="1" t="b">
        <v>1</v>
      </c>
      <c r="Y707" s="1">
        <v>0</v>
      </c>
    </row>
    <row r="708" spans="1:25" x14ac:dyDescent="0.35">
      <c r="A708" s="1" t="s">
        <v>1461</v>
      </c>
      <c r="B708" s="1" t="s">
        <v>18</v>
      </c>
      <c r="C708" s="1" t="s">
        <v>217</v>
      </c>
      <c r="D708" s="1" t="s">
        <v>20</v>
      </c>
      <c r="E708" s="1">
        <v>2892</v>
      </c>
      <c r="F708" s="4">
        <v>15000000</v>
      </c>
      <c r="G708" s="4">
        <v>5186</v>
      </c>
      <c r="H708" s="1">
        <v>5</v>
      </c>
      <c r="I708" s="1">
        <v>2</v>
      </c>
      <c r="J708" s="1">
        <v>16</v>
      </c>
      <c r="K708" s="1" t="s">
        <v>21</v>
      </c>
      <c r="L708" s="1" t="s">
        <v>1462</v>
      </c>
      <c r="M708" s="1">
        <v>5</v>
      </c>
      <c r="N708" s="1">
        <v>4</v>
      </c>
      <c r="O708" s="1">
        <v>62031</v>
      </c>
      <c r="P708" s="1">
        <v>4.96</v>
      </c>
      <c r="Q708" s="1" t="s">
        <v>6</v>
      </c>
      <c r="R708" s="3">
        <v>0.49810000000000004</v>
      </c>
      <c r="S708" s="2">
        <v>45821</v>
      </c>
      <c r="T708" s="1">
        <v>269</v>
      </c>
      <c r="U708" s="1" t="s">
        <v>7</v>
      </c>
      <c r="V708" s="1">
        <v>65</v>
      </c>
      <c r="W708" s="1" t="b">
        <v>1</v>
      </c>
      <c r="X708" s="1" t="b">
        <v>0</v>
      </c>
      <c r="Y708" s="1">
        <v>30000</v>
      </c>
    </row>
    <row r="709" spans="1:25" x14ac:dyDescent="0.35">
      <c r="A709" s="1" t="s">
        <v>1463</v>
      </c>
      <c r="B709" s="1" t="s">
        <v>9</v>
      </c>
      <c r="C709" s="1" t="s">
        <v>163</v>
      </c>
      <c r="D709" s="1" t="s">
        <v>20</v>
      </c>
      <c r="E709" s="1">
        <v>2803</v>
      </c>
      <c r="F709" s="4">
        <v>50000000</v>
      </c>
      <c r="G709" s="4">
        <v>17838</v>
      </c>
      <c r="H709" s="1">
        <v>2</v>
      </c>
      <c r="I709" s="1">
        <v>1</v>
      </c>
      <c r="J709" s="1">
        <v>18</v>
      </c>
      <c r="K709" s="1" t="s">
        <v>34</v>
      </c>
      <c r="L709" s="1" t="s">
        <v>1464</v>
      </c>
      <c r="M709" s="1">
        <v>4</v>
      </c>
      <c r="N709" s="1">
        <v>4</v>
      </c>
      <c r="O709" s="1">
        <v>188386</v>
      </c>
      <c r="P709" s="1">
        <v>4.5199999999999996</v>
      </c>
      <c r="Q709" s="1" t="s">
        <v>14</v>
      </c>
      <c r="R709" s="3">
        <v>0.47609999999999997</v>
      </c>
      <c r="S709" s="2">
        <v>45602</v>
      </c>
      <c r="T709" s="1">
        <v>296</v>
      </c>
      <c r="U709" s="1" t="s">
        <v>23</v>
      </c>
      <c r="V709" s="1">
        <v>170</v>
      </c>
      <c r="W709" s="1" t="b">
        <v>0</v>
      </c>
      <c r="X709" s="1" t="b">
        <v>0</v>
      </c>
      <c r="Y709" s="1">
        <v>100000</v>
      </c>
    </row>
    <row r="710" spans="1:25" x14ac:dyDescent="0.35">
      <c r="A710" s="1" t="s">
        <v>1465</v>
      </c>
      <c r="B710" s="1" t="s">
        <v>18</v>
      </c>
      <c r="C710" s="1" t="s">
        <v>169</v>
      </c>
      <c r="D710" s="1" t="s">
        <v>20</v>
      </c>
      <c r="E710" s="1">
        <v>3221</v>
      </c>
      <c r="F710" s="4">
        <v>15000000</v>
      </c>
      <c r="G710" s="4">
        <v>4656</v>
      </c>
      <c r="H710" s="1">
        <v>2</v>
      </c>
      <c r="I710" s="1">
        <v>2</v>
      </c>
      <c r="J710" s="1">
        <v>8</v>
      </c>
      <c r="K710" s="1" t="s">
        <v>28</v>
      </c>
      <c r="L710" s="1" t="s">
        <v>1466</v>
      </c>
      <c r="M710" s="1">
        <v>8</v>
      </c>
      <c r="N710" s="1">
        <v>5</v>
      </c>
      <c r="O710" s="1">
        <v>46528</v>
      </c>
      <c r="P710" s="1">
        <v>3.72</v>
      </c>
      <c r="Q710" s="1" t="s">
        <v>6</v>
      </c>
      <c r="R710" s="3">
        <v>0.43609999999999999</v>
      </c>
      <c r="S710" s="2">
        <v>45602</v>
      </c>
      <c r="T710" s="1">
        <v>127</v>
      </c>
      <c r="U710" s="1" t="s">
        <v>7</v>
      </c>
      <c r="V710" s="1">
        <v>173</v>
      </c>
      <c r="W710" s="1" t="b">
        <v>1</v>
      </c>
      <c r="X710" s="1" t="b">
        <v>0</v>
      </c>
      <c r="Y710" s="1">
        <v>30000</v>
      </c>
    </row>
    <row r="711" spans="1:25" x14ac:dyDescent="0.35">
      <c r="A711" s="1" t="s">
        <v>1467</v>
      </c>
      <c r="B711" s="1" t="s">
        <v>25</v>
      </c>
      <c r="C711" s="1" t="s">
        <v>182</v>
      </c>
      <c r="D711" s="1" t="s">
        <v>38</v>
      </c>
      <c r="E711" s="1">
        <v>8740</v>
      </c>
      <c r="F711" s="4">
        <v>30000000</v>
      </c>
      <c r="G711" s="4">
        <v>3432</v>
      </c>
      <c r="H711" s="1">
        <v>4</v>
      </c>
      <c r="I711" s="1">
        <v>2</v>
      </c>
      <c r="J711" s="1">
        <v>15</v>
      </c>
      <c r="K711" s="1" t="s">
        <v>28</v>
      </c>
      <c r="L711" s="1" t="s">
        <v>1468</v>
      </c>
      <c r="M711" s="1">
        <v>4</v>
      </c>
      <c r="N711" s="1">
        <v>10</v>
      </c>
      <c r="O711" s="1">
        <v>118753</v>
      </c>
      <c r="P711" s="1">
        <v>4.75</v>
      </c>
      <c r="Q711" s="1" t="s">
        <v>14</v>
      </c>
      <c r="R711" s="3">
        <v>0.48749999999999999</v>
      </c>
      <c r="S711" s="2">
        <v>45566</v>
      </c>
      <c r="T711" s="1">
        <v>253</v>
      </c>
      <c r="U711" s="1" t="s">
        <v>30</v>
      </c>
      <c r="V711" s="1">
        <v>78</v>
      </c>
      <c r="W711" s="1" t="b">
        <v>1</v>
      </c>
      <c r="X711" s="1" t="b">
        <v>1</v>
      </c>
      <c r="Y711" s="1">
        <v>0</v>
      </c>
    </row>
    <row r="712" spans="1:25" x14ac:dyDescent="0.35">
      <c r="A712" s="1" t="s">
        <v>1469</v>
      </c>
      <c r="B712" s="1" t="s">
        <v>25</v>
      </c>
      <c r="C712" s="1" t="s">
        <v>37</v>
      </c>
      <c r="D712" s="1" t="s">
        <v>11</v>
      </c>
      <c r="E712" s="1">
        <v>348</v>
      </c>
      <c r="F712" s="4">
        <v>30000000</v>
      </c>
      <c r="G712" s="4">
        <v>86206</v>
      </c>
      <c r="H712" s="1">
        <v>1</v>
      </c>
      <c r="I712" s="1">
        <v>2</v>
      </c>
      <c r="J712" s="1">
        <v>4</v>
      </c>
      <c r="K712" s="1" t="s">
        <v>58</v>
      </c>
      <c r="L712" s="1" t="s">
        <v>1470</v>
      </c>
      <c r="M712" s="1">
        <v>6</v>
      </c>
      <c r="N712" s="1">
        <v>4</v>
      </c>
      <c r="O712" s="1">
        <v>87749</v>
      </c>
      <c r="P712" s="1">
        <v>3.51</v>
      </c>
      <c r="Q712" s="1" t="s">
        <v>14</v>
      </c>
      <c r="R712" s="3">
        <v>0.42549999999999999</v>
      </c>
      <c r="S712" s="2">
        <v>45537</v>
      </c>
      <c r="T712" s="1">
        <v>303</v>
      </c>
      <c r="U712" s="1" t="s">
        <v>7</v>
      </c>
      <c r="V712" s="1">
        <v>133</v>
      </c>
      <c r="W712" s="1" t="b">
        <v>1</v>
      </c>
      <c r="X712" s="1" t="b">
        <v>0</v>
      </c>
      <c r="Y712" s="1">
        <v>60000</v>
      </c>
    </row>
    <row r="713" spans="1:25" x14ac:dyDescent="0.35">
      <c r="A713" s="1" t="s">
        <v>1471</v>
      </c>
      <c r="B713" s="1" t="s">
        <v>32</v>
      </c>
      <c r="C713" s="1" t="s">
        <v>41</v>
      </c>
      <c r="D713" s="1" t="s">
        <v>38</v>
      </c>
      <c r="E713" s="1">
        <v>3982</v>
      </c>
      <c r="F713" s="4">
        <v>12000000</v>
      </c>
      <c r="G713" s="4">
        <v>3013</v>
      </c>
      <c r="H713" s="1">
        <v>6</v>
      </c>
      <c r="I713" s="1">
        <v>3</v>
      </c>
      <c r="J713" s="1">
        <v>4</v>
      </c>
      <c r="K713" s="1" t="s">
        <v>4</v>
      </c>
      <c r="L713" s="1" t="s">
        <v>1472</v>
      </c>
      <c r="M713" s="1">
        <v>8</v>
      </c>
      <c r="N713" s="1">
        <v>9</v>
      </c>
      <c r="O713" s="1">
        <v>32252</v>
      </c>
      <c r="P713" s="1">
        <v>3.23</v>
      </c>
      <c r="Q713" s="1" t="s">
        <v>6</v>
      </c>
      <c r="R713" s="3">
        <v>0.4113</v>
      </c>
      <c r="S713" s="2">
        <v>46154</v>
      </c>
      <c r="T713" s="1">
        <v>357</v>
      </c>
      <c r="U713" s="1" t="s">
        <v>30</v>
      </c>
      <c r="V713" s="1">
        <v>58</v>
      </c>
      <c r="W713" s="1" t="b">
        <v>1</v>
      </c>
      <c r="X713" s="1" t="b">
        <v>0</v>
      </c>
      <c r="Y713" s="1">
        <v>24000</v>
      </c>
    </row>
    <row r="714" spans="1:25" x14ac:dyDescent="0.35">
      <c r="A714" s="1" t="s">
        <v>1473</v>
      </c>
      <c r="B714" s="1" t="s">
        <v>54</v>
      </c>
      <c r="C714" s="1" t="s">
        <v>55</v>
      </c>
      <c r="D714" s="1" t="s">
        <v>11</v>
      </c>
      <c r="E714" s="1">
        <v>323</v>
      </c>
      <c r="F714" s="4">
        <v>30397515</v>
      </c>
      <c r="G714" s="4">
        <v>94109</v>
      </c>
      <c r="H714" s="1">
        <v>0</v>
      </c>
      <c r="I714" s="1">
        <v>1</v>
      </c>
      <c r="J714" s="1">
        <v>27</v>
      </c>
      <c r="K714" s="1" t="s">
        <v>34</v>
      </c>
      <c r="L714" s="1" t="s">
        <v>1474</v>
      </c>
      <c r="M714" s="1">
        <v>5</v>
      </c>
      <c r="N714" s="1">
        <v>7</v>
      </c>
      <c r="O714" s="1">
        <v>86204</v>
      </c>
      <c r="P714" s="1">
        <v>3.4</v>
      </c>
      <c r="Q714" s="1" t="s">
        <v>14</v>
      </c>
      <c r="R714" s="3">
        <v>0.42020000000000002</v>
      </c>
      <c r="S714" s="2">
        <v>45506</v>
      </c>
      <c r="T714" s="1">
        <v>97</v>
      </c>
      <c r="U714" s="1" t="s">
        <v>7</v>
      </c>
      <c r="V714" s="1">
        <v>120</v>
      </c>
      <c r="W714" s="1" t="b">
        <v>1</v>
      </c>
      <c r="X714" s="1" t="b">
        <v>0</v>
      </c>
      <c r="Y714" s="1">
        <v>0</v>
      </c>
    </row>
    <row r="715" spans="1:25" x14ac:dyDescent="0.35">
      <c r="A715" s="1" t="s">
        <v>1475</v>
      </c>
      <c r="B715" s="1" t="s">
        <v>54</v>
      </c>
      <c r="C715" s="1" t="s">
        <v>89</v>
      </c>
      <c r="D715" s="1" t="s">
        <v>3</v>
      </c>
      <c r="E715" s="1">
        <v>1432</v>
      </c>
      <c r="F715" s="4">
        <v>40000000</v>
      </c>
      <c r="G715" s="4">
        <v>27932</v>
      </c>
      <c r="H715" s="1">
        <v>1</v>
      </c>
      <c r="I715" s="1">
        <v>2</v>
      </c>
      <c r="J715" s="1">
        <v>14</v>
      </c>
      <c r="K715" s="1" t="s">
        <v>34</v>
      </c>
      <c r="L715" s="1" t="s">
        <v>1476</v>
      </c>
      <c r="M715" s="1">
        <v>4</v>
      </c>
      <c r="N715" s="1">
        <v>6</v>
      </c>
      <c r="O715" s="1">
        <v>107361</v>
      </c>
      <c r="P715" s="1">
        <v>3.22</v>
      </c>
      <c r="Q715" s="1" t="s">
        <v>14</v>
      </c>
      <c r="R715" s="3">
        <v>0.41100000000000003</v>
      </c>
      <c r="S715" s="2">
        <v>45862</v>
      </c>
      <c r="T715" s="1">
        <v>219</v>
      </c>
      <c r="U715" s="1" t="s">
        <v>7</v>
      </c>
      <c r="V715" s="1">
        <v>75</v>
      </c>
      <c r="W715" s="1" t="b">
        <v>1</v>
      </c>
      <c r="X715" s="1" t="b">
        <v>0</v>
      </c>
      <c r="Y715" s="1">
        <v>80000</v>
      </c>
    </row>
    <row r="716" spans="1:25" x14ac:dyDescent="0.35">
      <c r="A716" s="1" t="s">
        <v>1477</v>
      </c>
      <c r="B716" s="1" t="s">
        <v>32</v>
      </c>
      <c r="C716" s="1" t="s">
        <v>197</v>
      </c>
      <c r="D716" s="1" t="s">
        <v>20</v>
      </c>
      <c r="E716" s="1">
        <v>2741</v>
      </c>
      <c r="F716" s="4">
        <v>12000000</v>
      </c>
      <c r="G716" s="4">
        <v>4377</v>
      </c>
      <c r="H716" s="1">
        <v>3</v>
      </c>
      <c r="I716" s="1">
        <v>2</v>
      </c>
      <c r="J716" s="1">
        <v>6</v>
      </c>
      <c r="K716" s="1" t="s">
        <v>61</v>
      </c>
      <c r="L716" s="1" t="s">
        <v>1478</v>
      </c>
      <c r="M716" s="1">
        <v>8</v>
      </c>
      <c r="N716" s="1">
        <v>8</v>
      </c>
      <c r="O716" s="1">
        <v>34688</v>
      </c>
      <c r="P716" s="1">
        <v>3.47</v>
      </c>
      <c r="Q716" s="1" t="s">
        <v>6</v>
      </c>
      <c r="R716" s="3">
        <v>0.42340000000000005</v>
      </c>
      <c r="S716" s="2">
        <v>45659</v>
      </c>
      <c r="T716" s="1">
        <v>329</v>
      </c>
      <c r="U716" s="1" t="s">
        <v>7</v>
      </c>
      <c r="V716" s="1">
        <v>160</v>
      </c>
      <c r="W716" s="1" t="b">
        <v>1</v>
      </c>
      <c r="X716" s="1" t="b">
        <v>1</v>
      </c>
      <c r="Y716" s="1">
        <v>0</v>
      </c>
    </row>
    <row r="717" spans="1:25" x14ac:dyDescent="0.35">
      <c r="A717" s="1" t="s">
        <v>1479</v>
      </c>
      <c r="B717" s="1" t="s">
        <v>1</v>
      </c>
      <c r="C717" s="1" t="s">
        <v>97</v>
      </c>
      <c r="D717" s="1" t="s">
        <v>38</v>
      </c>
      <c r="E717" s="1">
        <v>5087</v>
      </c>
      <c r="F717" s="4">
        <v>10000000</v>
      </c>
      <c r="G717" s="4">
        <v>1965</v>
      </c>
      <c r="H717" s="1">
        <v>6</v>
      </c>
      <c r="I717" s="1">
        <v>3</v>
      </c>
      <c r="J717" s="1">
        <v>8</v>
      </c>
      <c r="K717" s="1" t="s">
        <v>34</v>
      </c>
      <c r="L717" s="1" t="s">
        <v>1480</v>
      </c>
      <c r="M717" s="1">
        <v>8</v>
      </c>
      <c r="N717" s="1">
        <v>10</v>
      </c>
      <c r="O717" s="1">
        <v>29071</v>
      </c>
      <c r="P717" s="1">
        <v>3.49</v>
      </c>
      <c r="Q717" s="1" t="s">
        <v>6</v>
      </c>
      <c r="R717" s="3">
        <v>0.4244</v>
      </c>
      <c r="S717" s="2">
        <v>45472</v>
      </c>
      <c r="T717" s="1">
        <v>272</v>
      </c>
      <c r="U717" s="1" t="s">
        <v>23</v>
      </c>
      <c r="V717" s="1">
        <v>177</v>
      </c>
      <c r="W717" s="1" t="b">
        <v>1</v>
      </c>
      <c r="X717" s="1" t="b">
        <v>0</v>
      </c>
      <c r="Y717" s="1">
        <v>20000</v>
      </c>
    </row>
    <row r="718" spans="1:25" x14ac:dyDescent="0.35">
      <c r="A718" s="1" t="s">
        <v>1481</v>
      </c>
      <c r="B718" s="1" t="s">
        <v>25</v>
      </c>
      <c r="C718" s="1" t="s">
        <v>314</v>
      </c>
      <c r="D718" s="1" t="s">
        <v>20</v>
      </c>
      <c r="E718" s="1">
        <v>4647</v>
      </c>
      <c r="F718" s="4">
        <v>30000000</v>
      </c>
      <c r="G718" s="4">
        <v>6455</v>
      </c>
      <c r="H718" s="1">
        <v>5</v>
      </c>
      <c r="I718" s="1">
        <v>3</v>
      </c>
      <c r="J718" s="1">
        <v>0</v>
      </c>
      <c r="K718" s="1" t="s">
        <v>34</v>
      </c>
      <c r="L718" s="1" t="s">
        <v>1482</v>
      </c>
      <c r="M718" s="1">
        <v>6</v>
      </c>
      <c r="N718" s="1">
        <v>9</v>
      </c>
      <c r="O718" s="1">
        <v>88597</v>
      </c>
      <c r="P718" s="1">
        <v>3.54</v>
      </c>
      <c r="Q718" s="1" t="s">
        <v>14</v>
      </c>
      <c r="R718" s="3">
        <v>0.42719999999999997</v>
      </c>
      <c r="S718" s="2">
        <v>45952</v>
      </c>
      <c r="T718" s="1">
        <v>289</v>
      </c>
      <c r="U718" s="1" t="s">
        <v>30</v>
      </c>
      <c r="V718" s="1">
        <v>174</v>
      </c>
      <c r="W718" s="1" t="b">
        <v>0</v>
      </c>
      <c r="X718" s="1" t="b">
        <v>1</v>
      </c>
      <c r="Y718" s="1">
        <v>0</v>
      </c>
    </row>
    <row r="719" spans="1:25" x14ac:dyDescent="0.35">
      <c r="A719" s="1" t="s">
        <v>1483</v>
      </c>
      <c r="B719" s="1" t="s">
        <v>18</v>
      </c>
      <c r="C719" s="1" t="s">
        <v>166</v>
      </c>
      <c r="D719" s="1" t="s">
        <v>27</v>
      </c>
      <c r="E719" s="1">
        <v>4006</v>
      </c>
      <c r="F719" s="4">
        <v>15000000</v>
      </c>
      <c r="G719" s="4">
        <v>3744</v>
      </c>
      <c r="H719" s="1">
        <v>5</v>
      </c>
      <c r="I719" s="1">
        <v>2</v>
      </c>
      <c r="J719" s="1">
        <v>27</v>
      </c>
      <c r="K719" s="1" t="s">
        <v>42</v>
      </c>
      <c r="L719" s="1" t="s">
        <v>1484</v>
      </c>
      <c r="M719" s="1">
        <v>5</v>
      </c>
      <c r="N719" s="1">
        <v>4</v>
      </c>
      <c r="O719" s="1">
        <v>61437</v>
      </c>
      <c r="P719" s="1">
        <v>4.91</v>
      </c>
      <c r="Q719" s="1" t="s">
        <v>6</v>
      </c>
      <c r="R719" s="3">
        <v>0.49570000000000003</v>
      </c>
      <c r="S719" s="2">
        <v>46140</v>
      </c>
      <c r="T719" s="1">
        <v>71</v>
      </c>
      <c r="U719" s="1" t="s">
        <v>30</v>
      </c>
      <c r="V719" s="1">
        <v>174</v>
      </c>
      <c r="W719" s="1" t="b">
        <v>1</v>
      </c>
      <c r="X719" s="1" t="b">
        <v>0</v>
      </c>
      <c r="Y719" s="1">
        <v>30000</v>
      </c>
    </row>
    <row r="720" spans="1:25" x14ac:dyDescent="0.35">
      <c r="A720" s="1" t="s">
        <v>1485</v>
      </c>
      <c r="B720" s="1" t="s">
        <v>25</v>
      </c>
      <c r="C720" s="1" t="s">
        <v>94</v>
      </c>
      <c r="D720" s="1" t="s">
        <v>11</v>
      </c>
      <c r="E720" s="1">
        <v>523</v>
      </c>
      <c r="F720" s="4">
        <v>30000000</v>
      </c>
      <c r="G720" s="4">
        <v>57361</v>
      </c>
      <c r="H720" s="1">
        <v>0</v>
      </c>
      <c r="I720" s="1">
        <v>1</v>
      </c>
      <c r="J720" s="1">
        <v>21</v>
      </c>
      <c r="K720" s="1" t="s">
        <v>58</v>
      </c>
      <c r="L720" s="1" t="s">
        <v>1486</v>
      </c>
      <c r="M720" s="1">
        <v>7</v>
      </c>
      <c r="N720" s="1">
        <v>6</v>
      </c>
      <c r="O720" s="1">
        <v>75584</v>
      </c>
      <c r="P720" s="1">
        <v>3.02</v>
      </c>
      <c r="Q720" s="1" t="s">
        <v>14</v>
      </c>
      <c r="R720" s="3">
        <v>0.4012</v>
      </c>
      <c r="S720" s="2">
        <v>45555</v>
      </c>
      <c r="T720" s="1">
        <v>231</v>
      </c>
      <c r="U720" s="1" t="s">
        <v>7</v>
      </c>
      <c r="V720" s="1">
        <v>180</v>
      </c>
      <c r="W720" s="1" t="b">
        <v>1</v>
      </c>
      <c r="X720" s="1" t="b">
        <v>1</v>
      </c>
      <c r="Y720" s="1">
        <v>0</v>
      </c>
    </row>
    <row r="721" spans="1:25" x14ac:dyDescent="0.35">
      <c r="A721" s="1" t="s">
        <v>1487</v>
      </c>
      <c r="B721" s="1" t="s">
        <v>25</v>
      </c>
      <c r="C721" s="1" t="s">
        <v>37</v>
      </c>
      <c r="D721" s="1" t="s">
        <v>3</v>
      </c>
      <c r="E721" s="1">
        <v>783</v>
      </c>
      <c r="F721" s="4">
        <v>30000000</v>
      </c>
      <c r="G721" s="4">
        <v>38314</v>
      </c>
      <c r="H721" s="1">
        <v>3</v>
      </c>
      <c r="I721" s="1">
        <v>1</v>
      </c>
      <c r="J721" s="1">
        <v>1</v>
      </c>
      <c r="K721" s="1" t="s">
        <v>42</v>
      </c>
      <c r="L721" s="1" t="s">
        <v>1488</v>
      </c>
      <c r="M721" s="1">
        <v>6</v>
      </c>
      <c r="N721" s="1">
        <v>4</v>
      </c>
      <c r="O721" s="1">
        <v>85817</v>
      </c>
      <c r="P721" s="1">
        <v>3.43</v>
      </c>
      <c r="Q721" s="1" t="s">
        <v>14</v>
      </c>
      <c r="R721" s="3">
        <v>0.42159999999999997</v>
      </c>
      <c r="S721" s="2">
        <v>45735</v>
      </c>
      <c r="T721" s="1">
        <v>258</v>
      </c>
      <c r="U721" s="1" t="s">
        <v>23</v>
      </c>
      <c r="V721" s="1">
        <v>52</v>
      </c>
      <c r="W721" s="1" t="b">
        <v>1</v>
      </c>
      <c r="X721" s="1" t="b">
        <v>0</v>
      </c>
      <c r="Y721" s="1">
        <v>60000</v>
      </c>
    </row>
    <row r="722" spans="1:25" x14ac:dyDescent="0.35">
      <c r="A722" s="1" t="s">
        <v>1489</v>
      </c>
      <c r="B722" s="1" t="s">
        <v>18</v>
      </c>
      <c r="C722" s="1" t="s">
        <v>243</v>
      </c>
      <c r="D722" s="1" t="s">
        <v>20</v>
      </c>
      <c r="E722" s="1">
        <v>2961</v>
      </c>
      <c r="F722" s="4">
        <v>15000000</v>
      </c>
      <c r="G722" s="4">
        <v>5065</v>
      </c>
      <c r="H722" s="1">
        <v>5</v>
      </c>
      <c r="I722" s="1">
        <v>2</v>
      </c>
      <c r="J722" s="1">
        <v>0</v>
      </c>
      <c r="K722" s="1" t="s">
        <v>28</v>
      </c>
      <c r="L722" s="1" t="s">
        <v>1490</v>
      </c>
      <c r="M722" s="1">
        <v>8</v>
      </c>
      <c r="N722" s="1">
        <v>6</v>
      </c>
      <c r="O722" s="1">
        <v>42396</v>
      </c>
      <c r="P722" s="1">
        <v>3.39</v>
      </c>
      <c r="Q722" s="1" t="s">
        <v>6</v>
      </c>
      <c r="R722" s="3">
        <v>0.41960000000000003</v>
      </c>
      <c r="S722" s="2">
        <v>45942</v>
      </c>
      <c r="T722" s="1">
        <v>32</v>
      </c>
      <c r="U722" s="1" t="s">
        <v>7</v>
      </c>
      <c r="V722" s="1">
        <v>147</v>
      </c>
      <c r="W722" s="1" t="b">
        <v>0</v>
      </c>
      <c r="X722" s="1" t="b">
        <v>1</v>
      </c>
      <c r="Y722" s="1">
        <v>30000</v>
      </c>
    </row>
    <row r="723" spans="1:25" x14ac:dyDescent="0.35">
      <c r="A723" s="1" t="s">
        <v>1491</v>
      </c>
      <c r="B723" s="1" t="s">
        <v>9</v>
      </c>
      <c r="C723" s="1" t="s">
        <v>189</v>
      </c>
      <c r="D723" s="1" t="s">
        <v>27</v>
      </c>
      <c r="E723" s="1">
        <v>5003</v>
      </c>
      <c r="F723" s="4">
        <v>50000000</v>
      </c>
      <c r="G723" s="4">
        <v>9994</v>
      </c>
      <c r="H723" s="1">
        <v>5</v>
      </c>
      <c r="I723" s="1">
        <v>3</v>
      </c>
      <c r="J723" s="1">
        <v>4</v>
      </c>
      <c r="K723" s="1" t="s">
        <v>61</v>
      </c>
      <c r="L723" s="1" t="s">
        <v>1492</v>
      </c>
      <c r="M723" s="1">
        <v>8</v>
      </c>
      <c r="N723" s="1">
        <v>5</v>
      </c>
      <c r="O723" s="1">
        <v>199408</v>
      </c>
      <c r="P723" s="1">
        <v>4.79</v>
      </c>
      <c r="Q723" s="1" t="s">
        <v>14</v>
      </c>
      <c r="R723" s="3">
        <v>0.48930000000000001</v>
      </c>
      <c r="S723" s="2">
        <v>46045</v>
      </c>
      <c r="T723" s="1">
        <v>38</v>
      </c>
      <c r="U723" s="1" t="s">
        <v>7</v>
      </c>
      <c r="V723" s="1">
        <v>84</v>
      </c>
      <c r="W723" s="1" t="b">
        <v>1</v>
      </c>
      <c r="X723" s="1" t="b">
        <v>0</v>
      </c>
      <c r="Y723" s="1">
        <v>100000</v>
      </c>
    </row>
    <row r="724" spans="1:25" x14ac:dyDescent="0.35">
      <c r="A724" s="1" t="s">
        <v>1493</v>
      </c>
      <c r="B724" s="1" t="s">
        <v>18</v>
      </c>
      <c r="C724" s="1" t="s">
        <v>217</v>
      </c>
      <c r="D724" s="1" t="s">
        <v>27</v>
      </c>
      <c r="E724" s="1">
        <v>4180</v>
      </c>
      <c r="F724" s="4">
        <v>15000000</v>
      </c>
      <c r="G724" s="4">
        <v>3588</v>
      </c>
      <c r="H724" s="1">
        <v>5</v>
      </c>
      <c r="I724" s="1">
        <v>3</v>
      </c>
      <c r="J724" s="1">
        <v>5</v>
      </c>
      <c r="K724" s="1" t="s">
        <v>34</v>
      </c>
      <c r="L724" s="1" t="s">
        <v>1494</v>
      </c>
      <c r="M724" s="1">
        <v>7</v>
      </c>
      <c r="N724" s="1">
        <v>6</v>
      </c>
      <c r="O724" s="1">
        <v>52657</v>
      </c>
      <c r="P724" s="1">
        <v>4.21</v>
      </c>
      <c r="Q724" s="1" t="s">
        <v>6</v>
      </c>
      <c r="R724" s="3">
        <v>0.46060000000000001</v>
      </c>
      <c r="S724" s="2">
        <v>46136</v>
      </c>
      <c r="T724" s="1">
        <v>275</v>
      </c>
      <c r="U724" s="1" t="s">
        <v>7</v>
      </c>
      <c r="V724" s="1">
        <v>126</v>
      </c>
      <c r="W724" s="1" t="b">
        <v>0</v>
      </c>
      <c r="X724" s="1" t="b">
        <v>1</v>
      </c>
      <c r="Y724" s="1">
        <v>30000</v>
      </c>
    </row>
    <row r="725" spans="1:25" x14ac:dyDescent="0.35">
      <c r="A725" s="1" t="s">
        <v>1495</v>
      </c>
      <c r="B725" s="1" t="s">
        <v>1</v>
      </c>
      <c r="C725" s="1" t="s">
        <v>303</v>
      </c>
      <c r="D725" s="1" t="s">
        <v>3</v>
      </c>
      <c r="E725" s="1">
        <v>1341</v>
      </c>
      <c r="F725" s="4">
        <v>10000000</v>
      </c>
      <c r="G725" s="4">
        <v>7457</v>
      </c>
      <c r="H725" s="1">
        <v>1</v>
      </c>
      <c r="I725" s="1">
        <v>2</v>
      </c>
      <c r="J725" s="1">
        <v>12</v>
      </c>
      <c r="K725" s="1" t="s">
        <v>4</v>
      </c>
      <c r="L725" s="1" t="s">
        <v>1496</v>
      </c>
      <c r="M725" s="1">
        <v>8</v>
      </c>
      <c r="N725" s="1">
        <v>4</v>
      </c>
      <c r="O725" s="1">
        <v>33473</v>
      </c>
      <c r="P725" s="1">
        <v>4.0199999999999996</v>
      </c>
      <c r="Q725" s="1" t="s">
        <v>6</v>
      </c>
      <c r="R725" s="3">
        <v>0.45079999999999998</v>
      </c>
      <c r="S725" s="2">
        <v>45535</v>
      </c>
      <c r="T725" s="1">
        <v>276</v>
      </c>
      <c r="U725" s="1" t="s">
        <v>7</v>
      </c>
      <c r="V725" s="1">
        <v>91</v>
      </c>
      <c r="W725" s="1" t="b">
        <v>1</v>
      </c>
      <c r="X725" s="1" t="b">
        <v>0</v>
      </c>
      <c r="Y725" s="1">
        <v>20000</v>
      </c>
    </row>
    <row r="726" spans="1:25" x14ac:dyDescent="0.35">
      <c r="A726" s="1" t="s">
        <v>1497</v>
      </c>
      <c r="B726" s="1" t="s">
        <v>54</v>
      </c>
      <c r="C726" s="1" t="s">
        <v>72</v>
      </c>
      <c r="D726" s="1" t="s">
        <v>20</v>
      </c>
      <c r="E726" s="1">
        <v>3748</v>
      </c>
      <c r="F726" s="4">
        <v>40000000</v>
      </c>
      <c r="G726" s="4">
        <v>10672</v>
      </c>
      <c r="H726" s="1">
        <v>3</v>
      </c>
      <c r="I726" s="1">
        <v>1</v>
      </c>
      <c r="J726" s="1">
        <v>1</v>
      </c>
      <c r="K726" s="1" t="s">
        <v>61</v>
      </c>
      <c r="L726" s="1" t="s">
        <v>1498</v>
      </c>
      <c r="M726" s="1">
        <v>6</v>
      </c>
      <c r="N726" s="1">
        <v>9</v>
      </c>
      <c r="O726" s="1">
        <v>104762</v>
      </c>
      <c r="P726" s="1">
        <v>3.14</v>
      </c>
      <c r="Q726" s="1" t="s">
        <v>14</v>
      </c>
      <c r="R726" s="3">
        <v>0.40710000000000002</v>
      </c>
      <c r="S726" s="2">
        <v>45507</v>
      </c>
      <c r="T726" s="1">
        <v>236</v>
      </c>
      <c r="U726" s="1" t="s">
        <v>7</v>
      </c>
      <c r="V726" s="1">
        <v>112</v>
      </c>
      <c r="W726" s="1" t="b">
        <v>1</v>
      </c>
      <c r="X726" s="1" t="b">
        <v>0</v>
      </c>
      <c r="Y726" s="1">
        <v>0</v>
      </c>
    </row>
    <row r="727" spans="1:25" x14ac:dyDescent="0.35">
      <c r="A727" s="1" t="s">
        <v>1499</v>
      </c>
      <c r="B727" s="1" t="s">
        <v>9</v>
      </c>
      <c r="C727" s="1" t="s">
        <v>189</v>
      </c>
      <c r="D727" s="1" t="s">
        <v>3</v>
      </c>
      <c r="E727" s="1">
        <v>511</v>
      </c>
      <c r="F727" s="4">
        <v>50000000</v>
      </c>
      <c r="G727" s="4">
        <v>97847</v>
      </c>
      <c r="H727" s="1">
        <v>1</v>
      </c>
      <c r="I727" s="1">
        <v>1</v>
      </c>
      <c r="J727" s="1">
        <v>2</v>
      </c>
      <c r="K727" s="1" t="s">
        <v>42</v>
      </c>
      <c r="L727" s="1" t="s">
        <v>1500</v>
      </c>
      <c r="M727" s="1">
        <v>5</v>
      </c>
      <c r="N727" s="1">
        <v>4</v>
      </c>
      <c r="O727" s="1">
        <v>133188</v>
      </c>
      <c r="P727" s="1">
        <v>3.2</v>
      </c>
      <c r="Q727" s="1" t="s">
        <v>14</v>
      </c>
      <c r="R727" s="3">
        <v>0.40979999999999994</v>
      </c>
      <c r="S727" s="2">
        <v>45605</v>
      </c>
      <c r="T727" s="1">
        <v>77</v>
      </c>
      <c r="U727" s="1" t="s">
        <v>30</v>
      </c>
      <c r="V727" s="1">
        <v>36</v>
      </c>
      <c r="W727" s="1" t="b">
        <v>0</v>
      </c>
      <c r="X727" s="1" t="b">
        <v>0</v>
      </c>
      <c r="Y727" s="1">
        <v>0</v>
      </c>
    </row>
    <row r="728" spans="1:25" x14ac:dyDescent="0.35">
      <c r="A728" s="1" t="s">
        <v>1501</v>
      </c>
      <c r="B728" s="1" t="s">
        <v>1</v>
      </c>
      <c r="C728" s="1" t="s">
        <v>2</v>
      </c>
      <c r="D728" s="1" t="s">
        <v>38</v>
      </c>
      <c r="E728" s="1">
        <v>8288</v>
      </c>
      <c r="F728" s="4">
        <v>10000000</v>
      </c>
      <c r="G728" s="4">
        <v>1206</v>
      </c>
      <c r="H728" s="1">
        <v>5</v>
      </c>
      <c r="I728" s="1">
        <v>3</v>
      </c>
      <c r="J728" s="1">
        <v>8</v>
      </c>
      <c r="K728" s="1" t="s">
        <v>42</v>
      </c>
      <c r="L728" s="1" t="s">
        <v>1502</v>
      </c>
      <c r="M728" s="1">
        <v>4</v>
      </c>
      <c r="N728" s="1">
        <v>10</v>
      </c>
      <c r="O728" s="1">
        <v>33703</v>
      </c>
      <c r="P728" s="1">
        <v>4.04</v>
      </c>
      <c r="Q728" s="1" t="s">
        <v>6</v>
      </c>
      <c r="R728" s="3">
        <v>0.45219999999999999</v>
      </c>
      <c r="S728" s="2">
        <v>46078</v>
      </c>
      <c r="T728" s="1">
        <v>257</v>
      </c>
      <c r="U728" s="1" t="s">
        <v>7</v>
      </c>
      <c r="V728" s="1">
        <v>103</v>
      </c>
      <c r="W728" s="1" t="b">
        <v>1</v>
      </c>
      <c r="X728" s="1" t="b">
        <v>0</v>
      </c>
      <c r="Y728" s="1">
        <v>0</v>
      </c>
    </row>
    <row r="729" spans="1:25" x14ac:dyDescent="0.35">
      <c r="A729" s="1" t="s">
        <v>1503</v>
      </c>
      <c r="B729" s="1" t="s">
        <v>18</v>
      </c>
      <c r="C729" s="1" t="s">
        <v>169</v>
      </c>
      <c r="D729" s="1" t="s">
        <v>38</v>
      </c>
      <c r="E729" s="1">
        <v>6560</v>
      </c>
      <c r="F729" s="4">
        <v>15000000</v>
      </c>
      <c r="G729" s="4">
        <v>2286</v>
      </c>
      <c r="H729" s="1">
        <v>5</v>
      </c>
      <c r="I729" s="1">
        <v>2</v>
      </c>
      <c r="J729" s="1">
        <v>1</v>
      </c>
      <c r="K729" s="1" t="s">
        <v>58</v>
      </c>
      <c r="L729" s="1" t="s">
        <v>1504</v>
      </c>
      <c r="M729" s="1">
        <v>7</v>
      </c>
      <c r="N729" s="1">
        <v>7</v>
      </c>
      <c r="O729" s="1">
        <v>50397</v>
      </c>
      <c r="P729" s="1">
        <v>4.03</v>
      </c>
      <c r="Q729" s="1" t="s">
        <v>6</v>
      </c>
      <c r="R729" s="3">
        <v>0.45159999999999995</v>
      </c>
      <c r="S729" s="2">
        <v>45614</v>
      </c>
      <c r="T729" s="1">
        <v>63</v>
      </c>
      <c r="U729" s="1" t="s">
        <v>7</v>
      </c>
      <c r="V729" s="1">
        <v>174</v>
      </c>
      <c r="W729" s="1" t="b">
        <v>1</v>
      </c>
      <c r="X729" s="1" t="b">
        <v>0</v>
      </c>
      <c r="Y729" s="1">
        <v>30000</v>
      </c>
    </row>
    <row r="730" spans="1:25" x14ac:dyDescent="0.35">
      <c r="A730" s="1" t="s">
        <v>1505</v>
      </c>
      <c r="B730" s="1" t="s">
        <v>54</v>
      </c>
      <c r="C730" s="1" t="s">
        <v>79</v>
      </c>
      <c r="D730" s="1" t="s">
        <v>27</v>
      </c>
      <c r="E730" s="1">
        <v>4634</v>
      </c>
      <c r="F730" s="4">
        <v>40000000</v>
      </c>
      <c r="G730" s="4">
        <v>8631</v>
      </c>
      <c r="H730" s="1">
        <v>5</v>
      </c>
      <c r="I730" s="1">
        <v>2</v>
      </c>
      <c r="J730" s="1">
        <v>11</v>
      </c>
      <c r="K730" s="1" t="s">
        <v>28</v>
      </c>
      <c r="L730" s="1" t="s">
        <v>1506</v>
      </c>
      <c r="M730" s="1">
        <v>5</v>
      </c>
      <c r="N730" s="1">
        <v>8</v>
      </c>
      <c r="O730" s="1">
        <v>103535</v>
      </c>
      <c r="P730" s="1">
        <v>3.11</v>
      </c>
      <c r="Q730" s="1" t="s">
        <v>14</v>
      </c>
      <c r="R730" s="3">
        <v>0.40529999999999999</v>
      </c>
      <c r="S730" s="2">
        <v>45944</v>
      </c>
      <c r="T730" s="1">
        <v>236</v>
      </c>
      <c r="U730" s="1" t="s">
        <v>7</v>
      </c>
      <c r="V730" s="1">
        <v>172</v>
      </c>
      <c r="W730" s="1" t="b">
        <v>0</v>
      </c>
      <c r="X730" s="1" t="b">
        <v>1</v>
      </c>
      <c r="Y730" s="1">
        <v>80000</v>
      </c>
    </row>
    <row r="731" spans="1:25" x14ac:dyDescent="0.35">
      <c r="A731" s="1" t="s">
        <v>1507</v>
      </c>
      <c r="B731" s="1" t="s">
        <v>25</v>
      </c>
      <c r="C731" s="1" t="s">
        <v>314</v>
      </c>
      <c r="D731" s="1" t="s">
        <v>3</v>
      </c>
      <c r="E731" s="1">
        <v>1496</v>
      </c>
      <c r="F731" s="4">
        <v>30000000</v>
      </c>
      <c r="G731" s="4">
        <v>20053</v>
      </c>
      <c r="H731" s="1">
        <v>1</v>
      </c>
      <c r="I731" s="1">
        <v>1</v>
      </c>
      <c r="J731" s="1">
        <v>27</v>
      </c>
      <c r="K731" s="1" t="s">
        <v>34</v>
      </c>
      <c r="L731" s="1" t="s">
        <v>1508</v>
      </c>
      <c r="M731" s="1">
        <v>6</v>
      </c>
      <c r="N731" s="1">
        <v>7</v>
      </c>
      <c r="O731" s="1">
        <v>87933</v>
      </c>
      <c r="P731" s="1">
        <v>3.52</v>
      </c>
      <c r="Q731" s="1" t="s">
        <v>14</v>
      </c>
      <c r="R731" s="3">
        <v>0.42590000000000006</v>
      </c>
      <c r="S731" s="2">
        <v>45497</v>
      </c>
      <c r="T731" s="1">
        <v>128</v>
      </c>
      <c r="U731" s="1" t="s">
        <v>7</v>
      </c>
      <c r="V731" s="1">
        <v>157</v>
      </c>
      <c r="W731" s="1" t="b">
        <v>1</v>
      </c>
      <c r="X731" s="1" t="b">
        <v>0</v>
      </c>
      <c r="Y731" s="1">
        <v>60000</v>
      </c>
    </row>
    <row r="732" spans="1:25" x14ac:dyDescent="0.35">
      <c r="A732" s="1" t="s">
        <v>1509</v>
      </c>
      <c r="B732" s="1" t="s">
        <v>32</v>
      </c>
      <c r="C732" s="1" t="s">
        <v>194</v>
      </c>
      <c r="D732" s="1" t="s">
        <v>3</v>
      </c>
      <c r="E732" s="1">
        <v>2037</v>
      </c>
      <c r="F732" s="4">
        <v>12000000</v>
      </c>
      <c r="G732" s="4">
        <v>5891</v>
      </c>
      <c r="H732" s="1">
        <v>3</v>
      </c>
      <c r="I732" s="1">
        <v>1</v>
      </c>
      <c r="J732" s="1">
        <v>4</v>
      </c>
      <c r="K732" s="1" t="s">
        <v>34</v>
      </c>
      <c r="L732" s="1" t="s">
        <v>1510</v>
      </c>
      <c r="M732" s="1">
        <v>8</v>
      </c>
      <c r="N732" s="1">
        <v>10</v>
      </c>
      <c r="O732" s="1">
        <v>33171</v>
      </c>
      <c r="P732" s="1">
        <v>3.32</v>
      </c>
      <c r="Q732" s="1" t="s">
        <v>6</v>
      </c>
      <c r="R732" s="3">
        <v>0.41590000000000005</v>
      </c>
      <c r="S732" s="2">
        <v>45908</v>
      </c>
      <c r="T732" s="1">
        <v>189</v>
      </c>
      <c r="U732" s="1" t="s">
        <v>23</v>
      </c>
      <c r="V732" s="1">
        <v>63</v>
      </c>
      <c r="W732" s="1" t="b">
        <v>0</v>
      </c>
      <c r="X732" s="1" t="b">
        <v>1</v>
      </c>
      <c r="Y732" s="1">
        <v>24000</v>
      </c>
    </row>
    <row r="733" spans="1:25" x14ac:dyDescent="0.35">
      <c r="A733" s="1" t="s">
        <v>1511</v>
      </c>
      <c r="B733" s="1" t="s">
        <v>54</v>
      </c>
      <c r="C733" s="1" t="s">
        <v>72</v>
      </c>
      <c r="D733" s="1" t="s">
        <v>3</v>
      </c>
      <c r="E733" s="1">
        <v>2292</v>
      </c>
      <c r="F733" s="4">
        <v>40000000</v>
      </c>
      <c r="G733" s="4">
        <v>17452</v>
      </c>
      <c r="H733" s="1">
        <v>1</v>
      </c>
      <c r="I733" s="1">
        <v>2</v>
      </c>
      <c r="J733" s="1">
        <v>9</v>
      </c>
      <c r="K733" s="1" t="s">
        <v>21</v>
      </c>
      <c r="L733" s="1" t="s">
        <v>1512</v>
      </c>
      <c r="M733" s="1">
        <v>8</v>
      </c>
      <c r="N733" s="1">
        <v>9</v>
      </c>
      <c r="O733" s="1">
        <v>148074</v>
      </c>
      <c r="P733" s="1">
        <v>4.4400000000000004</v>
      </c>
      <c r="Q733" s="1" t="s">
        <v>14</v>
      </c>
      <c r="R733" s="3">
        <v>0.47210000000000002</v>
      </c>
      <c r="S733" s="2">
        <v>45779</v>
      </c>
      <c r="T733" s="1">
        <v>151</v>
      </c>
      <c r="U733" s="1" t="s">
        <v>7</v>
      </c>
      <c r="V733" s="1">
        <v>77</v>
      </c>
      <c r="W733" s="1" t="b">
        <v>1</v>
      </c>
      <c r="X733" s="1" t="b">
        <v>1</v>
      </c>
      <c r="Y733" s="1">
        <v>80000</v>
      </c>
    </row>
    <row r="734" spans="1:25" x14ac:dyDescent="0.35">
      <c r="A734" s="1" t="s">
        <v>1513</v>
      </c>
      <c r="B734" s="1" t="s">
        <v>18</v>
      </c>
      <c r="C734" s="1" t="s">
        <v>19</v>
      </c>
      <c r="D734" s="1" t="s">
        <v>20</v>
      </c>
      <c r="E734" s="1">
        <v>3184</v>
      </c>
      <c r="F734" s="4">
        <v>15000000</v>
      </c>
      <c r="G734" s="4">
        <v>4711</v>
      </c>
      <c r="H734" s="1">
        <v>4</v>
      </c>
      <c r="I734" s="1">
        <v>3</v>
      </c>
      <c r="J734" s="1">
        <v>16</v>
      </c>
      <c r="K734" s="1" t="s">
        <v>4</v>
      </c>
      <c r="L734" s="1" t="s">
        <v>1514</v>
      </c>
      <c r="M734" s="1">
        <v>7</v>
      </c>
      <c r="N734" s="1">
        <v>6</v>
      </c>
      <c r="O734" s="1">
        <v>50024</v>
      </c>
      <c r="P734" s="1">
        <v>4</v>
      </c>
      <c r="Q734" s="1" t="s">
        <v>6</v>
      </c>
      <c r="R734" s="3">
        <v>0.4501</v>
      </c>
      <c r="S734" s="2">
        <v>45974</v>
      </c>
      <c r="T734" s="1">
        <v>69</v>
      </c>
      <c r="U734" s="1" t="s">
        <v>30</v>
      </c>
      <c r="V734" s="1">
        <v>114</v>
      </c>
      <c r="W734" s="1" t="b">
        <v>0</v>
      </c>
      <c r="X734" s="1" t="b">
        <v>1</v>
      </c>
      <c r="Y734" s="1">
        <v>0</v>
      </c>
    </row>
    <row r="735" spans="1:25" x14ac:dyDescent="0.35">
      <c r="A735" s="1" t="s">
        <v>1515</v>
      </c>
      <c r="B735" s="1" t="s">
        <v>9</v>
      </c>
      <c r="C735" s="1" t="s">
        <v>163</v>
      </c>
      <c r="D735" s="1" t="s">
        <v>3</v>
      </c>
      <c r="E735" s="1">
        <v>1593</v>
      </c>
      <c r="F735" s="4">
        <v>50000000</v>
      </c>
      <c r="G735" s="4">
        <v>31387</v>
      </c>
      <c r="H735" s="1">
        <v>2</v>
      </c>
      <c r="I735" s="1">
        <v>1</v>
      </c>
      <c r="J735" s="1">
        <v>29</v>
      </c>
      <c r="K735" s="1" t="s">
        <v>34</v>
      </c>
      <c r="L735" s="1" t="s">
        <v>1516</v>
      </c>
      <c r="M735" s="1">
        <v>4</v>
      </c>
      <c r="N735" s="1">
        <v>5</v>
      </c>
      <c r="O735" s="1">
        <v>198623</v>
      </c>
      <c r="P735" s="1">
        <v>4.7699999999999996</v>
      </c>
      <c r="Q735" s="1" t="s">
        <v>14</v>
      </c>
      <c r="R735" s="3">
        <v>0.48829999999999996</v>
      </c>
      <c r="S735" s="2">
        <v>46031</v>
      </c>
      <c r="T735" s="1">
        <v>53</v>
      </c>
      <c r="U735" s="1" t="s">
        <v>7</v>
      </c>
      <c r="V735" s="1">
        <v>66</v>
      </c>
      <c r="W735" s="1" t="b">
        <v>1</v>
      </c>
      <c r="X735" s="1" t="b">
        <v>1</v>
      </c>
      <c r="Y735" s="1">
        <v>0</v>
      </c>
    </row>
    <row r="736" spans="1:25" x14ac:dyDescent="0.35">
      <c r="A736" s="1" t="s">
        <v>1517</v>
      </c>
      <c r="B736" s="1" t="s">
        <v>32</v>
      </c>
      <c r="C736" s="1" t="s">
        <v>197</v>
      </c>
      <c r="D736" s="1" t="s">
        <v>3</v>
      </c>
      <c r="E736" s="1">
        <v>2629</v>
      </c>
      <c r="F736" s="4">
        <v>12000000</v>
      </c>
      <c r="G736" s="4">
        <v>4564</v>
      </c>
      <c r="H736" s="1">
        <v>1</v>
      </c>
      <c r="I736" s="1">
        <v>1</v>
      </c>
      <c r="J736" s="1">
        <v>7</v>
      </c>
      <c r="K736" s="1" t="s">
        <v>4</v>
      </c>
      <c r="L736" s="1" t="s">
        <v>1518</v>
      </c>
      <c r="M736" s="1">
        <v>7</v>
      </c>
      <c r="N736" s="1">
        <v>4</v>
      </c>
      <c r="O736" s="1">
        <v>38132</v>
      </c>
      <c r="P736" s="1">
        <v>3.81</v>
      </c>
      <c r="Q736" s="1" t="s">
        <v>6</v>
      </c>
      <c r="R736" s="3">
        <v>0.44069999999999998</v>
      </c>
      <c r="S736" s="2">
        <v>46121</v>
      </c>
      <c r="T736" s="1">
        <v>255</v>
      </c>
      <c r="U736" s="1" t="s">
        <v>30</v>
      </c>
      <c r="V736" s="1">
        <v>159</v>
      </c>
      <c r="W736" s="1" t="b">
        <v>0</v>
      </c>
      <c r="X736" s="1" t="b">
        <v>0</v>
      </c>
      <c r="Y736" s="1">
        <v>24000</v>
      </c>
    </row>
    <row r="737" spans="1:25" x14ac:dyDescent="0.35">
      <c r="A737" s="1" t="s">
        <v>1519</v>
      </c>
      <c r="B737" s="1" t="s">
        <v>18</v>
      </c>
      <c r="C737" s="1" t="s">
        <v>166</v>
      </c>
      <c r="D737" s="1" t="s">
        <v>11</v>
      </c>
      <c r="E737" s="1">
        <v>532</v>
      </c>
      <c r="F737" s="4">
        <v>15000000</v>
      </c>
      <c r="G737" s="4">
        <v>28195</v>
      </c>
      <c r="H737" s="1">
        <v>0</v>
      </c>
      <c r="I737" s="1">
        <v>1</v>
      </c>
      <c r="J737" s="1">
        <v>29</v>
      </c>
      <c r="K737" s="1" t="s">
        <v>58</v>
      </c>
      <c r="L737" s="1" t="s">
        <v>1520</v>
      </c>
      <c r="M737" s="1">
        <v>4</v>
      </c>
      <c r="N737" s="1">
        <v>8</v>
      </c>
      <c r="O737" s="1">
        <v>47875</v>
      </c>
      <c r="P737" s="1">
        <v>3.83</v>
      </c>
      <c r="Q737" s="1" t="s">
        <v>6</v>
      </c>
      <c r="R737" s="3">
        <v>0.4415</v>
      </c>
      <c r="S737" s="2">
        <v>45594</v>
      </c>
      <c r="T737" s="1">
        <v>7</v>
      </c>
      <c r="U737" s="1" t="s">
        <v>7</v>
      </c>
      <c r="V737" s="1">
        <v>164</v>
      </c>
      <c r="W737" s="1" t="b">
        <v>1</v>
      </c>
      <c r="X737" s="1" t="b">
        <v>0</v>
      </c>
      <c r="Y737" s="1">
        <v>0</v>
      </c>
    </row>
    <row r="738" spans="1:25" x14ac:dyDescent="0.35">
      <c r="A738" s="1" t="s">
        <v>1521</v>
      </c>
      <c r="B738" s="1" t="s">
        <v>18</v>
      </c>
      <c r="C738" s="1" t="s">
        <v>243</v>
      </c>
      <c r="D738" s="1" t="s">
        <v>11</v>
      </c>
      <c r="E738" s="1">
        <v>385</v>
      </c>
      <c r="F738" s="4">
        <v>15000000</v>
      </c>
      <c r="G738" s="4">
        <v>38961</v>
      </c>
      <c r="H738" s="1">
        <v>1</v>
      </c>
      <c r="I738" s="1">
        <v>1</v>
      </c>
      <c r="J738" s="1">
        <v>30</v>
      </c>
      <c r="K738" s="1" t="s">
        <v>28</v>
      </c>
      <c r="L738" s="1" t="s">
        <v>1522</v>
      </c>
      <c r="M738" s="1">
        <v>8</v>
      </c>
      <c r="N738" s="1">
        <v>9</v>
      </c>
      <c r="O738" s="1">
        <v>52592</v>
      </c>
      <c r="P738" s="1">
        <v>4.21</v>
      </c>
      <c r="Q738" s="1" t="s">
        <v>6</v>
      </c>
      <c r="R738" s="3">
        <v>0.46039999999999998</v>
      </c>
      <c r="S738" s="2">
        <v>46030</v>
      </c>
      <c r="T738" s="1">
        <v>147</v>
      </c>
      <c r="U738" s="1" t="s">
        <v>23</v>
      </c>
      <c r="V738" s="1">
        <v>177</v>
      </c>
      <c r="W738" s="1" t="b">
        <v>1</v>
      </c>
      <c r="X738" s="1" t="b">
        <v>0</v>
      </c>
      <c r="Y738" s="1">
        <v>30000</v>
      </c>
    </row>
    <row r="739" spans="1:25" x14ac:dyDescent="0.35">
      <c r="A739" s="1" t="s">
        <v>1523</v>
      </c>
      <c r="B739" s="1" t="s">
        <v>25</v>
      </c>
      <c r="C739" s="1" t="s">
        <v>94</v>
      </c>
      <c r="D739" s="1" t="s">
        <v>38</v>
      </c>
      <c r="E739" s="1">
        <v>6910</v>
      </c>
      <c r="F739" s="4">
        <v>30000000</v>
      </c>
      <c r="G739" s="4">
        <v>4341</v>
      </c>
      <c r="H739" s="1">
        <v>5</v>
      </c>
      <c r="I739" s="1">
        <v>2</v>
      </c>
      <c r="J739" s="1">
        <v>18</v>
      </c>
      <c r="K739" s="1" t="s">
        <v>61</v>
      </c>
      <c r="L739" s="1" t="s">
        <v>1524</v>
      </c>
      <c r="M739" s="1">
        <v>4</v>
      </c>
      <c r="N739" s="1">
        <v>5</v>
      </c>
      <c r="O739" s="1">
        <v>105328</v>
      </c>
      <c r="P739" s="1">
        <v>4.21</v>
      </c>
      <c r="Q739" s="1" t="s">
        <v>14</v>
      </c>
      <c r="R739" s="3">
        <v>0.4607</v>
      </c>
      <c r="S739" s="2">
        <v>45639</v>
      </c>
      <c r="T739" s="1">
        <v>141</v>
      </c>
      <c r="U739" s="1" t="s">
        <v>7</v>
      </c>
      <c r="V739" s="1">
        <v>145</v>
      </c>
      <c r="W739" s="1" t="b">
        <v>0</v>
      </c>
      <c r="X739" s="1" t="b">
        <v>0</v>
      </c>
      <c r="Y739" s="1">
        <v>0</v>
      </c>
    </row>
    <row r="740" spans="1:25" x14ac:dyDescent="0.35">
      <c r="A740" s="1" t="s">
        <v>1525</v>
      </c>
      <c r="B740" s="1" t="s">
        <v>9</v>
      </c>
      <c r="C740" s="1" t="s">
        <v>189</v>
      </c>
      <c r="D740" s="1" t="s">
        <v>20</v>
      </c>
      <c r="E740" s="1">
        <v>1649</v>
      </c>
      <c r="F740" s="4">
        <v>50000000</v>
      </c>
      <c r="G740" s="4">
        <v>30321</v>
      </c>
      <c r="H740" s="1">
        <v>4</v>
      </c>
      <c r="I740" s="1">
        <v>2</v>
      </c>
      <c r="J740" s="1">
        <v>16</v>
      </c>
      <c r="K740" s="1" t="s">
        <v>42</v>
      </c>
      <c r="L740" s="1" t="s">
        <v>1526</v>
      </c>
      <c r="M740" s="1">
        <v>7</v>
      </c>
      <c r="N740" s="1">
        <v>4</v>
      </c>
      <c r="O740" s="1">
        <v>160722</v>
      </c>
      <c r="P740" s="1">
        <v>3.86</v>
      </c>
      <c r="Q740" s="1" t="s">
        <v>14</v>
      </c>
      <c r="R740" s="3">
        <v>0.44290000000000002</v>
      </c>
      <c r="S740" s="2">
        <v>46109</v>
      </c>
      <c r="T740" s="1">
        <v>66</v>
      </c>
      <c r="U740" s="1" t="s">
        <v>7</v>
      </c>
      <c r="V740" s="1">
        <v>59</v>
      </c>
      <c r="W740" s="1" t="b">
        <v>0</v>
      </c>
      <c r="X740" s="1" t="b">
        <v>1</v>
      </c>
      <c r="Y740" s="1">
        <v>100000</v>
      </c>
    </row>
    <row r="741" spans="1:25" x14ac:dyDescent="0.35">
      <c r="A741" s="1" t="s">
        <v>1527</v>
      </c>
      <c r="B741" s="1" t="s">
        <v>25</v>
      </c>
      <c r="C741" s="1" t="s">
        <v>314</v>
      </c>
      <c r="D741" s="1" t="s">
        <v>38</v>
      </c>
      <c r="E741" s="1">
        <v>4664</v>
      </c>
      <c r="F741" s="4">
        <v>30000000</v>
      </c>
      <c r="G741" s="4">
        <v>6432</v>
      </c>
      <c r="H741" s="1">
        <v>5</v>
      </c>
      <c r="I741" s="1">
        <v>3</v>
      </c>
      <c r="J741" s="1">
        <v>12</v>
      </c>
      <c r="K741" s="1" t="s">
        <v>12</v>
      </c>
      <c r="L741" s="1" t="s">
        <v>1528</v>
      </c>
      <c r="M741" s="1">
        <v>7</v>
      </c>
      <c r="N741" s="1">
        <v>6</v>
      </c>
      <c r="O741" s="1">
        <v>85642</v>
      </c>
      <c r="P741" s="1">
        <v>3.43</v>
      </c>
      <c r="Q741" s="1" t="s">
        <v>14</v>
      </c>
      <c r="R741" s="3">
        <v>0.42130000000000001</v>
      </c>
      <c r="S741" s="2">
        <v>45977</v>
      </c>
      <c r="T741" s="1">
        <v>183</v>
      </c>
      <c r="U741" s="1" t="s">
        <v>30</v>
      </c>
      <c r="V741" s="1">
        <v>117</v>
      </c>
      <c r="W741" s="1" t="b">
        <v>1</v>
      </c>
      <c r="X741" s="1" t="b">
        <v>0</v>
      </c>
      <c r="Y741" s="1">
        <v>60000</v>
      </c>
    </row>
    <row r="742" spans="1:25" x14ac:dyDescent="0.35">
      <c r="A742" s="1" t="s">
        <v>1529</v>
      </c>
      <c r="B742" s="1" t="s">
        <v>18</v>
      </c>
      <c r="C742" s="1" t="s">
        <v>166</v>
      </c>
      <c r="D742" s="1" t="s">
        <v>3</v>
      </c>
      <c r="E742" s="1">
        <v>2388</v>
      </c>
      <c r="F742" s="4">
        <v>15000000</v>
      </c>
      <c r="G742" s="4">
        <v>6281</v>
      </c>
      <c r="H742" s="1">
        <v>4</v>
      </c>
      <c r="I742" s="1">
        <v>3</v>
      </c>
      <c r="J742" s="1">
        <v>24</v>
      </c>
      <c r="K742" s="1" t="s">
        <v>4</v>
      </c>
      <c r="L742" s="1" t="s">
        <v>1530</v>
      </c>
      <c r="M742" s="1">
        <v>7</v>
      </c>
      <c r="N742" s="1">
        <v>10</v>
      </c>
      <c r="O742" s="1">
        <v>51363</v>
      </c>
      <c r="P742" s="1">
        <v>4.1100000000000003</v>
      </c>
      <c r="Q742" s="1" t="s">
        <v>6</v>
      </c>
      <c r="R742" s="3">
        <v>0.45549999999999996</v>
      </c>
      <c r="S742" s="2">
        <v>45616</v>
      </c>
      <c r="T742" s="1">
        <v>176</v>
      </c>
      <c r="U742" s="1" t="s">
        <v>23</v>
      </c>
      <c r="V742" s="1">
        <v>79</v>
      </c>
      <c r="W742" s="1" t="b">
        <v>0</v>
      </c>
      <c r="X742" s="1" t="b">
        <v>1</v>
      </c>
      <c r="Y742" s="1">
        <v>0</v>
      </c>
    </row>
    <row r="743" spans="1:25" x14ac:dyDescent="0.35">
      <c r="A743" s="1" t="s">
        <v>1531</v>
      </c>
      <c r="B743" s="1" t="s">
        <v>1</v>
      </c>
      <c r="C743" s="1" t="s">
        <v>51</v>
      </c>
      <c r="D743" s="1" t="s">
        <v>38</v>
      </c>
      <c r="E743" s="1">
        <v>4118</v>
      </c>
      <c r="F743" s="4">
        <v>10000000</v>
      </c>
      <c r="G743" s="4">
        <v>2428</v>
      </c>
      <c r="H743" s="1">
        <v>5</v>
      </c>
      <c r="I743" s="1">
        <v>2</v>
      </c>
      <c r="J743" s="1">
        <v>6</v>
      </c>
      <c r="K743" s="1" t="s">
        <v>12</v>
      </c>
      <c r="L743" s="1" t="s">
        <v>1532</v>
      </c>
      <c r="M743" s="1">
        <v>4</v>
      </c>
      <c r="N743" s="1">
        <v>8</v>
      </c>
      <c r="O743" s="1">
        <v>36566</v>
      </c>
      <c r="P743" s="1">
        <v>4.3899999999999997</v>
      </c>
      <c r="Q743" s="1" t="s">
        <v>6</v>
      </c>
      <c r="R743" s="3">
        <v>0.46939999999999998</v>
      </c>
      <c r="S743" s="2">
        <v>45536</v>
      </c>
      <c r="T743" s="1">
        <v>290</v>
      </c>
      <c r="U743" s="1" t="s">
        <v>30</v>
      </c>
      <c r="V743" s="1">
        <v>124</v>
      </c>
      <c r="W743" s="1" t="b">
        <v>1</v>
      </c>
      <c r="X743" s="1" t="b">
        <v>0</v>
      </c>
      <c r="Y743" s="1">
        <v>0</v>
      </c>
    </row>
    <row r="744" spans="1:25" x14ac:dyDescent="0.35">
      <c r="A744" s="1" t="s">
        <v>1533</v>
      </c>
      <c r="B744" s="1" t="s">
        <v>32</v>
      </c>
      <c r="C744" s="1" t="s">
        <v>41</v>
      </c>
      <c r="D744" s="1" t="s">
        <v>3</v>
      </c>
      <c r="E744" s="1">
        <v>2255</v>
      </c>
      <c r="F744" s="4">
        <v>12000000</v>
      </c>
      <c r="G744" s="4">
        <v>5321</v>
      </c>
      <c r="H744" s="1">
        <v>3</v>
      </c>
      <c r="I744" s="1">
        <v>1</v>
      </c>
      <c r="J744" s="1">
        <v>12</v>
      </c>
      <c r="K744" s="1" t="s">
        <v>58</v>
      </c>
      <c r="L744" s="1" t="s">
        <v>1534</v>
      </c>
      <c r="M744" s="1">
        <v>7</v>
      </c>
      <c r="N744" s="1">
        <v>8</v>
      </c>
      <c r="O744" s="1">
        <v>35910</v>
      </c>
      <c r="P744" s="1">
        <v>3.59</v>
      </c>
      <c r="Q744" s="1" t="s">
        <v>6</v>
      </c>
      <c r="R744" s="3">
        <v>0.42950000000000005</v>
      </c>
      <c r="S744" s="2">
        <v>45608</v>
      </c>
      <c r="T744" s="1">
        <v>327</v>
      </c>
      <c r="U744" s="1" t="s">
        <v>30</v>
      </c>
      <c r="V744" s="1">
        <v>128</v>
      </c>
      <c r="W744" s="1" t="b">
        <v>1</v>
      </c>
      <c r="X744" s="1" t="b">
        <v>1</v>
      </c>
      <c r="Y744" s="1">
        <v>0</v>
      </c>
    </row>
    <row r="745" spans="1:25" x14ac:dyDescent="0.35">
      <c r="A745" s="1" t="s">
        <v>1535</v>
      </c>
      <c r="B745" s="1" t="s">
        <v>32</v>
      </c>
      <c r="C745" s="1" t="s">
        <v>33</v>
      </c>
      <c r="D745" s="1" t="s">
        <v>20</v>
      </c>
      <c r="E745" s="1">
        <v>1587</v>
      </c>
      <c r="F745" s="4">
        <v>12000000</v>
      </c>
      <c r="G745" s="4">
        <v>7561</v>
      </c>
      <c r="H745" s="1">
        <v>4</v>
      </c>
      <c r="I745" s="1">
        <v>2</v>
      </c>
      <c r="J745" s="1">
        <v>30</v>
      </c>
      <c r="K745" s="1" t="s">
        <v>4</v>
      </c>
      <c r="L745" s="1" t="s">
        <v>1536</v>
      </c>
      <c r="M745" s="1">
        <v>4</v>
      </c>
      <c r="N745" s="1">
        <v>8</v>
      </c>
      <c r="O745" s="1">
        <v>32825</v>
      </c>
      <c r="P745" s="1">
        <v>3.28</v>
      </c>
      <c r="Q745" s="1" t="s">
        <v>6</v>
      </c>
      <c r="R745" s="3">
        <v>0.41409999999999997</v>
      </c>
      <c r="S745" s="2">
        <v>45716</v>
      </c>
      <c r="T745" s="1">
        <v>209</v>
      </c>
      <c r="U745" s="1" t="s">
        <v>7</v>
      </c>
      <c r="V745" s="1">
        <v>44</v>
      </c>
      <c r="W745" s="1" t="b">
        <v>1</v>
      </c>
      <c r="X745" s="1" t="b">
        <v>0</v>
      </c>
      <c r="Y745" s="1">
        <v>24000</v>
      </c>
    </row>
    <row r="746" spans="1:25" x14ac:dyDescent="0.35">
      <c r="A746" s="1" t="s">
        <v>1537</v>
      </c>
      <c r="B746" s="1" t="s">
        <v>18</v>
      </c>
      <c r="C746" s="1" t="s">
        <v>243</v>
      </c>
      <c r="D746" s="1" t="s">
        <v>3</v>
      </c>
      <c r="E746" s="1">
        <v>2272</v>
      </c>
      <c r="F746" s="4">
        <v>15000000</v>
      </c>
      <c r="G746" s="4">
        <v>6602</v>
      </c>
      <c r="H746" s="1">
        <v>4</v>
      </c>
      <c r="I746" s="1">
        <v>2</v>
      </c>
      <c r="J746" s="1">
        <v>20</v>
      </c>
      <c r="K746" s="1" t="s">
        <v>4</v>
      </c>
      <c r="L746" s="1" t="s">
        <v>1538</v>
      </c>
      <c r="M746" s="1">
        <v>6</v>
      </c>
      <c r="N746" s="1">
        <v>8</v>
      </c>
      <c r="O746" s="1">
        <v>54063</v>
      </c>
      <c r="P746" s="1">
        <v>4.33</v>
      </c>
      <c r="Q746" s="1" t="s">
        <v>6</v>
      </c>
      <c r="R746" s="3">
        <v>0.46630000000000005</v>
      </c>
      <c r="S746" s="2">
        <v>45786</v>
      </c>
      <c r="T746" s="1">
        <v>337</v>
      </c>
      <c r="U746" s="1" t="s">
        <v>30</v>
      </c>
      <c r="V746" s="1">
        <v>65</v>
      </c>
      <c r="W746" s="1" t="b">
        <v>1</v>
      </c>
      <c r="X746" s="1" t="b">
        <v>0</v>
      </c>
      <c r="Y746" s="1">
        <v>30000</v>
      </c>
    </row>
    <row r="747" spans="1:25" x14ac:dyDescent="0.35">
      <c r="A747" s="1" t="s">
        <v>1539</v>
      </c>
      <c r="B747" s="1" t="s">
        <v>54</v>
      </c>
      <c r="C747" s="1" t="s">
        <v>89</v>
      </c>
      <c r="D747" s="1" t="s">
        <v>3</v>
      </c>
      <c r="E747" s="1">
        <v>983</v>
      </c>
      <c r="F747" s="4">
        <v>40000000</v>
      </c>
      <c r="G747" s="4">
        <v>40691</v>
      </c>
      <c r="H747" s="1">
        <v>4</v>
      </c>
      <c r="I747" s="1">
        <v>3</v>
      </c>
      <c r="J747" s="1">
        <v>0</v>
      </c>
      <c r="K747" s="1" t="s">
        <v>34</v>
      </c>
      <c r="L747" s="1" t="s">
        <v>1540</v>
      </c>
      <c r="M747" s="1">
        <v>7</v>
      </c>
      <c r="N747" s="1">
        <v>7</v>
      </c>
      <c r="O747" s="1">
        <v>136707</v>
      </c>
      <c r="P747" s="1">
        <v>4.0999999999999996</v>
      </c>
      <c r="Q747" s="1" t="s">
        <v>14</v>
      </c>
      <c r="R747" s="3">
        <v>0.4551</v>
      </c>
      <c r="S747" s="2">
        <v>45570</v>
      </c>
      <c r="T747" s="1">
        <v>111</v>
      </c>
      <c r="U747" s="1" t="s">
        <v>7</v>
      </c>
      <c r="V747" s="1">
        <v>48</v>
      </c>
      <c r="W747" s="1" t="b">
        <v>1</v>
      </c>
      <c r="X747" s="1" t="b">
        <v>0</v>
      </c>
      <c r="Y747" s="1">
        <v>0</v>
      </c>
    </row>
    <row r="748" spans="1:25" x14ac:dyDescent="0.35">
      <c r="A748" s="1" t="s">
        <v>1541</v>
      </c>
      <c r="B748" s="1" t="s">
        <v>9</v>
      </c>
      <c r="C748" s="1" t="s">
        <v>142</v>
      </c>
      <c r="D748" s="1" t="s">
        <v>27</v>
      </c>
      <c r="E748" s="1">
        <v>3558</v>
      </c>
      <c r="F748" s="4">
        <v>50000000</v>
      </c>
      <c r="G748" s="4">
        <v>14052</v>
      </c>
      <c r="H748" s="1">
        <v>5</v>
      </c>
      <c r="I748" s="1">
        <v>3</v>
      </c>
      <c r="J748" s="1">
        <v>29</v>
      </c>
      <c r="K748" s="1" t="s">
        <v>21</v>
      </c>
      <c r="L748" s="1" t="s">
        <v>1542</v>
      </c>
      <c r="M748" s="1">
        <v>3</v>
      </c>
      <c r="N748" s="1">
        <v>6</v>
      </c>
      <c r="O748" s="1">
        <v>145050</v>
      </c>
      <c r="P748" s="1">
        <v>3.48</v>
      </c>
      <c r="Q748" s="1" t="s">
        <v>14</v>
      </c>
      <c r="R748" s="3">
        <v>0.42409999999999998</v>
      </c>
      <c r="S748" s="2">
        <v>45838</v>
      </c>
      <c r="T748" s="1">
        <v>16</v>
      </c>
      <c r="U748" s="1" t="s">
        <v>30</v>
      </c>
      <c r="V748" s="1">
        <v>40</v>
      </c>
      <c r="W748" s="1" t="b">
        <v>1</v>
      </c>
      <c r="X748" s="1" t="b">
        <v>0</v>
      </c>
      <c r="Y748" s="1">
        <v>100000</v>
      </c>
    </row>
    <row r="749" spans="1:25" x14ac:dyDescent="0.35">
      <c r="A749" s="1" t="s">
        <v>1543</v>
      </c>
      <c r="B749" s="1" t="s">
        <v>9</v>
      </c>
      <c r="C749" s="1" t="s">
        <v>189</v>
      </c>
      <c r="D749" s="1" t="s">
        <v>38</v>
      </c>
      <c r="E749" s="1">
        <v>6557</v>
      </c>
      <c r="F749" s="4">
        <v>50000000</v>
      </c>
      <c r="G749" s="4">
        <v>7625</v>
      </c>
      <c r="H749" s="1">
        <v>6</v>
      </c>
      <c r="I749" s="1">
        <v>4</v>
      </c>
      <c r="J749" s="1">
        <v>29</v>
      </c>
      <c r="K749" s="1" t="s">
        <v>4</v>
      </c>
      <c r="L749" s="1" t="s">
        <v>1544</v>
      </c>
      <c r="M749" s="1">
        <v>6</v>
      </c>
      <c r="N749" s="1">
        <v>10</v>
      </c>
      <c r="O749" s="1">
        <v>180692</v>
      </c>
      <c r="P749" s="1">
        <v>4.34</v>
      </c>
      <c r="Q749" s="1" t="s">
        <v>14</v>
      </c>
      <c r="R749" s="3">
        <v>0.46679999999999999</v>
      </c>
      <c r="S749" s="2">
        <v>45530</v>
      </c>
      <c r="T749" s="1">
        <v>25</v>
      </c>
      <c r="U749" s="1" t="s">
        <v>7</v>
      </c>
      <c r="V749" s="1">
        <v>36</v>
      </c>
      <c r="W749" s="1" t="b">
        <v>1</v>
      </c>
      <c r="X749" s="1" t="b">
        <v>0</v>
      </c>
      <c r="Y749" s="1">
        <v>100000</v>
      </c>
    </row>
    <row r="750" spans="1:25" x14ac:dyDescent="0.35">
      <c r="A750" s="1" t="s">
        <v>1545</v>
      </c>
      <c r="B750" s="1" t="s">
        <v>32</v>
      </c>
      <c r="C750" s="1" t="s">
        <v>194</v>
      </c>
      <c r="D750" s="1" t="s">
        <v>20</v>
      </c>
      <c r="E750" s="1">
        <v>1828</v>
      </c>
      <c r="F750" s="4">
        <v>12000000</v>
      </c>
      <c r="G750" s="4">
        <v>6564</v>
      </c>
      <c r="H750" s="1">
        <v>4</v>
      </c>
      <c r="I750" s="1">
        <v>2</v>
      </c>
      <c r="J750" s="1">
        <v>27</v>
      </c>
      <c r="K750" s="1" t="s">
        <v>42</v>
      </c>
      <c r="L750" s="1" t="s">
        <v>1546</v>
      </c>
      <c r="M750" s="1">
        <v>8</v>
      </c>
      <c r="N750" s="1">
        <v>5</v>
      </c>
      <c r="O750" s="1">
        <v>42539</v>
      </c>
      <c r="P750" s="1">
        <v>4.25</v>
      </c>
      <c r="Q750" s="1" t="s">
        <v>6</v>
      </c>
      <c r="R750" s="3">
        <v>0.46270000000000006</v>
      </c>
      <c r="S750" s="2">
        <v>46105</v>
      </c>
      <c r="T750" s="1">
        <v>139</v>
      </c>
      <c r="U750" s="1" t="s">
        <v>30</v>
      </c>
      <c r="V750" s="1">
        <v>101</v>
      </c>
      <c r="W750" s="1" t="b">
        <v>1</v>
      </c>
      <c r="X750" s="1" t="b">
        <v>0</v>
      </c>
      <c r="Y750" s="1">
        <v>0</v>
      </c>
    </row>
    <row r="751" spans="1:25" x14ac:dyDescent="0.35">
      <c r="A751" s="1" t="s">
        <v>1547</v>
      </c>
      <c r="B751" s="1" t="s">
        <v>18</v>
      </c>
      <c r="C751" s="1" t="s">
        <v>166</v>
      </c>
      <c r="D751" s="1" t="s">
        <v>20</v>
      </c>
      <c r="E751" s="1">
        <v>3100</v>
      </c>
      <c r="F751" s="4">
        <v>15000000</v>
      </c>
      <c r="G751" s="4">
        <v>4838</v>
      </c>
      <c r="H751" s="1">
        <v>3</v>
      </c>
      <c r="I751" s="1">
        <v>1</v>
      </c>
      <c r="J751" s="1">
        <v>22</v>
      </c>
      <c r="K751" s="1" t="s">
        <v>61</v>
      </c>
      <c r="L751" s="1" t="s">
        <v>1548</v>
      </c>
      <c r="M751" s="1">
        <v>6</v>
      </c>
      <c r="N751" s="1">
        <v>7</v>
      </c>
      <c r="O751" s="1">
        <v>51386</v>
      </c>
      <c r="P751" s="1">
        <v>4.1100000000000003</v>
      </c>
      <c r="Q751" s="1" t="s">
        <v>6</v>
      </c>
      <c r="R751" s="3">
        <v>0.45549999999999996</v>
      </c>
      <c r="S751" s="2">
        <v>46062</v>
      </c>
      <c r="T751" s="1">
        <v>197</v>
      </c>
      <c r="U751" s="1" t="s">
        <v>30</v>
      </c>
      <c r="V751" s="1">
        <v>151</v>
      </c>
      <c r="W751" s="1" t="b">
        <v>1</v>
      </c>
      <c r="X751" s="1" t="b">
        <v>1</v>
      </c>
      <c r="Y751" s="1">
        <v>30000</v>
      </c>
    </row>
    <row r="752" spans="1:25" x14ac:dyDescent="0.35">
      <c r="A752" s="1" t="s">
        <v>1549</v>
      </c>
      <c r="B752" s="1" t="s">
        <v>54</v>
      </c>
      <c r="C752" s="1" t="s">
        <v>64</v>
      </c>
      <c r="D752" s="1" t="s">
        <v>11</v>
      </c>
      <c r="E752" s="1">
        <v>518</v>
      </c>
      <c r="F752" s="4">
        <v>40000000</v>
      </c>
      <c r="G752" s="4">
        <v>77220</v>
      </c>
      <c r="H752" s="1">
        <v>1</v>
      </c>
      <c r="I752" s="1">
        <v>1</v>
      </c>
      <c r="J752" s="1">
        <v>6</v>
      </c>
      <c r="K752" s="1" t="s">
        <v>61</v>
      </c>
      <c r="L752" s="1" t="s">
        <v>1550</v>
      </c>
      <c r="M752" s="1">
        <v>4</v>
      </c>
      <c r="N752" s="1">
        <v>7</v>
      </c>
      <c r="O752" s="1">
        <v>120946</v>
      </c>
      <c r="P752" s="1">
        <v>3.63</v>
      </c>
      <c r="Q752" s="1" t="s">
        <v>14</v>
      </c>
      <c r="R752" s="3">
        <v>0.43140000000000001</v>
      </c>
      <c r="S752" s="2">
        <v>45981</v>
      </c>
      <c r="T752" s="1">
        <v>240</v>
      </c>
      <c r="U752" s="1" t="s">
        <v>7</v>
      </c>
      <c r="V752" s="1">
        <v>57</v>
      </c>
      <c r="W752" s="1" t="b">
        <v>1</v>
      </c>
      <c r="X752" s="1" t="b">
        <v>0</v>
      </c>
      <c r="Y752" s="1">
        <v>80000</v>
      </c>
    </row>
    <row r="753" spans="1:25" x14ac:dyDescent="0.35">
      <c r="A753" s="1" t="s">
        <v>1551</v>
      </c>
      <c r="B753" s="1" t="s">
        <v>25</v>
      </c>
      <c r="C753" s="1" t="s">
        <v>82</v>
      </c>
      <c r="D753" s="1" t="s">
        <v>3</v>
      </c>
      <c r="E753" s="1">
        <v>721</v>
      </c>
      <c r="F753" s="4">
        <v>30000000</v>
      </c>
      <c r="G753" s="4">
        <v>41608</v>
      </c>
      <c r="H753" s="1">
        <v>2</v>
      </c>
      <c r="I753" s="1">
        <v>1</v>
      </c>
      <c r="J753" s="1">
        <v>12</v>
      </c>
      <c r="K753" s="1" t="s">
        <v>12</v>
      </c>
      <c r="L753" s="1" t="s">
        <v>620</v>
      </c>
      <c r="M753" s="1">
        <v>3</v>
      </c>
      <c r="N753" s="1">
        <v>7</v>
      </c>
      <c r="O753" s="1">
        <v>99787</v>
      </c>
      <c r="P753" s="1">
        <v>3.99</v>
      </c>
      <c r="Q753" s="1" t="s">
        <v>14</v>
      </c>
      <c r="R753" s="3">
        <v>0.4496</v>
      </c>
      <c r="S753" s="2">
        <v>45569</v>
      </c>
      <c r="T753" s="1">
        <v>98</v>
      </c>
      <c r="U753" s="1" t="s">
        <v>23</v>
      </c>
      <c r="V753" s="1">
        <v>61</v>
      </c>
      <c r="W753" s="1" t="b">
        <v>1</v>
      </c>
      <c r="X753" s="1" t="b">
        <v>0</v>
      </c>
      <c r="Y753" s="1">
        <v>60000</v>
      </c>
    </row>
    <row r="754" spans="1:25" x14ac:dyDescent="0.35">
      <c r="A754" s="1" t="s">
        <v>1552</v>
      </c>
      <c r="B754" s="1" t="s">
        <v>1</v>
      </c>
      <c r="C754" s="1" t="s">
        <v>51</v>
      </c>
      <c r="D754" s="1" t="s">
        <v>20</v>
      </c>
      <c r="E754" s="1">
        <v>2757</v>
      </c>
      <c r="F754" s="4">
        <v>10000000</v>
      </c>
      <c r="G754" s="4">
        <v>3627</v>
      </c>
      <c r="H754" s="1">
        <v>4</v>
      </c>
      <c r="I754" s="1">
        <v>2</v>
      </c>
      <c r="J754" s="1">
        <v>23</v>
      </c>
      <c r="K754" s="1" t="s">
        <v>21</v>
      </c>
      <c r="L754" s="1" t="s">
        <v>1553</v>
      </c>
      <c r="M754" s="1">
        <v>4</v>
      </c>
      <c r="N754" s="1">
        <v>6</v>
      </c>
      <c r="O754" s="1">
        <v>25716</v>
      </c>
      <c r="P754" s="1">
        <v>3.09</v>
      </c>
      <c r="Q754" s="1" t="s">
        <v>6</v>
      </c>
      <c r="R754" s="3">
        <v>0.40429999999999999</v>
      </c>
      <c r="S754" s="2">
        <v>46060</v>
      </c>
      <c r="T754" s="1">
        <v>122</v>
      </c>
      <c r="U754" s="1" t="s">
        <v>7</v>
      </c>
      <c r="V754" s="1">
        <v>43</v>
      </c>
      <c r="W754" s="1" t="b">
        <v>0</v>
      </c>
      <c r="X754" s="1" t="b">
        <v>1</v>
      </c>
      <c r="Y754" s="1">
        <v>0</v>
      </c>
    </row>
    <row r="755" spans="1:25" x14ac:dyDescent="0.35">
      <c r="A755" s="1" t="s">
        <v>1554</v>
      </c>
      <c r="B755" s="1" t="s">
        <v>9</v>
      </c>
      <c r="C755" s="1" t="s">
        <v>114</v>
      </c>
      <c r="D755" s="1" t="s">
        <v>11</v>
      </c>
      <c r="E755" s="1">
        <v>523</v>
      </c>
      <c r="F755" s="4">
        <v>50000000</v>
      </c>
      <c r="G755" s="4">
        <v>95602</v>
      </c>
      <c r="H755" s="1">
        <v>0</v>
      </c>
      <c r="I755" s="1">
        <v>1</v>
      </c>
      <c r="J755" s="1">
        <v>28</v>
      </c>
      <c r="K755" s="1" t="s">
        <v>61</v>
      </c>
      <c r="L755" s="1" t="s">
        <v>1555</v>
      </c>
      <c r="M755" s="1">
        <v>6</v>
      </c>
      <c r="N755" s="1">
        <v>5</v>
      </c>
      <c r="O755" s="1">
        <v>198181</v>
      </c>
      <c r="P755" s="1">
        <v>4.76</v>
      </c>
      <c r="Q755" s="1" t="s">
        <v>14</v>
      </c>
      <c r="R755" s="3">
        <v>0.48780000000000001</v>
      </c>
      <c r="S755" s="2">
        <v>45553</v>
      </c>
      <c r="T755" s="1">
        <v>322</v>
      </c>
      <c r="U755" s="1" t="s">
        <v>7</v>
      </c>
      <c r="V755" s="1">
        <v>56</v>
      </c>
      <c r="W755" s="1" t="b">
        <v>1</v>
      </c>
      <c r="X755" s="1" t="b">
        <v>0</v>
      </c>
      <c r="Y755" s="1">
        <v>0</v>
      </c>
    </row>
    <row r="756" spans="1:25" x14ac:dyDescent="0.35">
      <c r="A756" s="1" t="s">
        <v>1556</v>
      </c>
      <c r="B756" s="1" t="s">
        <v>25</v>
      </c>
      <c r="C756" s="1" t="s">
        <v>37</v>
      </c>
      <c r="D756" s="1" t="s">
        <v>38</v>
      </c>
      <c r="E756" s="1">
        <v>5786</v>
      </c>
      <c r="F756" s="4">
        <v>30000000</v>
      </c>
      <c r="G756" s="4">
        <v>5184</v>
      </c>
      <c r="H756" s="1">
        <v>6</v>
      </c>
      <c r="I756" s="1">
        <v>4</v>
      </c>
      <c r="J756" s="1">
        <v>25</v>
      </c>
      <c r="K756" s="1" t="s">
        <v>61</v>
      </c>
      <c r="L756" s="1" t="s">
        <v>1557</v>
      </c>
      <c r="M756" s="1">
        <v>8</v>
      </c>
      <c r="N756" s="1">
        <v>5</v>
      </c>
      <c r="O756" s="1">
        <v>124795</v>
      </c>
      <c r="P756" s="1">
        <v>4.99</v>
      </c>
      <c r="Q756" s="1" t="s">
        <v>14</v>
      </c>
      <c r="R756" s="3">
        <v>0.49959999999999999</v>
      </c>
      <c r="S756" s="2">
        <v>45738</v>
      </c>
      <c r="T756" s="1">
        <v>231</v>
      </c>
      <c r="U756" s="1" t="s">
        <v>7</v>
      </c>
      <c r="V756" s="1">
        <v>176</v>
      </c>
      <c r="W756" s="1" t="b">
        <v>1</v>
      </c>
      <c r="X756" s="1" t="b">
        <v>0</v>
      </c>
      <c r="Y756" s="1">
        <v>0</v>
      </c>
    </row>
    <row r="757" spans="1:25" x14ac:dyDescent="0.35">
      <c r="A757" s="1" t="s">
        <v>1558</v>
      </c>
      <c r="B757" s="1" t="s">
        <v>18</v>
      </c>
      <c r="C757" s="1" t="s">
        <v>243</v>
      </c>
      <c r="D757" s="1" t="s">
        <v>3</v>
      </c>
      <c r="E757" s="1">
        <v>2257</v>
      </c>
      <c r="F757" s="4">
        <v>15000000</v>
      </c>
      <c r="G757" s="4">
        <v>6645</v>
      </c>
      <c r="H757" s="1">
        <v>4</v>
      </c>
      <c r="I757" s="1">
        <v>2</v>
      </c>
      <c r="J757" s="1">
        <v>12</v>
      </c>
      <c r="K757" s="1" t="s">
        <v>28</v>
      </c>
      <c r="L757" s="1" t="s">
        <v>1559</v>
      </c>
      <c r="M757" s="1">
        <v>6</v>
      </c>
      <c r="N757" s="1">
        <v>5</v>
      </c>
      <c r="O757" s="1">
        <v>41090</v>
      </c>
      <c r="P757" s="1">
        <v>3.29</v>
      </c>
      <c r="Q757" s="1" t="s">
        <v>6</v>
      </c>
      <c r="R757" s="3">
        <v>0.41439999999999999</v>
      </c>
      <c r="S757" s="2">
        <v>45482</v>
      </c>
      <c r="T757" s="1">
        <v>323</v>
      </c>
      <c r="U757" s="1" t="s">
        <v>30</v>
      </c>
      <c r="V757" s="1">
        <v>87</v>
      </c>
      <c r="W757" s="1" t="b">
        <v>0</v>
      </c>
      <c r="X757" s="1" t="b">
        <v>0</v>
      </c>
      <c r="Y757" s="1">
        <v>30000</v>
      </c>
    </row>
    <row r="758" spans="1:25" x14ac:dyDescent="0.35">
      <c r="A758" s="1" t="s">
        <v>1560</v>
      </c>
      <c r="B758" s="1" t="s">
        <v>9</v>
      </c>
      <c r="C758" s="1" t="s">
        <v>114</v>
      </c>
      <c r="D758" s="1" t="s">
        <v>20</v>
      </c>
      <c r="E758" s="1">
        <v>1560</v>
      </c>
      <c r="F758" s="4">
        <v>50000000</v>
      </c>
      <c r="G758" s="4">
        <v>32051</v>
      </c>
      <c r="H758" s="1">
        <v>4</v>
      </c>
      <c r="I758" s="1">
        <v>3</v>
      </c>
      <c r="J758" s="1">
        <v>29</v>
      </c>
      <c r="K758" s="1" t="s">
        <v>58</v>
      </c>
      <c r="L758" s="1" t="s">
        <v>1561</v>
      </c>
      <c r="M758" s="1">
        <v>3</v>
      </c>
      <c r="N758" s="1">
        <v>8</v>
      </c>
      <c r="O758" s="1">
        <v>189174</v>
      </c>
      <c r="P758" s="1">
        <v>4.54</v>
      </c>
      <c r="Q758" s="1" t="s">
        <v>14</v>
      </c>
      <c r="R758" s="3">
        <v>0.47700000000000004</v>
      </c>
      <c r="S758" s="2">
        <v>45978</v>
      </c>
      <c r="T758" s="1">
        <v>168</v>
      </c>
      <c r="U758" s="1" t="s">
        <v>7</v>
      </c>
      <c r="V758" s="1">
        <v>65</v>
      </c>
      <c r="W758" s="1" t="b">
        <v>0</v>
      </c>
      <c r="X758" s="1" t="b">
        <v>0</v>
      </c>
      <c r="Y758" s="1">
        <v>100000</v>
      </c>
    </row>
    <row r="759" spans="1:25" x14ac:dyDescent="0.35">
      <c r="A759" s="1" t="s">
        <v>1562</v>
      </c>
      <c r="B759" s="1" t="s">
        <v>32</v>
      </c>
      <c r="C759" s="1" t="s">
        <v>67</v>
      </c>
      <c r="D759" s="1" t="s">
        <v>38</v>
      </c>
      <c r="E759" s="1">
        <v>9328</v>
      </c>
      <c r="F759" s="4">
        <v>12000000</v>
      </c>
      <c r="G759" s="4">
        <v>1286</v>
      </c>
      <c r="H759" s="1">
        <v>6</v>
      </c>
      <c r="I759" s="1">
        <v>4</v>
      </c>
      <c r="J759" s="1">
        <v>7</v>
      </c>
      <c r="K759" s="1" t="s">
        <v>61</v>
      </c>
      <c r="L759" s="1" t="s">
        <v>1563</v>
      </c>
      <c r="M759" s="1">
        <v>6</v>
      </c>
      <c r="N759" s="1">
        <v>8</v>
      </c>
      <c r="O759" s="1">
        <v>48371</v>
      </c>
      <c r="P759" s="1">
        <v>4.84</v>
      </c>
      <c r="Q759" s="1" t="s">
        <v>6</v>
      </c>
      <c r="R759" s="3">
        <v>0.4919</v>
      </c>
      <c r="S759" s="2">
        <v>45818</v>
      </c>
      <c r="T759" s="1">
        <v>340</v>
      </c>
      <c r="U759" s="1" t="s">
        <v>30</v>
      </c>
      <c r="V759" s="1">
        <v>88</v>
      </c>
      <c r="W759" s="1" t="b">
        <v>0</v>
      </c>
      <c r="X759" s="1" t="b">
        <v>0</v>
      </c>
      <c r="Y759" s="1">
        <v>0</v>
      </c>
    </row>
    <row r="760" spans="1:25" x14ac:dyDescent="0.35">
      <c r="A760" s="1" t="s">
        <v>1564</v>
      </c>
      <c r="B760" s="1" t="s">
        <v>1</v>
      </c>
      <c r="C760" s="1" t="s">
        <v>303</v>
      </c>
      <c r="D760" s="1" t="s">
        <v>20</v>
      </c>
      <c r="E760" s="1">
        <v>3980</v>
      </c>
      <c r="F760" s="4">
        <v>10000000</v>
      </c>
      <c r="G760" s="4">
        <v>2512</v>
      </c>
      <c r="H760" s="1">
        <v>4</v>
      </c>
      <c r="I760" s="1">
        <v>2</v>
      </c>
      <c r="J760" s="1">
        <v>20</v>
      </c>
      <c r="K760" s="1" t="s">
        <v>42</v>
      </c>
      <c r="L760" s="1" t="s">
        <v>566</v>
      </c>
      <c r="M760" s="1">
        <v>3</v>
      </c>
      <c r="N760" s="1">
        <v>7</v>
      </c>
      <c r="O760" s="1">
        <v>37519</v>
      </c>
      <c r="P760" s="1">
        <v>4.5</v>
      </c>
      <c r="Q760" s="1" t="s">
        <v>6</v>
      </c>
      <c r="R760" s="3">
        <v>0.47509999999999997</v>
      </c>
      <c r="S760" s="2">
        <v>46120</v>
      </c>
      <c r="T760" s="1">
        <v>183</v>
      </c>
      <c r="U760" s="1" t="s">
        <v>30</v>
      </c>
      <c r="V760" s="1">
        <v>53</v>
      </c>
      <c r="W760" s="1" t="b">
        <v>1</v>
      </c>
      <c r="X760" s="1" t="b">
        <v>1</v>
      </c>
      <c r="Y760" s="1">
        <v>0</v>
      </c>
    </row>
    <row r="761" spans="1:25" x14ac:dyDescent="0.35">
      <c r="A761" s="1" t="s">
        <v>1565</v>
      </c>
      <c r="B761" s="1" t="s">
        <v>18</v>
      </c>
      <c r="C761" s="1" t="s">
        <v>19</v>
      </c>
      <c r="D761" s="1" t="s">
        <v>11</v>
      </c>
      <c r="E761" s="1">
        <v>350</v>
      </c>
      <c r="F761" s="4">
        <v>15000000</v>
      </c>
      <c r="G761" s="4">
        <v>42857</v>
      </c>
      <c r="H761" s="1">
        <v>0</v>
      </c>
      <c r="I761" s="1">
        <v>1</v>
      </c>
      <c r="J761" s="1">
        <v>29</v>
      </c>
      <c r="K761" s="1" t="s">
        <v>42</v>
      </c>
      <c r="L761" s="1" t="s">
        <v>1566</v>
      </c>
      <c r="M761" s="1">
        <v>7</v>
      </c>
      <c r="N761" s="1">
        <v>10</v>
      </c>
      <c r="O761" s="1">
        <v>50804</v>
      </c>
      <c r="P761" s="1">
        <v>4.0599999999999996</v>
      </c>
      <c r="Q761" s="1" t="s">
        <v>6</v>
      </c>
      <c r="R761" s="3">
        <v>0.45319999999999999</v>
      </c>
      <c r="S761" s="2">
        <v>45763</v>
      </c>
      <c r="T761" s="1">
        <v>224</v>
      </c>
      <c r="U761" s="1" t="s">
        <v>7</v>
      </c>
      <c r="V761" s="1">
        <v>177</v>
      </c>
      <c r="W761" s="1" t="b">
        <v>0</v>
      </c>
      <c r="X761" s="1" t="b">
        <v>1</v>
      </c>
      <c r="Y761" s="1">
        <v>30000</v>
      </c>
    </row>
    <row r="762" spans="1:25" x14ac:dyDescent="0.35">
      <c r="A762" s="1" t="s">
        <v>1567</v>
      </c>
      <c r="B762" s="1" t="s">
        <v>54</v>
      </c>
      <c r="C762" s="1" t="s">
        <v>79</v>
      </c>
      <c r="D762" s="1" t="s">
        <v>38</v>
      </c>
      <c r="E762" s="1">
        <v>4606</v>
      </c>
      <c r="F762" s="4">
        <v>40000000</v>
      </c>
      <c r="G762" s="4">
        <v>8684</v>
      </c>
      <c r="H762" s="1">
        <v>5</v>
      </c>
      <c r="I762" s="1">
        <v>2</v>
      </c>
      <c r="J762" s="1">
        <v>25</v>
      </c>
      <c r="K762" s="1" t="s">
        <v>28</v>
      </c>
      <c r="L762" s="1" t="s">
        <v>1568</v>
      </c>
      <c r="M762" s="1">
        <v>8</v>
      </c>
      <c r="N762" s="1">
        <v>6</v>
      </c>
      <c r="O762" s="1">
        <v>158868</v>
      </c>
      <c r="P762" s="1">
        <v>4.7699999999999996</v>
      </c>
      <c r="Q762" s="1" t="s">
        <v>14</v>
      </c>
      <c r="R762" s="3">
        <v>0.48829999999999996</v>
      </c>
      <c r="S762" s="2">
        <v>45477</v>
      </c>
      <c r="T762" s="1">
        <v>196</v>
      </c>
      <c r="U762" s="1" t="s">
        <v>23</v>
      </c>
      <c r="V762" s="1">
        <v>129</v>
      </c>
      <c r="W762" s="1" t="b">
        <v>0</v>
      </c>
      <c r="X762" s="1" t="b">
        <v>0</v>
      </c>
      <c r="Y762" s="1">
        <v>80000</v>
      </c>
    </row>
    <row r="763" spans="1:25" x14ac:dyDescent="0.35">
      <c r="A763" s="1" t="s">
        <v>1569</v>
      </c>
      <c r="B763" s="1" t="s">
        <v>9</v>
      </c>
      <c r="C763" s="1" t="s">
        <v>142</v>
      </c>
      <c r="D763" s="1" t="s">
        <v>3</v>
      </c>
      <c r="E763" s="1">
        <v>1087</v>
      </c>
      <c r="F763" s="4">
        <v>50000000</v>
      </c>
      <c r="G763" s="4">
        <v>45998</v>
      </c>
      <c r="H763" s="1">
        <v>3</v>
      </c>
      <c r="I763" s="1">
        <v>1</v>
      </c>
      <c r="J763" s="1">
        <v>24</v>
      </c>
      <c r="K763" s="1" t="s">
        <v>21</v>
      </c>
      <c r="L763" s="1" t="s">
        <v>1570</v>
      </c>
      <c r="M763" s="1">
        <v>8</v>
      </c>
      <c r="N763" s="1">
        <v>9</v>
      </c>
      <c r="O763" s="1">
        <v>154418</v>
      </c>
      <c r="P763" s="1">
        <v>3.71</v>
      </c>
      <c r="Q763" s="1" t="s">
        <v>14</v>
      </c>
      <c r="R763" s="3">
        <v>0.43530000000000002</v>
      </c>
      <c r="S763" s="2">
        <v>45530</v>
      </c>
      <c r="T763" s="1">
        <v>325</v>
      </c>
      <c r="U763" s="1" t="s">
        <v>7</v>
      </c>
      <c r="V763" s="1">
        <v>93</v>
      </c>
      <c r="W763" s="1" t="b">
        <v>1</v>
      </c>
      <c r="X763" s="1" t="b">
        <v>0</v>
      </c>
      <c r="Y763" s="1">
        <v>0</v>
      </c>
    </row>
    <row r="764" spans="1:25" x14ac:dyDescent="0.35">
      <c r="A764" s="1" t="s">
        <v>1571</v>
      </c>
      <c r="B764" s="1" t="s">
        <v>25</v>
      </c>
      <c r="C764" s="1" t="s">
        <v>82</v>
      </c>
      <c r="D764" s="1" t="s">
        <v>38</v>
      </c>
      <c r="E764" s="1">
        <v>7690</v>
      </c>
      <c r="F764" s="4">
        <v>30000000</v>
      </c>
      <c r="G764" s="4">
        <v>3901</v>
      </c>
      <c r="H764" s="1">
        <v>4</v>
      </c>
      <c r="I764" s="1">
        <v>3</v>
      </c>
      <c r="J764" s="1">
        <v>12</v>
      </c>
      <c r="K764" s="1" t="s">
        <v>12</v>
      </c>
      <c r="L764" s="1" t="s">
        <v>1572</v>
      </c>
      <c r="M764" s="1">
        <v>4</v>
      </c>
      <c r="N764" s="1">
        <v>6</v>
      </c>
      <c r="O764" s="1">
        <v>121608</v>
      </c>
      <c r="P764" s="1">
        <v>4.8600000000000003</v>
      </c>
      <c r="Q764" s="1" t="s">
        <v>14</v>
      </c>
      <c r="R764" s="3">
        <v>0.49320000000000003</v>
      </c>
      <c r="S764" s="2">
        <v>45974</v>
      </c>
      <c r="T764" s="1">
        <v>86</v>
      </c>
      <c r="U764" s="1" t="s">
        <v>23</v>
      </c>
      <c r="V764" s="1">
        <v>129</v>
      </c>
      <c r="W764" s="1" t="b">
        <v>1</v>
      </c>
      <c r="X764" s="1" t="b">
        <v>0</v>
      </c>
      <c r="Y764" s="1">
        <v>60000</v>
      </c>
    </row>
    <row r="765" spans="1:25" x14ac:dyDescent="0.35">
      <c r="A765" s="1" t="s">
        <v>1573</v>
      </c>
      <c r="B765" s="1" t="s">
        <v>1</v>
      </c>
      <c r="C765" s="1" t="s">
        <v>303</v>
      </c>
      <c r="D765" s="1" t="s">
        <v>20</v>
      </c>
      <c r="E765" s="1">
        <v>3669</v>
      </c>
      <c r="F765" s="4">
        <v>10000000</v>
      </c>
      <c r="G765" s="4">
        <v>2725</v>
      </c>
      <c r="H765" s="1">
        <v>4</v>
      </c>
      <c r="I765" s="1">
        <v>2</v>
      </c>
      <c r="J765" s="1">
        <v>7</v>
      </c>
      <c r="K765" s="1" t="s">
        <v>34</v>
      </c>
      <c r="L765" s="1" t="s">
        <v>1574</v>
      </c>
      <c r="M765" s="1">
        <v>7</v>
      </c>
      <c r="N765" s="1">
        <v>8</v>
      </c>
      <c r="O765" s="1">
        <v>40826</v>
      </c>
      <c r="P765" s="1">
        <v>4.9000000000000004</v>
      </c>
      <c r="Q765" s="1" t="s">
        <v>6</v>
      </c>
      <c r="R765" s="3">
        <v>0.495</v>
      </c>
      <c r="S765" s="2">
        <v>45584</v>
      </c>
      <c r="T765" s="1">
        <v>250</v>
      </c>
      <c r="U765" s="1" t="s">
        <v>7</v>
      </c>
      <c r="V765" s="1">
        <v>112</v>
      </c>
      <c r="W765" s="1" t="b">
        <v>0</v>
      </c>
      <c r="X765" s="1" t="b">
        <v>0</v>
      </c>
      <c r="Y765" s="1">
        <v>20000</v>
      </c>
    </row>
    <row r="766" spans="1:25" x14ac:dyDescent="0.35">
      <c r="A766" s="1" t="s">
        <v>1575</v>
      </c>
      <c r="B766" s="1" t="s">
        <v>9</v>
      </c>
      <c r="C766" s="1" t="s">
        <v>10</v>
      </c>
      <c r="D766" s="1" t="s">
        <v>20</v>
      </c>
      <c r="E766" s="1">
        <v>4072</v>
      </c>
      <c r="F766" s="4">
        <v>50000000</v>
      </c>
      <c r="G766" s="4">
        <v>12278</v>
      </c>
      <c r="H766" s="1">
        <v>2</v>
      </c>
      <c r="I766" s="1">
        <v>1</v>
      </c>
      <c r="J766" s="1">
        <v>29</v>
      </c>
      <c r="K766" s="1" t="s">
        <v>28</v>
      </c>
      <c r="L766" s="1" t="s">
        <v>1576</v>
      </c>
      <c r="M766" s="1">
        <v>3</v>
      </c>
      <c r="N766" s="1">
        <v>6</v>
      </c>
      <c r="O766" s="1">
        <v>194418</v>
      </c>
      <c r="P766" s="1">
        <v>4.67</v>
      </c>
      <c r="Q766" s="1" t="s">
        <v>14</v>
      </c>
      <c r="R766" s="3">
        <v>0.48330000000000001</v>
      </c>
      <c r="S766" s="2">
        <v>45815</v>
      </c>
      <c r="T766" s="1">
        <v>45</v>
      </c>
      <c r="U766" s="1" t="s">
        <v>7</v>
      </c>
      <c r="V766" s="1">
        <v>39</v>
      </c>
      <c r="W766" s="1" t="b">
        <v>0</v>
      </c>
      <c r="X766" s="1" t="b">
        <v>1</v>
      </c>
      <c r="Y766" s="1">
        <v>0</v>
      </c>
    </row>
    <row r="767" spans="1:25" x14ac:dyDescent="0.35">
      <c r="A767" s="1" t="s">
        <v>1577</v>
      </c>
      <c r="B767" s="1" t="s">
        <v>54</v>
      </c>
      <c r="C767" s="1" t="s">
        <v>64</v>
      </c>
      <c r="D767" s="1" t="s">
        <v>20</v>
      </c>
      <c r="E767" s="1">
        <v>2702</v>
      </c>
      <c r="F767" s="4">
        <v>40000000</v>
      </c>
      <c r="G767" s="4">
        <v>14803</v>
      </c>
      <c r="H767" s="1">
        <v>5</v>
      </c>
      <c r="I767" s="1">
        <v>2</v>
      </c>
      <c r="J767" s="1">
        <v>10</v>
      </c>
      <c r="K767" s="1" t="s">
        <v>12</v>
      </c>
      <c r="L767" s="1" t="s">
        <v>1578</v>
      </c>
      <c r="M767" s="1">
        <v>5</v>
      </c>
      <c r="N767" s="1">
        <v>10</v>
      </c>
      <c r="O767" s="1">
        <v>114297</v>
      </c>
      <c r="P767" s="1">
        <v>3.43</v>
      </c>
      <c r="Q767" s="1" t="s">
        <v>14</v>
      </c>
      <c r="R767" s="3">
        <v>0.4214</v>
      </c>
      <c r="S767" s="2">
        <v>45727</v>
      </c>
      <c r="T767" s="1">
        <v>50</v>
      </c>
      <c r="U767" s="1" t="s">
        <v>7</v>
      </c>
      <c r="V767" s="1">
        <v>164</v>
      </c>
      <c r="W767" s="1" t="b">
        <v>1</v>
      </c>
      <c r="X767" s="1" t="b">
        <v>0</v>
      </c>
      <c r="Y767" s="1">
        <v>0</v>
      </c>
    </row>
    <row r="768" spans="1:25" x14ac:dyDescent="0.35">
      <c r="A768" s="1" t="s">
        <v>1579</v>
      </c>
      <c r="B768" s="1" t="s">
        <v>54</v>
      </c>
      <c r="C768" s="1" t="s">
        <v>64</v>
      </c>
      <c r="D768" s="1" t="s">
        <v>3</v>
      </c>
      <c r="E768" s="1">
        <v>2942</v>
      </c>
      <c r="F768" s="4">
        <v>40000000</v>
      </c>
      <c r="G768" s="4">
        <v>13596</v>
      </c>
      <c r="H768" s="1">
        <v>3</v>
      </c>
      <c r="I768" s="1">
        <v>1</v>
      </c>
      <c r="J768" s="1">
        <v>22</v>
      </c>
      <c r="K768" s="1" t="s">
        <v>58</v>
      </c>
      <c r="L768" s="1" t="s">
        <v>1580</v>
      </c>
      <c r="M768" s="1">
        <v>8</v>
      </c>
      <c r="N768" s="1">
        <v>9</v>
      </c>
      <c r="O768" s="1">
        <v>134914</v>
      </c>
      <c r="P768" s="1">
        <v>4.05</v>
      </c>
      <c r="Q768" s="1" t="s">
        <v>14</v>
      </c>
      <c r="R768" s="3">
        <v>0.45240000000000002</v>
      </c>
      <c r="S768" s="2">
        <v>45582</v>
      </c>
      <c r="T768" s="1">
        <v>245</v>
      </c>
      <c r="U768" s="1" t="s">
        <v>7</v>
      </c>
      <c r="V768" s="1">
        <v>63</v>
      </c>
      <c r="W768" s="1" t="b">
        <v>1</v>
      </c>
      <c r="X768" s="1" t="b">
        <v>0</v>
      </c>
      <c r="Y768" s="1">
        <v>0</v>
      </c>
    </row>
    <row r="769" spans="1:25" x14ac:dyDescent="0.35">
      <c r="A769" s="1" t="s">
        <v>1581</v>
      </c>
      <c r="B769" s="1" t="s">
        <v>25</v>
      </c>
      <c r="C769" s="1" t="s">
        <v>82</v>
      </c>
      <c r="D769" s="1" t="s">
        <v>38</v>
      </c>
      <c r="E769" s="1">
        <v>7315</v>
      </c>
      <c r="F769" s="4">
        <v>30000000</v>
      </c>
      <c r="G769" s="4">
        <v>4101</v>
      </c>
      <c r="H769" s="1">
        <v>6</v>
      </c>
      <c r="I769" s="1">
        <v>4</v>
      </c>
      <c r="J769" s="1">
        <v>12</v>
      </c>
      <c r="K769" s="1" t="s">
        <v>28</v>
      </c>
      <c r="L769" s="1" t="s">
        <v>1582</v>
      </c>
      <c r="M769" s="1">
        <v>4</v>
      </c>
      <c r="N769" s="1">
        <v>10</v>
      </c>
      <c r="O769" s="1">
        <v>118201</v>
      </c>
      <c r="P769" s="1">
        <v>4.7300000000000004</v>
      </c>
      <c r="Q769" s="1" t="s">
        <v>14</v>
      </c>
      <c r="R769" s="3">
        <v>0.4864</v>
      </c>
      <c r="S769" s="2">
        <v>45559</v>
      </c>
      <c r="T769" s="1">
        <v>276</v>
      </c>
      <c r="U769" s="1" t="s">
        <v>7</v>
      </c>
      <c r="V769" s="1">
        <v>145</v>
      </c>
      <c r="W769" s="1" t="b">
        <v>0</v>
      </c>
      <c r="X769" s="1" t="b">
        <v>0</v>
      </c>
      <c r="Y769" s="1">
        <v>0</v>
      </c>
    </row>
    <row r="770" spans="1:25" x14ac:dyDescent="0.35">
      <c r="A770" s="1" t="s">
        <v>1583</v>
      </c>
      <c r="B770" s="1" t="s">
        <v>25</v>
      </c>
      <c r="C770" s="1" t="s">
        <v>82</v>
      </c>
      <c r="D770" s="1" t="s">
        <v>11</v>
      </c>
      <c r="E770" s="1">
        <v>422</v>
      </c>
      <c r="F770" s="4">
        <v>30000000</v>
      </c>
      <c r="G770" s="4">
        <v>71090</v>
      </c>
      <c r="H770" s="1">
        <v>1</v>
      </c>
      <c r="I770" s="1">
        <v>2</v>
      </c>
      <c r="J770" s="1">
        <v>17</v>
      </c>
      <c r="K770" s="1" t="s">
        <v>61</v>
      </c>
      <c r="L770" s="1" t="s">
        <v>1584</v>
      </c>
      <c r="M770" s="1">
        <v>8</v>
      </c>
      <c r="N770" s="1">
        <v>10</v>
      </c>
      <c r="O770" s="1">
        <v>105719</v>
      </c>
      <c r="P770" s="1">
        <v>4.2300000000000004</v>
      </c>
      <c r="Q770" s="1" t="s">
        <v>14</v>
      </c>
      <c r="R770" s="3">
        <v>0.46140000000000003</v>
      </c>
      <c r="S770" s="2">
        <v>46035</v>
      </c>
      <c r="T770" s="1">
        <v>171</v>
      </c>
      <c r="U770" s="1" t="s">
        <v>23</v>
      </c>
      <c r="V770" s="1">
        <v>139</v>
      </c>
      <c r="W770" s="1" t="b">
        <v>1</v>
      </c>
      <c r="X770" s="1" t="b">
        <v>1</v>
      </c>
      <c r="Y770" s="1">
        <v>60000</v>
      </c>
    </row>
    <row r="771" spans="1:25" x14ac:dyDescent="0.35">
      <c r="A771" s="1" t="s">
        <v>1585</v>
      </c>
      <c r="B771" s="1" t="s">
        <v>9</v>
      </c>
      <c r="C771" s="1" t="s">
        <v>189</v>
      </c>
      <c r="D771" s="1" t="s">
        <v>27</v>
      </c>
      <c r="E771" s="1">
        <v>4513</v>
      </c>
      <c r="F771" s="4">
        <v>50000000</v>
      </c>
      <c r="G771" s="4">
        <v>11079</v>
      </c>
      <c r="H771" s="1">
        <v>5</v>
      </c>
      <c r="I771" s="1">
        <v>2</v>
      </c>
      <c r="J771" s="1">
        <v>18</v>
      </c>
      <c r="K771" s="1" t="s">
        <v>58</v>
      </c>
      <c r="L771" s="1" t="s">
        <v>1586</v>
      </c>
      <c r="M771" s="1">
        <v>8</v>
      </c>
      <c r="N771" s="1">
        <v>5</v>
      </c>
      <c r="O771" s="1">
        <v>151998</v>
      </c>
      <c r="P771" s="1">
        <v>3.65</v>
      </c>
      <c r="Q771" s="1" t="s">
        <v>14</v>
      </c>
      <c r="R771" s="3">
        <v>0.43240000000000001</v>
      </c>
      <c r="S771" s="2">
        <v>45664</v>
      </c>
      <c r="T771" s="1">
        <v>285</v>
      </c>
      <c r="U771" s="1" t="s">
        <v>7</v>
      </c>
      <c r="V771" s="1">
        <v>138</v>
      </c>
      <c r="W771" s="1" t="b">
        <v>1</v>
      </c>
      <c r="X771" s="1" t="b">
        <v>1</v>
      </c>
      <c r="Y771" s="1">
        <v>0</v>
      </c>
    </row>
    <row r="772" spans="1:25" x14ac:dyDescent="0.35">
      <c r="A772" s="1" t="s">
        <v>1587</v>
      </c>
      <c r="B772" s="1" t="s">
        <v>54</v>
      </c>
      <c r="C772" s="1" t="s">
        <v>72</v>
      </c>
      <c r="D772" s="1" t="s">
        <v>38</v>
      </c>
      <c r="E772" s="1">
        <v>7299</v>
      </c>
      <c r="F772" s="4">
        <v>40000000</v>
      </c>
      <c r="G772" s="4">
        <v>5480</v>
      </c>
      <c r="H772" s="1">
        <v>6</v>
      </c>
      <c r="I772" s="1">
        <v>4</v>
      </c>
      <c r="J772" s="1">
        <v>12</v>
      </c>
      <c r="K772" s="1" t="s">
        <v>42</v>
      </c>
      <c r="L772" s="1" t="s">
        <v>1588</v>
      </c>
      <c r="M772" s="1">
        <v>7</v>
      </c>
      <c r="N772" s="1">
        <v>5</v>
      </c>
      <c r="O772" s="1">
        <v>152588</v>
      </c>
      <c r="P772" s="1">
        <v>4.58</v>
      </c>
      <c r="Q772" s="1" t="s">
        <v>14</v>
      </c>
      <c r="R772" s="3">
        <v>0.47889999999999999</v>
      </c>
      <c r="S772" s="2">
        <v>45857</v>
      </c>
      <c r="T772" s="1">
        <v>67</v>
      </c>
      <c r="U772" s="1" t="s">
        <v>30</v>
      </c>
      <c r="V772" s="1">
        <v>31</v>
      </c>
      <c r="W772" s="1" t="b">
        <v>0</v>
      </c>
      <c r="X772" s="1" t="b">
        <v>1</v>
      </c>
      <c r="Y772" s="1">
        <v>0</v>
      </c>
    </row>
    <row r="773" spans="1:25" x14ac:dyDescent="0.35">
      <c r="A773" s="1" t="s">
        <v>1589</v>
      </c>
      <c r="B773" s="1" t="s">
        <v>54</v>
      </c>
      <c r="C773" s="1" t="s">
        <v>55</v>
      </c>
      <c r="D773" s="1" t="s">
        <v>3</v>
      </c>
      <c r="E773" s="1">
        <v>2553</v>
      </c>
      <c r="F773" s="4">
        <v>40000000</v>
      </c>
      <c r="G773" s="4">
        <v>15667</v>
      </c>
      <c r="H773" s="1">
        <v>2</v>
      </c>
      <c r="I773" s="1">
        <v>1</v>
      </c>
      <c r="J773" s="1">
        <v>22</v>
      </c>
      <c r="K773" s="1" t="s">
        <v>61</v>
      </c>
      <c r="L773" s="1" t="s">
        <v>1590</v>
      </c>
      <c r="M773" s="1">
        <v>7</v>
      </c>
      <c r="N773" s="1">
        <v>4</v>
      </c>
      <c r="O773" s="1">
        <v>143009</v>
      </c>
      <c r="P773" s="1">
        <v>4.29</v>
      </c>
      <c r="Q773" s="1" t="s">
        <v>14</v>
      </c>
      <c r="R773" s="3">
        <v>0.46450000000000002</v>
      </c>
      <c r="S773" s="2">
        <v>45515</v>
      </c>
      <c r="T773" s="1">
        <v>194</v>
      </c>
      <c r="U773" s="1" t="s">
        <v>7</v>
      </c>
      <c r="V773" s="1">
        <v>45</v>
      </c>
      <c r="W773" s="1" t="b">
        <v>1</v>
      </c>
      <c r="X773" s="1" t="b">
        <v>1</v>
      </c>
      <c r="Y773" s="1">
        <v>80000</v>
      </c>
    </row>
    <row r="774" spans="1:25" x14ac:dyDescent="0.35">
      <c r="A774" s="1" t="s">
        <v>1591</v>
      </c>
      <c r="B774" s="1" t="s">
        <v>18</v>
      </c>
      <c r="C774" s="1" t="s">
        <v>139</v>
      </c>
      <c r="D774" s="1" t="s">
        <v>11</v>
      </c>
      <c r="E774" s="1">
        <v>331</v>
      </c>
      <c r="F774" s="4">
        <v>15000000</v>
      </c>
      <c r="G774" s="4">
        <v>45317</v>
      </c>
      <c r="H774" s="1">
        <v>0</v>
      </c>
      <c r="I774" s="1">
        <v>2</v>
      </c>
      <c r="J774" s="1">
        <v>11</v>
      </c>
      <c r="K774" s="1" t="s">
        <v>21</v>
      </c>
      <c r="L774" s="1" t="s">
        <v>1138</v>
      </c>
      <c r="M774" s="1">
        <v>3</v>
      </c>
      <c r="N774" s="1">
        <v>5</v>
      </c>
      <c r="O774" s="1">
        <v>39677</v>
      </c>
      <c r="P774" s="1">
        <v>3.17</v>
      </c>
      <c r="Q774" s="1" t="s">
        <v>6</v>
      </c>
      <c r="R774" s="3">
        <v>0.40869999999999995</v>
      </c>
      <c r="S774" s="2">
        <v>45690</v>
      </c>
      <c r="T774" s="1">
        <v>246</v>
      </c>
      <c r="U774" s="1" t="s">
        <v>7</v>
      </c>
      <c r="V774" s="1">
        <v>119</v>
      </c>
      <c r="W774" s="1" t="b">
        <v>0</v>
      </c>
      <c r="X774" s="1" t="b">
        <v>0</v>
      </c>
      <c r="Y774" s="1">
        <v>0</v>
      </c>
    </row>
    <row r="775" spans="1:25" x14ac:dyDescent="0.35">
      <c r="A775" s="1" t="s">
        <v>1592</v>
      </c>
      <c r="B775" s="1" t="s">
        <v>1</v>
      </c>
      <c r="C775" s="1" t="s">
        <v>97</v>
      </c>
      <c r="D775" s="1" t="s">
        <v>38</v>
      </c>
      <c r="E775" s="1">
        <v>8142</v>
      </c>
      <c r="F775" s="4">
        <v>10000000</v>
      </c>
      <c r="G775" s="4">
        <v>1228</v>
      </c>
      <c r="H775" s="1">
        <v>5</v>
      </c>
      <c r="I775" s="1">
        <v>3</v>
      </c>
      <c r="J775" s="1">
        <v>4</v>
      </c>
      <c r="K775" s="1" t="s">
        <v>42</v>
      </c>
      <c r="L775" s="1" t="s">
        <v>1593</v>
      </c>
      <c r="M775" s="1">
        <v>6</v>
      </c>
      <c r="N775" s="1">
        <v>7</v>
      </c>
      <c r="O775" s="1">
        <v>35961</v>
      </c>
      <c r="P775" s="1">
        <v>4.32</v>
      </c>
      <c r="Q775" s="1" t="s">
        <v>6</v>
      </c>
      <c r="R775" s="3">
        <v>0.46579999999999999</v>
      </c>
      <c r="S775" s="2">
        <v>45910</v>
      </c>
      <c r="T775" s="1">
        <v>282</v>
      </c>
      <c r="U775" s="1" t="s">
        <v>30</v>
      </c>
      <c r="V775" s="1">
        <v>43</v>
      </c>
      <c r="W775" s="1" t="b">
        <v>1</v>
      </c>
      <c r="X775" s="1" t="b">
        <v>0</v>
      </c>
      <c r="Y775" s="1">
        <v>20000</v>
      </c>
    </row>
    <row r="776" spans="1:25" x14ac:dyDescent="0.35">
      <c r="A776" s="1" t="s">
        <v>1594</v>
      </c>
      <c r="B776" s="1" t="s">
        <v>1</v>
      </c>
      <c r="C776" s="1" t="s">
        <v>48</v>
      </c>
      <c r="D776" s="1" t="s">
        <v>27</v>
      </c>
      <c r="E776" s="1">
        <v>2518</v>
      </c>
      <c r="F776" s="4">
        <v>10000000</v>
      </c>
      <c r="G776" s="4">
        <v>3971</v>
      </c>
      <c r="H776" s="1">
        <v>6</v>
      </c>
      <c r="I776" s="1">
        <v>3</v>
      </c>
      <c r="J776" s="1">
        <v>6</v>
      </c>
      <c r="K776" s="1" t="s">
        <v>61</v>
      </c>
      <c r="L776" s="1" t="s">
        <v>1595</v>
      </c>
      <c r="M776" s="1">
        <v>6</v>
      </c>
      <c r="N776" s="1">
        <v>7</v>
      </c>
      <c r="O776" s="1">
        <v>34447</v>
      </c>
      <c r="P776" s="1">
        <v>4.13</v>
      </c>
      <c r="Q776" s="1" t="s">
        <v>6</v>
      </c>
      <c r="R776" s="3">
        <v>0.45669999999999999</v>
      </c>
      <c r="S776" s="2">
        <v>45527</v>
      </c>
      <c r="T776" s="1">
        <v>52</v>
      </c>
      <c r="U776" s="1" t="s">
        <v>7</v>
      </c>
      <c r="V776" s="1">
        <v>73</v>
      </c>
      <c r="W776" s="1" t="b">
        <v>0</v>
      </c>
      <c r="X776" s="1" t="b">
        <v>0</v>
      </c>
      <c r="Y776" s="1">
        <v>20000</v>
      </c>
    </row>
    <row r="777" spans="1:25" x14ac:dyDescent="0.35">
      <c r="A777" s="1" t="s">
        <v>1596</v>
      </c>
      <c r="B777" s="1" t="s">
        <v>1</v>
      </c>
      <c r="C777" s="1" t="s">
        <v>97</v>
      </c>
      <c r="D777" s="1" t="s">
        <v>27</v>
      </c>
      <c r="E777" s="1">
        <v>6531</v>
      </c>
      <c r="F777" s="4">
        <v>10000000</v>
      </c>
      <c r="G777" s="4">
        <v>1531</v>
      </c>
      <c r="H777" s="1">
        <v>4</v>
      </c>
      <c r="I777" s="1">
        <v>2</v>
      </c>
      <c r="J777" s="1">
        <v>28</v>
      </c>
      <c r="K777" s="1" t="s">
        <v>4</v>
      </c>
      <c r="L777" s="1" t="s">
        <v>1597</v>
      </c>
      <c r="M777" s="1">
        <v>4</v>
      </c>
      <c r="N777" s="1">
        <v>7</v>
      </c>
      <c r="O777" s="1">
        <v>40661</v>
      </c>
      <c r="P777" s="1">
        <v>4.88</v>
      </c>
      <c r="Q777" s="1" t="s">
        <v>6</v>
      </c>
      <c r="R777" s="3">
        <v>0.49399999999999999</v>
      </c>
      <c r="S777" s="2">
        <v>45883</v>
      </c>
      <c r="T777" s="1">
        <v>253</v>
      </c>
      <c r="U777" s="1" t="s">
        <v>7</v>
      </c>
      <c r="V777" s="1">
        <v>148</v>
      </c>
      <c r="W777" s="1" t="b">
        <v>1</v>
      </c>
      <c r="X777" s="1" t="b">
        <v>1</v>
      </c>
      <c r="Y777" s="1">
        <v>0</v>
      </c>
    </row>
    <row r="778" spans="1:25" x14ac:dyDescent="0.35">
      <c r="A778" s="1" t="s">
        <v>1598</v>
      </c>
      <c r="B778" s="1" t="s">
        <v>54</v>
      </c>
      <c r="C778" s="1" t="s">
        <v>55</v>
      </c>
      <c r="D778" s="1" t="s">
        <v>3</v>
      </c>
      <c r="E778" s="1">
        <v>2738</v>
      </c>
      <c r="F778" s="4">
        <v>40000000</v>
      </c>
      <c r="G778" s="4">
        <v>14609</v>
      </c>
      <c r="H778" s="1">
        <v>3</v>
      </c>
      <c r="I778" s="1">
        <v>2</v>
      </c>
      <c r="J778" s="1">
        <v>27</v>
      </c>
      <c r="K778" s="1" t="s">
        <v>42</v>
      </c>
      <c r="L778" s="1" t="s">
        <v>1599</v>
      </c>
      <c r="M778" s="1">
        <v>5</v>
      </c>
      <c r="N778" s="1">
        <v>4</v>
      </c>
      <c r="O778" s="1">
        <v>138069</v>
      </c>
      <c r="P778" s="1">
        <v>4.1399999999999997</v>
      </c>
      <c r="Q778" s="1" t="s">
        <v>14</v>
      </c>
      <c r="R778" s="3">
        <v>0.45710000000000001</v>
      </c>
      <c r="S778" s="2">
        <v>45706</v>
      </c>
      <c r="T778" s="1">
        <v>127</v>
      </c>
      <c r="U778" s="1" t="s">
        <v>7</v>
      </c>
      <c r="V778" s="1">
        <v>114</v>
      </c>
      <c r="W778" s="1" t="b">
        <v>0</v>
      </c>
      <c r="X778" s="1" t="b">
        <v>0</v>
      </c>
      <c r="Y778" s="1">
        <v>80000</v>
      </c>
    </row>
    <row r="779" spans="1:25" x14ac:dyDescent="0.35">
      <c r="A779" s="1" t="s">
        <v>1600</v>
      </c>
      <c r="B779" s="1" t="s">
        <v>25</v>
      </c>
      <c r="C779" s="1" t="s">
        <v>94</v>
      </c>
      <c r="D779" s="1" t="s">
        <v>20</v>
      </c>
      <c r="E779" s="1">
        <v>2066</v>
      </c>
      <c r="F779" s="4">
        <v>30000000</v>
      </c>
      <c r="G779" s="4">
        <v>14520</v>
      </c>
      <c r="H779" s="1">
        <v>3</v>
      </c>
      <c r="I779" s="1">
        <v>1</v>
      </c>
      <c r="J779" s="1">
        <v>4</v>
      </c>
      <c r="K779" s="1" t="s">
        <v>21</v>
      </c>
      <c r="L779" s="1" t="s">
        <v>1601</v>
      </c>
      <c r="M779" s="1">
        <v>3</v>
      </c>
      <c r="N779" s="1">
        <v>5</v>
      </c>
      <c r="O779" s="1">
        <v>111305</v>
      </c>
      <c r="P779" s="1">
        <v>4.45</v>
      </c>
      <c r="Q779" s="1" t="s">
        <v>14</v>
      </c>
      <c r="R779" s="3">
        <v>0.47259999999999996</v>
      </c>
      <c r="S779" s="2">
        <v>46101</v>
      </c>
      <c r="T779" s="1">
        <v>23</v>
      </c>
      <c r="U779" s="1" t="s">
        <v>7</v>
      </c>
      <c r="V779" s="1">
        <v>39</v>
      </c>
      <c r="W779" s="1" t="b">
        <v>0</v>
      </c>
      <c r="X779" s="1" t="b">
        <v>0</v>
      </c>
      <c r="Y779" s="1">
        <v>0</v>
      </c>
    </row>
    <row r="780" spans="1:25" x14ac:dyDescent="0.35">
      <c r="A780" s="1" t="s">
        <v>1602</v>
      </c>
      <c r="B780" s="1" t="s">
        <v>32</v>
      </c>
      <c r="C780" s="1" t="s">
        <v>67</v>
      </c>
      <c r="D780" s="1" t="s">
        <v>38</v>
      </c>
      <c r="E780" s="1">
        <v>7660</v>
      </c>
      <c r="F780" s="4">
        <v>12000000</v>
      </c>
      <c r="G780" s="4">
        <v>1566</v>
      </c>
      <c r="H780" s="1">
        <v>5</v>
      </c>
      <c r="I780" s="1">
        <v>3</v>
      </c>
      <c r="J780" s="1">
        <v>21</v>
      </c>
      <c r="K780" s="1" t="s">
        <v>4</v>
      </c>
      <c r="L780" s="1" t="s">
        <v>1074</v>
      </c>
      <c r="M780" s="1">
        <v>4</v>
      </c>
      <c r="N780" s="1">
        <v>10</v>
      </c>
      <c r="O780" s="1">
        <v>37886</v>
      </c>
      <c r="P780" s="1">
        <v>3.79</v>
      </c>
      <c r="Q780" s="1" t="s">
        <v>6</v>
      </c>
      <c r="R780" s="3">
        <v>0.43939999999999996</v>
      </c>
      <c r="S780" s="2">
        <v>46094</v>
      </c>
      <c r="T780" s="1">
        <v>104</v>
      </c>
      <c r="U780" s="1" t="s">
        <v>30</v>
      </c>
      <c r="V780" s="1">
        <v>40</v>
      </c>
      <c r="W780" s="1" t="b">
        <v>1</v>
      </c>
      <c r="X780" s="1" t="b">
        <v>0</v>
      </c>
      <c r="Y780" s="1">
        <v>0</v>
      </c>
    </row>
    <row r="781" spans="1:25" x14ac:dyDescent="0.35">
      <c r="A781" s="1" t="s">
        <v>1603</v>
      </c>
      <c r="B781" s="1" t="s">
        <v>25</v>
      </c>
      <c r="C781" s="1" t="s">
        <v>94</v>
      </c>
      <c r="D781" s="1" t="s">
        <v>3</v>
      </c>
      <c r="E781" s="1">
        <v>2745</v>
      </c>
      <c r="F781" s="4">
        <v>30000000</v>
      </c>
      <c r="G781" s="4">
        <v>10928</v>
      </c>
      <c r="H781" s="1">
        <v>3</v>
      </c>
      <c r="I781" s="1">
        <v>1</v>
      </c>
      <c r="J781" s="1">
        <v>14</v>
      </c>
      <c r="K781" s="1" t="s">
        <v>58</v>
      </c>
      <c r="L781" s="1" t="s">
        <v>1604</v>
      </c>
      <c r="M781" s="1">
        <v>3</v>
      </c>
      <c r="N781" s="1">
        <v>9</v>
      </c>
      <c r="O781" s="1">
        <v>82460</v>
      </c>
      <c r="P781" s="1">
        <v>3.3</v>
      </c>
      <c r="Q781" s="1" t="s">
        <v>14</v>
      </c>
      <c r="R781" s="3">
        <v>0.41490000000000005</v>
      </c>
      <c r="S781" s="2">
        <v>45565</v>
      </c>
      <c r="T781" s="1">
        <v>179</v>
      </c>
      <c r="U781" s="1" t="s">
        <v>7</v>
      </c>
      <c r="V781" s="1">
        <v>180</v>
      </c>
      <c r="W781" s="1" t="b">
        <v>1</v>
      </c>
      <c r="X781" s="1" t="b">
        <v>1</v>
      </c>
      <c r="Y781" s="1">
        <v>0</v>
      </c>
    </row>
    <row r="782" spans="1:25" x14ac:dyDescent="0.35">
      <c r="A782" s="1" t="s">
        <v>1605</v>
      </c>
      <c r="B782" s="1" t="s">
        <v>25</v>
      </c>
      <c r="C782" s="1" t="s">
        <v>94</v>
      </c>
      <c r="D782" s="1" t="s">
        <v>20</v>
      </c>
      <c r="E782" s="1">
        <v>4177</v>
      </c>
      <c r="F782" s="4">
        <v>30000000</v>
      </c>
      <c r="G782" s="4">
        <v>7182</v>
      </c>
      <c r="H782" s="1">
        <v>3</v>
      </c>
      <c r="I782" s="1">
        <v>1</v>
      </c>
      <c r="J782" s="1">
        <v>19</v>
      </c>
      <c r="K782" s="1" t="s">
        <v>4</v>
      </c>
      <c r="L782" s="1" t="s">
        <v>1606</v>
      </c>
      <c r="M782" s="1">
        <v>4</v>
      </c>
      <c r="N782" s="1">
        <v>5</v>
      </c>
      <c r="O782" s="1">
        <v>99993</v>
      </c>
      <c r="P782" s="1">
        <v>4</v>
      </c>
      <c r="Q782" s="1" t="s">
        <v>14</v>
      </c>
      <c r="R782" s="3">
        <v>0.45</v>
      </c>
      <c r="S782" s="2">
        <v>45533</v>
      </c>
      <c r="T782" s="1">
        <v>25</v>
      </c>
      <c r="U782" s="1" t="s">
        <v>23</v>
      </c>
      <c r="V782" s="1">
        <v>131</v>
      </c>
      <c r="W782" s="1" t="b">
        <v>1</v>
      </c>
      <c r="X782" s="1" t="b">
        <v>1</v>
      </c>
      <c r="Y782" s="1">
        <v>60000</v>
      </c>
    </row>
    <row r="783" spans="1:25" x14ac:dyDescent="0.35">
      <c r="A783" s="1" t="s">
        <v>1607</v>
      </c>
      <c r="B783" s="1" t="s">
        <v>25</v>
      </c>
      <c r="C783" s="1" t="s">
        <v>82</v>
      </c>
      <c r="D783" s="1" t="s">
        <v>3</v>
      </c>
      <c r="E783" s="1">
        <v>2285</v>
      </c>
      <c r="F783" s="4">
        <v>30000000</v>
      </c>
      <c r="G783" s="4">
        <v>13129</v>
      </c>
      <c r="H783" s="1">
        <v>4</v>
      </c>
      <c r="I783" s="1">
        <v>3</v>
      </c>
      <c r="J783" s="1">
        <v>24</v>
      </c>
      <c r="K783" s="1" t="s">
        <v>21</v>
      </c>
      <c r="L783" s="1" t="s">
        <v>1608</v>
      </c>
      <c r="M783" s="1">
        <v>8</v>
      </c>
      <c r="N783" s="1">
        <v>8</v>
      </c>
      <c r="O783" s="1">
        <v>81475</v>
      </c>
      <c r="P783" s="1">
        <v>3.26</v>
      </c>
      <c r="Q783" s="1" t="s">
        <v>14</v>
      </c>
      <c r="R783" s="3">
        <v>0.41299999999999998</v>
      </c>
      <c r="S783" s="2">
        <v>45971</v>
      </c>
      <c r="T783" s="1">
        <v>229</v>
      </c>
      <c r="U783" s="1" t="s">
        <v>7</v>
      </c>
      <c r="V783" s="1">
        <v>38</v>
      </c>
      <c r="W783" s="1" t="b">
        <v>1</v>
      </c>
      <c r="X783" s="1" t="b">
        <v>0</v>
      </c>
      <c r="Y783" s="1">
        <v>0</v>
      </c>
    </row>
    <row r="784" spans="1:25" x14ac:dyDescent="0.35">
      <c r="A784" s="1" t="s">
        <v>1609</v>
      </c>
      <c r="B784" s="1" t="s">
        <v>25</v>
      </c>
      <c r="C784" s="1" t="s">
        <v>82</v>
      </c>
      <c r="D784" s="1" t="s">
        <v>38</v>
      </c>
      <c r="E784" s="1">
        <v>9117</v>
      </c>
      <c r="F784" s="4">
        <v>30000000</v>
      </c>
      <c r="G784" s="4">
        <v>3290</v>
      </c>
      <c r="H784" s="1">
        <v>6</v>
      </c>
      <c r="I784" s="1">
        <v>3</v>
      </c>
      <c r="J784" s="1">
        <v>1</v>
      </c>
      <c r="K784" s="1" t="s">
        <v>4</v>
      </c>
      <c r="L784" s="1" t="s">
        <v>1610</v>
      </c>
      <c r="M784" s="1">
        <v>5</v>
      </c>
      <c r="N784" s="1">
        <v>9</v>
      </c>
      <c r="O784" s="1">
        <v>108016</v>
      </c>
      <c r="P784" s="1">
        <v>4.32</v>
      </c>
      <c r="Q784" s="1" t="s">
        <v>14</v>
      </c>
      <c r="R784" s="3">
        <v>0.46600000000000003</v>
      </c>
      <c r="S784" s="2">
        <v>45690</v>
      </c>
      <c r="T784" s="1">
        <v>267</v>
      </c>
      <c r="U784" s="1" t="s">
        <v>30</v>
      </c>
      <c r="V784" s="1">
        <v>107</v>
      </c>
      <c r="W784" s="1" t="b">
        <v>1</v>
      </c>
      <c r="X784" s="1" t="b">
        <v>1</v>
      </c>
      <c r="Y784" s="1">
        <v>0</v>
      </c>
    </row>
    <row r="785" spans="1:25" x14ac:dyDescent="0.35">
      <c r="A785" s="1" t="s">
        <v>1611</v>
      </c>
      <c r="B785" s="1" t="s">
        <v>25</v>
      </c>
      <c r="C785" s="1" t="s">
        <v>314</v>
      </c>
      <c r="D785" s="1" t="s">
        <v>3</v>
      </c>
      <c r="E785" s="1">
        <v>1565</v>
      </c>
      <c r="F785" s="4">
        <v>30000000</v>
      </c>
      <c r="G785" s="4">
        <v>19169</v>
      </c>
      <c r="H785" s="1">
        <v>1</v>
      </c>
      <c r="I785" s="1">
        <v>2</v>
      </c>
      <c r="J785" s="1">
        <v>20</v>
      </c>
      <c r="K785" s="1" t="s">
        <v>61</v>
      </c>
      <c r="L785" s="1" t="s">
        <v>1612</v>
      </c>
      <c r="M785" s="1">
        <v>7</v>
      </c>
      <c r="N785" s="1">
        <v>8</v>
      </c>
      <c r="O785" s="1">
        <v>93778</v>
      </c>
      <c r="P785" s="1">
        <v>3.75</v>
      </c>
      <c r="Q785" s="1" t="s">
        <v>14</v>
      </c>
      <c r="R785" s="3">
        <v>0.43759999999999999</v>
      </c>
      <c r="S785" s="2">
        <v>46139</v>
      </c>
      <c r="T785" s="1">
        <v>359</v>
      </c>
      <c r="U785" s="1" t="s">
        <v>30</v>
      </c>
      <c r="V785" s="1">
        <v>79</v>
      </c>
      <c r="W785" s="1" t="b">
        <v>0</v>
      </c>
      <c r="X785" s="1" t="b">
        <v>0</v>
      </c>
      <c r="Y785" s="1">
        <v>0</v>
      </c>
    </row>
    <row r="786" spans="1:25" x14ac:dyDescent="0.35">
      <c r="A786" s="1" t="s">
        <v>1613</v>
      </c>
      <c r="B786" s="1" t="s">
        <v>9</v>
      </c>
      <c r="C786" s="1" t="s">
        <v>142</v>
      </c>
      <c r="D786" s="1" t="s">
        <v>3</v>
      </c>
      <c r="E786" s="1">
        <v>1279</v>
      </c>
      <c r="F786" s="4">
        <v>50000000</v>
      </c>
      <c r="G786" s="4">
        <v>39093</v>
      </c>
      <c r="H786" s="1">
        <v>3</v>
      </c>
      <c r="I786" s="1">
        <v>1</v>
      </c>
      <c r="J786" s="1">
        <v>24</v>
      </c>
      <c r="K786" s="1" t="s">
        <v>61</v>
      </c>
      <c r="L786" s="1" t="s">
        <v>1614</v>
      </c>
      <c r="M786" s="1">
        <v>8</v>
      </c>
      <c r="N786" s="1">
        <v>8</v>
      </c>
      <c r="O786" s="1">
        <v>160321</v>
      </c>
      <c r="P786" s="1">
        <v>3.85</v>
      </c>
      <c r="Q786" s="1" t="s">
        <v>14</v>
      </c>
      <c r="R786" s="3">
        <v>0.44240000000000002</v>
      </c>
      <c r="S786" s="2">
        <v>45789</v>
      </c>
      <c r="T786" s="1">
        <v>199</v>
      </c>
      <c r="U786" s="1" t="s">
        <v>7</v>
      </c>
      <c r="V786" s="1">
        <v>123</v>
      </c>
      <c r="W786" s="1" t="b">
        <v>0</v>
      </c>
      <c r="X786" s="1" t="b">
        <v>1</v>
      </c>
      <c r="Y786" s="1">
        <v>100000</v>
      </c>
    </row>
    <row r="787" spans="1:25" x14ac:dyDescent="0.35">
      <c r="A787" s="1" t="s">
        <v>1615</v>
      </c>
      <c r="B787" s="1" t="s">
        <v>9</v>
      </c>
      <c r="C787" s="1" t="s">
        <v>163</v>
      </c>
      <c r="D787" s="1" t="s">
        <v>3</v>
      </c>
      <c r="E787" s="1">
        <v>1039</v>
      </c>
      <c r="F787" s="4">
        <v>50000000</v>
      </c>
      <c r="G787" s="4">
        <v>48123</v>
      </c>
      <c r="H787" s="1">
        <v>1</v>
      </c>
      <c r="I787" s="1">
        <v>1</v>
      </c>
      <c r="J787" s="1">
        <v>15</v>
      </c>
      <c r="K787" s="1" t="s">
        <v>61</v>
      </c>
      <c r="L787" s="1" t="s">
        <v>1616</v>
      </c>
      <c r="M787" s="1">
        <v>3</v>
      </c>
      <c r="N787" s="1">
        <v>8</v>
      </c>
      <c r="O787" s="1">
        <v>171460</v>
      </c>
      <c r="P787" s="1">
        <v>4.12</v>
      </c>
      <c r="Q787" s="1" t="s">
        <v>14</v>
      </c>
      <c r="R787" s="3">
        <v>0.45579999999999998</v>
      </c>
      <c r="S787" s="2">
        <v>45872</v>
      </c>
      <c r="T787" s="1">
        <v>227</v>
      </c>
      <c r="U787" s="1" t="s">
        <v>7</v>
      </c>
      <c r="V787" s="1">
        <v>45</v>
      </c>
      <c r="W787" s="1" t="b">
        <v>1</v>
      </c>
      <c r="X787" s="1" t="b">
        <v>0</v>
      </c>
      <c r="Y787" s="1">
        <v>0</v>
      </c>
    </row>
    <row r="788" spans="1:25" x14ac:dyDescent="0.35">
      <c r="A788" s="1" t="s">
        <v>1617</v>
      </c>
      <c r="B788" s="1" t="s">
        <v>32</v>
      </c>
      <c r="C788" s="1" t="s">
        <v>33</v>
      </c>
      <c r="D788" s="1" t="s">
        <v>11</v>
      </c>
      <c r="E788" s="1">
        <v>366</v>
      </c>
      <c r="F788" s="4">
        <v>12000000</v>
      </c>
      <c r="G788" s="4">
        <v>32786</v>
      </c>
      <c r="H788" s="1">
        <v>0</v>
      </c>
      <c r="I788" s="1">
        <v>1</v>
      </c>
      <c r="J788" s="1">
        <v>27</v>
      </c>
      <c r="K788" s="1" t="s">
        <v>61</v>
      </c>
      <c r="L788" s="1" t="s">
        <v>1618</v>
      </c>
      <c r="M788" s="1">
        <v>5</v>
      </c>
      <c r="N788" s="1">
        <v>9</v>
      </c>
      <c r="O788" s="1">
        <v>43688</v>
      </c>
      <c r="P788" s="1">
        <v>4.37</v>
      </c>
      <c r="Q788" s="1" t="s">
        <v>6</v>
      </c>
      <c r="R788" s="3">
        <v>0.46840000000000004</v>
      </c>
      <c r="S788" s="2">
        <v>45499</v>
      </c>
      <c r="T788" s="1">
        <v>17</v>
      </c>
      <c r="U788" s="1" t="s">
        <v>7</v>
      </c>
      <c r="V788" s="1">
        <v>103</v>
      </c>
      <c r="W788" s="1" t="b">
        <v>1</v>
      </c>
      <c r="X788" s="1" t="b">
        <v>1</v>
      </c>
      <c r="Y788" s="1">
        <v>24000</v>
      </c>
    </row>
    <row r="789" spans="1:25" x14ac:dyDescent="0.35">
      <c r="A789" s="1" t="s">
        <v>1619</v>
      </c>
      <c r="B789" s="1" t="s">
        <v>9</v>
      </c>
      <c r="C789" s="1" t="s">
        <v>109</v>
      </c>
      <c r="D789" s="1" t="s">
        <v>20</v>
      </c>
      <c r="E789" s="1">
        <v>3161</v>
      </c>
      <c r="F789" s="4">
        <v>50000000</v>
      </c>
      <c r="G789" s="4">
        <v>15817</v>
      </c>
      <c r="H789" s="1">
        <v>5</v>
      </c>
      <c r="I789" s="1">
        <v>3</v>
      </c>
      <c r="J789" s="1">
        <v>11</v>
      </c>
      <c r="K789" s="1" t="s">
        <v>12</v>
      </c>
      <c r="L789" s="1" t="s">
        <v>1620</v>
      </c>
      <c r="M789" s="1">
        <v>6</v>
      </c>
      <c r="N789" s="1">
        <v>10</v>
      </c>
      <c r="O789" s="1">
        <v>195292</v>
      </c>
      <c r="P789" s="1">
        <v>4.6900000000000004</v>
      </c>
      <c r="Q789" s="1" t="s">
        <v>14</v>
      </c>
      <c r="R789" s="3">
        <v>0.4844</v>
      </c>
      <c r="S789" s="2">
        <v>45904</v>
      </c>
      <c r="T789" s="1">
        <v>71</v>
      </c>
      <c r="U789" s="1" t="s">
        <v>7</v>
      </c>
      <c r="V789" s="1">
        <v>57</v>
      </c>
      <c r="W789" s="1" t="b">
        <v>0</v>
      </c>
      <c r="X789" s="1" t="b">
        <v>0</v>
      </c>
      <c r="Y789" s="1">
        <v>0</v>
      </c>
    </row>
    <row r="790" spans="1:25" x14ac:dyDescent="0.35">
      <c r="A790" s="1" t="s">
        <v>1621</v>
      </c>
      <c r="B790" s="1" t="s">
        <v>9</v>
      </c>
      <c r="C790" s="1" t="s">
        <v>189</v>
      </c>
      <c r="D790" s="1" t="s">
        <v>3</v>
      </c>
      <c r="E790" s="1">
        <v>2673</v>
      </c>
      <c r="F790" s="4">
        <v>50000000</v>
      </c>
      <c r="G790" s="4">
        <v>18705</v>
      </c>
      <c r="H790" s="1">
        <v>1</v>
      </c>
      <c r="I790" s="1">
        <v>1</v>
      </c>
      <c r="J790" s="1">
        <v>25</v>
      </c>
      <c r="K790" s="1" t="s">
        <v>58</v>
      </c>
      <c r="L790" s="1" t="s">
        <v>1622</v>
      </c>
      <c r="M790" s="1">
        <v>7</v>
      </c>
      <c r="N790" s="1">
        <v>7</v>
      </c>
      <c r="O790" s="1">
        <v>148014</v>
      </c>
      <c r="P790" s="1">
        <v>3.55</v>
      </c>
      <c r="Q790" s="1" t="s">
        <v>14</v>
      </c>
      <c r="R790" s="3">
        <v>0.42759999999999998</v>
      </c>
      <c r="S790" s="2">
        <v>46064</v>
      </c>
      <c r="T790" s="1">
        <v>22</v>
      </c>
      <c r="U790" s="1" t="s">
        <v>7</v>
      </c>
      <c r="V790" s="1">
        <v>162</v>
      </c>
      <c r="W790" s="1" t="b">
        <v>1</v>
      </c>
      <c r="X790" s="1" t="b">
        <v>1</v>
      </c>
      <c r="Y790" s="1">
        <v>0</v>
      </c>
    </row>
    <row r="791" spans="1:25" x14ac:dyDescent="0.35">
      <c r="A791" s="1" t="s">
        <v>1623</v>
      </c>
      <c r="B791" s="1" t="s">
        <v>18</v>
      </c>
      <c r="C791" s="1" t="s">
        <v>169</v>
      </c>
      <c r="D791" s="1" t="s">
        <v>27</v>
      </c>
      <c r="E791" s="1">
        <v>6855</v>
      </c>
      <c r="F791" s="4">
        <v>15000000</v>
      </c>
      <c r="G791" s="4">
        <v>2188</v>
      </c>
      <c r="H791" s="1">
        <v>3</v>
      </c>
      <c r="I791" s="1">
        <v>1</v>
      </c>
      <c r="J791" s="1">
        <v>10</v>
      </c>
      <c r="K791" s="1" t="s">
        <v>58</v>
      </c>
      <c r="L791" s="1" t="s">
        <v>1624</v>
      </c>
      <c r="M791" s="1">
        <v>8</v>
      </c>
      <c r="N791" s="1">
        <v>4</v>
      </c>
      <c r="O791" s="1">
        <v>49048</v>
      </c>
      <c r="P791" s="1">
        <v>3.92</v>
      </c>
      <c r="Q791" s="1" t="s">
        <v>6</v>
      </c>
      <c r="R791" s="3">
        <v>0.44619999999999999</v>
      </c>
      <c r="S791" s="2">
        <v>45922</v>
      </c>
      <c r="T791" s="1">
        <v>185</v>
      </c>
      <c r="U791" s="1" t="s">
        <v>7</v>
      </c>
      <c r="V791" s="1">
        <v>103</v>
      </c>
      <c r="W791" s="1" t="b">
        <v>0</v>
      </c>
      <c r="X791" s="1" t="b">
        <v>0</v>
      </c>
      <c r="Y791" s="1">
        <v>0</v>
      </c>
    </row>
    <row r="792" spans="1:25" x14ac:dyDescent="0.35">
      <c r="A792" s="1" t="s">
        <v>1625</v>
      </c>
      <c r="B792" s="1" t="s">
        <v>25</v>
      </c>
      <c r="C792" s="1" t="s">
        <v>94</v>
      </c>
      <c r="D792" s="1" t="s">
        <v>27</v>
      </c>
      <c r="E792" s="1">
        <v>2935</v>
      </c>
      <c r="F792" s="4">
        <v>30000000</v>
      </c>
      <c r="G792" s="4">
        <v>10221</v>
      </c>
      <c r="H792" s="1">
        <v>4</v>
      </c>
      <c r="I792" s="1">
        <v>2</v>
      </c>
      <c r="J792" s="1">
        <v>0</v>
      </c>
      <c r="K792" s="1" t="s">
        <v>21</v>
      </c>
      <c r="L792" s="1" t="s">
        <v>1626</v>
      </c>
      <c r="M792" s="1">
        <v>7</v>
      </c>
      <c r="N792" s="1">
        <v>4</v>
      </c>
      <c r="O792" s="1">
        <v>104808</v>
      </c>
      <c r="P792" s="1">
        <v>4.1900000000000004</v>
      </c>
      <c r="Q792" s="1" t="s">
        <v>14</v>
      </c>
      <c r="R792" s="3">
        <v>0.45960000000000001</v>
      </c>
      <c r="S792" s="2">
        <v>45648</v>
      </c>
      <c r="T792" s="1">
        <v>3</v>
      </c>
      <c r="U792" s="1" t="s">
        <v>7</v>
      </c>
      <c r="V792" s="1">
        <v>173</v>
      </c>
      <c r="W792" s="1" t="b">
        <v>0</v>
      </c>
      <c r="X792" s="1" t="b">
        <v>1</v>
      </c>
      <c r="Y792" s="1">
        <v>60000</v>
      </c>
    </row>
    <row r="793" spans="1:25" x14ac:dyDescent="0.35">
      <c r="A793" s="1" t="s">
        <v>1627</v>
      </c>
      <c r="B793" s="1" t="s">
        <v>32</v>
      </c>
      <c r="C793" s="1" t="s">
        <v>197</v>
      </c>
      <c r="D793" s="1" t="s">
        <v>27</v>
      </c>
      <c r="E793" s="1">
        <v>5600</v>
      </c>
      <c r="F793" s="4">
        <v>12000000</v>
      </c>
      <c r="G793" s="4">
        <v>2142</v>
      </c>
      <c r="H793" s="1">
        <v>5</v>
      </c>
      <c r="I793" s="1">
        <v>3</v>
      </c>
      <c r="J793" s="1">
        <v>28</v>
      </c>
      <c r="K793" s="1" t="s">
        <v>4</v>
      </c>
      <c r="L793" s="1" t="s">
        <v>1628</v>
      </c>
      <c r="M793" s="1">
        <v>6</v>
      </c>
      <c r="N793" s="1">
        <v>4</v>
      </c>
      <c r="O793" s="1">
        <v>43989</v>
      </c>
      <c r="P793" s="1">
        <v>4.4000000000000004</v>
      </c>
      <c r="Q793" s="1" t="s">
        <v>6</v>
      </c>
      <c r="R793" s="3">
        <v>0.46990000000000004</v>
      </c>
      <c r="S793" s="2">
        <v>45670</v>
      </c>
      <c r="T793" s="1">
        <v>207</v>
      </c>
      <c r="U793" s="1" t="s">
        <v>7</v>
      </c>
      <c r="V793" s="1">
        <v>98</v>
      </c>
      <c r="W793" s="1" t="b">
        <v>0</v>
      </c>
      <c r="X793" s="1" t="b">
        <v>0</v>
      </c>
      <c r="Y793" s="1">
        <v>24000</v>
      </c>
    </row>
    <row r="794" spans="1:25" x14ac:dyDescent="0.35">
      <c r="A794" s="1" t="s">
        <v>1629</v>
      </c>
      <c r="B794" s="1" t="s">
        <v>54</v>
      </c>
      <c r="C794" s="1" t="s">
        <v>72</v>
      </c>
      <c r="D794" s="1" t="s">
        <v>38</v>
      </c>
      <c r="E794" s="1">
        <v>3204</v>
      </c>
      <c r="F794" s="4">
        <v>40000000</v>
      </c>
      <c r="G794" s="4">
        <v>12484</v>
      </c>
      <c r="H794" s="1">
        <v>4</v>
      </c>
      <c r="I794" s="1">
        <v>2</v>
      </c>
      <c r="J794" s="1">
        <v>1</v>
      </c>
      <c r="K794" s="1" t="s">
        <v>28</v>
      </c>
      <c r="L794" s="1" t="s">
        <v>1630</v>
      </c>
      <c r="M794" s="1">
        <v>6</v>
      </c>
      <c r="N794" s="1">
        <v>8</v>
      </c>
      <c r="O794" s="1">
        <v>117512</v>
      </c>
      <c r="P794" s="1">
        <v>3.53</v>
      </c>
      <c r="Q794" s="1" t="s">
        <v>14</v>
      </c>
      <c r="R794" s="3">
        <v>0.42630000000000001</v>
      </c>
      <c r="S794" s="2">
        <v>45915</v>
      </c>
      <c r="T794" s="1">
        <v>289</v>
      </c>
      <c r="U794" s="1" t="s">
        <v>7</v>
      </c>
      <c r="V794" s="1">
        <v>47</v>
      </c>
      <c r="W794" s="1" t="b">
        <v>0</v>
      </c>
      <c r="X794" s="1" t="b">
        <v>1</v>
      </c>
      <c r="Y794" s="1">
        <v>0</v>
      </c>
    </row>
    <row r="795" spans="1:25" x14ac:dyDescent="0.35">
      <c r="A795" s="1" t="s">
        <v>1631</v>
      </c>
      <c r="B795" s="1" t="s">
        <v>25</v>
      </c>
      <c r="C795" s="1" t="s">
        <v>182</v>
      </c>
      <c r="D795" s="1" t="s">
        <v>3</v>
      </c>
      <c r="E795" s="1">
        <v>1697</v>
      </c>
      <c r="F795" s="4">
        <v>30000000</v>
      </c>
      <c r="G795" s="4">
        <v>17678</v>
      </c>
      <c r="H795" s="1">
        <v>2</v>
      </c>
      <c r="I795" s="1">
        <v>1</v>
      </c>
      <c r="J795" s="1">
        <v>8</v>
      </c>
      <c r="K795" s="1" t="s">
        <v>21</v>
      </c>
      <c r="L795" s="1" t="s">
        <v>1632</v>
      </c>
      <c r="M795" s="1">
        <v>7</v>
      </c>
      <c r="N795" s="1">
        <v>9</v>
      </c>
      <c r="O795" s="1">
        <v>101459</v>
      </c>
      <c r="P795" s="1">
        <v>4.0599999999999996</v>
      </c>
      <c r="Q795" s="1" t="s">
        <v>14</v>
      </c>
      <c r="R795" s="3">
        <v>0.45289999999999997</v>
      </c>
      <c r="S795" s="2">
        <v>45652</v>
      </c>
      <c r="T795" s="1">
        <v>102</v>
      </c>
      <c r="U795" s="1" t="s">
        <v>30</v>
      </c>
      <c r="V795" s="1">
        <v>46</v>
      </c>
      <c r="W795" s="1" t="b">
        <v>0</v>
      </c>
      <c r="X795" s="1" t="b">
        <v>0</v>
      </c>
      <c r="Y795" s="1">
        <v>60000</v>
      </c>
    </row>
    <row r="796" spans="1:25" x14ac:dyDescent="0.35">
      <c r="A796" s="1" t="s">
        <v>1633</v>
      </c>
      <c r="B796" s="1" t="s">
        <v>18</v>
      </c>
      <c r="C796" s="1" t="s">
        <v>19</v>
      </c>
      <c r="D796" s="1" t="s">
        <v>38</v>
      </c>
      <c r="E796" s="1">
        <v>7559</v>
      </c>
      <c r="F796" s="4">
        <v>15000000</v>
      </c>
      <c r="G796" s="4">
        <v>1984</v>
      </c>
      <c r="H796" s="1">
        <v>6</v>
      </c>
      <c r="I796" s="1">
        <v>4</v>
      </c>
      <c r="J796" s="1">
        <v>3</v>
      </c>
      <c r="K796" s="1" t="s">
        <v>28</v>
      </c>
      <c r="L796" s="1" t="s">
        <v>1634</v>
      </c>
      <c r="M796" s="1">
        <v>6</v>
      </c>
      <c r="N796" s="1">
        <v>5</v>
      </c>
      <c r="O796" s="1">
        <v>51775</v>
      </c>
      <c r="P796" s="1">
        <v>4.1399999999999997</v>
      </c>
      <c r="Q796" s="1" t="s">
        <v>6</v>
      </c>
      <c r="R796" s="3">
        <v>0.45710000000000001</v>
      </c>
      <c r="S796" s="2">
        <v>45902</v>
      </c>
      <c r="T796" s="1">
        <v>224</v>
      </c>
      <c r="U796" s="1" t="s">
        <v>7</v>
      </c>
      <c r="V796" s="1">
        <v>112</v>
      </c>
      <c r="W796" s="1" t="b">
        <v>1</v>
      </c>
      <c r="X796" s="1" t="b">
        <v>1</v>
      </c>
      <c r="Y796" s="1">
        <v>0</v>
      </c>
    </row>
    <row r="797" spans="1:25" x14ac:dyDescent="0.35">
      <c r="A797" s="1" t="s">
        <v>1635</v>
      </c>
      <c r="B797" s="1" t="s">
        <v>32</v>
      </c>
      <c r="C797" s="1" t="s">
        <v>67</v>
      </c>
      <c r="D797" s="1" t="s">
        <v>3</v>
      </c>
      <c r="E797" s="1">
        <v>2900</v>
      </c>
      <c r="F797" s="4">
        <v>12000000</v>
      </c>
      <c r="G797" s="4">
        <v>4137</v>
      </c>
      <c r="H797" s="1">
        <v>4</v>
      </c>
      <c r="I797" s="1">
        <v>2</v>
      </c>
      <c r="J797" s="1">
        <v>2</v>
      </c>
      <c r="K797" s="1" t="s">
        <v>42</v>
      </c>
      <c r="L797" s="1" t="s">
        <v>1636</v>
      </c>
      <c r="M797" s="1">
        <v>8</v>
      </c>
      <c r="N797" s="1">
        <v>4</v>
      </c>
      <c r="O797" s="1">
        <v>39214</v>
      </c>
      <c r="P797" s="1">
        <v>3.92</v>
      </c>
      <c r="Q797" s="1" t="s">
        <v>6</v>
      </c>
      <c r="R797" s="3">
        <v>0.4461</v>
      </c>
      <c r="S797" s="2">
        <v>45603</v>
      </c>
      <c r="T797" s="1">
        <v>211</v>
      </c>
      <c r="U797" s="1" t="s">
        <v>30</v>
      </c>
      <c r="V797" s="1">
        <v>52</v>
      </c>
      <c r="W797" s="1" t="b">
        <v>1</v>
      </c>
      <c r="X797" s="1" t="b">
        <v>1</v>
      </c>
      <c r="Y797" s="1">
        <v>24000</v>
      </c>
    </row>
    <row r="798" spans="1:25" x14ac:dyDescent="0.35">
      <c r="A798" s="1" t="s">
        <v>1637</v>
      </c>
      <c r="B798" s="1" t="s">
        <v>1</v>
      </c>
      <c r="C798" s="1" t="s">
        <v>45</v>
      </c>
      <c r="D798" s="1" t="s">
        <v>20</v>
      </c>
      <c r="E798" s="1">
        <v>1889</v>
      </c>
      <c r="F798" s="4">
        <v>10000000</v>
      </c>
      <c r="G798" s="4">
        <v>5293</v>
      </c>
      <c r="H798" s="1">
        <v>2</v>
      </c>
      <c r="I798" s="1">
        <v>1</v>
      </c>
      <c r="J798" s="1">
        <v>11</v>
      </c>
      <c r="K798" s="1" t="s">
        <v>34</v>
      </c>
      <c r="L798" s="1" t="s">
        <v>1638</v>
      </c>
      <c r="M798" s="1">
        <v>8</v>
      </c>
      <c r="N798" s="1">
        <v>7</v>
      </c>
      <c r="O798" s="1">
        <v>33470</v>
      </c>
      <c r="P798" s="1">
        <v>4.0199999999999996</v>
      </c>
      <c r="Q798" s="1" t="s">
        <v>6</v>
      </c>
      <c r="R798" s="3">
        <v>0.45079999999999998</v>
      </c>
      <c r="S798" s="2">
        <v>46084</v>
      </c>
      <c r="T798" s="1">
        <v>156</v>
      </c>
      <c r="U798" s="1" t="s">
        <v>23</v>
      </c>
      <c r="V798" s="1">
        <v>96</v>
      </c>
      <c r="W798" s="1" t="b">
        <v>1</v>
      </c>
      <c r="X798" s="1" t="b">
        <v>1</v>
      </c>
      <c r="Y798" s="1">
        <v>20000</v>
      </c>
    </row>
    <row r="799" spans="1:25" x14ac:dyDescent="0.35">
      <c r="A799" s="1" t="s">
        <v>1639</v>
      </c>
      <c r="B799" s="1" t="s">
        <v>18</v>
      </c>
      <c r="C799" s="1" t="s">
        <v>139</v>
      </c>
      <c r="D799" s="1" t="s">
        <v>38</v>
      </c>
      <c r="E799" s="1">
        <v>7203</v>
      </c>
      <c r="F799" s="4">
        <v>15000000</v>
      </c>
      <c r="G799" s="4">
        <v>2082</v>
      </c>
      <c r="H799" s="1">
        <v>6</v>
      </c>
      <c r="I799" s="1">
        <v>3</v>
      </c>
      <c r="J799" s="1">
        <v>18</v>
      </c>
      <c r="K799" s="1" t="s">
        <v>28</v>
      </c>
      <c r="L799" s="1" t="s">
        <v>1640</v>
      </c>
      <c r="M799" s="1">
        <v>6</v>
      </c>
      <c r="N799" s="1">
        <v>6</v>
      </c>
      <c r="O799" s="1">
        <v>43987</v>
      </c>
      <c r="P799" s="1">
        <v>3.52</v>
      </c>
      <c r="Q799" s="1" t="s">
        <v>6</v>
      </c>
      <c r="R799" s="3">
        <v>0.42590000000000006</v>
      </c>
      <c r="S799" s="2">
        <v>46109</v>
      </c>
      <c r="T799" s="1">
        <v>342</v>
      </c>
      <c r="U799" s="1" t="s">
        <v>7</v>
      </c>
      <c r="V799" s="1">
        <v>151</v>
      </c>
      <c r="W799" s="1" t="b">
        <v>1</v>
      </c>
      <c r="X799" s="1" t="b">
        <v>1</v>
      </c>
      <c r="Y799" s="1">
        <v>30000</v>
      </c>
    </row>
    <row r="800" spans="1:25" x14ac:dyDescent="0.35">
      <c r="A800" s="1" t="s">
        <v>1641</v>
      </c>
      <c r="B800" s="1" t="s">
        <v>18</v>
      </c>
      <c r="C800" s="1" t="s">
        <v>166</v>
      </c>
      <c r="D800" s="1" t="s">
        <v>3</v>
      </c>
      <c r="E800" s="1">
        <v>1626</v>
      </c>
      <c r="F800" s="4">
        <v>15000000</v>
      </c>
      <c r="G800" s="4">
        <v>9225</v>
      </c>
      <c r="H800" s="1">
        <v>4</v>
      </c>
      <c r="I800" s="1">
        <v>2</v>
      </c>
      <c r="J800" s="1">
        <v>24</v>
      </c>
      <c r="K800" s="1" t="s">
        <v>21</v>
      </c>
      <c r="L800" s="1" t="s">
        <v>1642</v>
      </c>
      <c r="M800" s="1">
        <v>8</v>
      </c>
      <c r="N800" s="1">
        <v>7</v>
      </c>
      <c r="O800" s="1">
        <v>50117</v>
      </c>
      <c r="P800" s="1">
        <v>4.01</v>
      </c>
      <c r="Q800" s="1" t="s">
        <v>6</v>
      </c>
      <c r="R800" s="3">
        <v>0.45049999999999996</v>
      </c>
      <c r="S800" s="2">
        <v>45682</v>
      </c>
      <c r="T800" s="1">
        <v>344</v>
      </c>
      <c r="U800" s="1" t="s">
        <v>30</v>
      </c>
      <c r="V800" s="1">
        <v>178</v>
      </c>
      <c r="W800" s="1" t="b">
        <v>0</v>
      </c>
      <c r="X800" s="1" t="b">
        <v>1</v>
      </c>
      <c r="Y800" s="1">
        <v>0</v>
      </c>
    </row>
    <row r="801" spans="1:25" x14ac:dyDescent="0.35">
      <c r="A801" s="1" t="s">
        <v>1643</v>
      </c>
      <c r="B801" s="1" t="s">
        <v>9</v>
      </c>
      <c r="C801" s="1" t="s">
        <v>109</v>
      </c>
      <c r="D801" s="1" t="s">
        <v>20</v>
      </c>
      <c r="E801" s="1">
        <v>2439</v>
      </c>
      <c r="F801" s="4">
        <v>50000000</v>
      </c>
      <c r="G801" s="4">
        <v>20500</v>
      </c>
      <c r="H801" s="1">
        <v>2</v>
      </c>
      <c r="I801" s="1">
        <v>2</v>
      </c>
      <c r="J801" s="1">
        <v>28</v>
      </c>
      <c r="K801" s="1" t="s">
        <v>12</v>
      </c>
      <c r="L801" s="1" t="s">
        <v>1644</v>
      </c>
      <c r="M801" s="1">
        <v>3</v>
      </c>
      <c r="N801" s="1">
        <v>5</v>
      </c>
      <c r="O801" s="1">
        <v>166196</v>
      </c>
      <c r="P801" s="1">
        <v>3.99</v>
      </c>
      <c r="Q801" s="1" t="s">
        <v>14</v>
      </c>
      <c r="R801" s="3">
        <v>0.44939999999999997</v>
      </c>
      <c r="S801" s="2">
        <v>45591</v>
      </c>
      <c r="T801" s="1">
        <v>146</v>
      </c>
      <c r="U801" s="1" t="s">
        <v>30</v>
      </c>
      <c r="V801" s="1">
        <v>154</v>
      </c>
      <c r="W801" s="1" t="b">
        <v>1</v>
      </c>
      <c r="X801" s="1" t="b">
        <v>0</v>
      </c>
      <c r="Y801" s="1">
        <v>0</v>
      </c>
    </row>
    <row r="802" spans="1:25" x14ac:dyDescent="0.35">
      <c r="A802" s="1" t="s">
        <v>1645</v>
      </c>
      <c r="B802" s="1" t="s">
        <v>54</v>
      </c>
      <c r="C802" s="1" t="s">
        <v>64</v>
      </c>
      <c r="D802" s="1" t="s">
        <v>11</v>
      </c>
      <c r="E802" s="1">
        <v>547</v>
      </c>
      <c r="F802" s="4">
        <v>40000000</v>
      </c>
      <c r="G802" s="4">
        <v>73126</v>
      </c>
      <c r="H802" s="1">
        <v>1</v>
      </c>
      <c r="I802" s="1">
        <v>1</v>
      </c>
      <c r="J802" s="1">
        <v>9</v>
      </c>
      <c r="K802" s="1" t="s">
        <v>4</v>
      </c>
      <c r="L802" s="1" t="s">
        <v>1646</v>
      </c>
      <c r="M802" s="1">
        <v>8</v>
      </c>
      <c r="N802" s="1">
        <v>7</v>
      </c>
      <c r="O802" s="1">
        <v>162370</v>
      </c>
      <c r="P802" s="1">
        <v>4.87</v>
      </c>
      <c r="Q802" s="1" t="s">
        <v>14</v>
      </c>
      <c r="R802" s="3">
        <v>0.49359999999999998</v>
      </c>
      <c r="S802" s="2">
        <v>45717</v>
      </c>
      <c r="T802" s="1">
        <v>160</v>
      </c>
      <c r="U802" s="1" t="s">
        <v>7</v>
      </c>
      <c r="V802" s="1">
        <v>160</v>
      </c>
      <c r="W802" s="1" t="b">
        <v>1</v>
      </c>
      <c r="X802" s="1" t="b">
        <v>1</v>
      </c>
      <c r="Y802" s="1">
        <v>0</v>
      </c>
    </row>
    <row r="803" spans="1:25" x14ac:dyDescent="0.35">
      <c r="A803" s="1" t="s">
        <v>1647</v>
      </c>
      <c r="B803" s="1" t="s">
        <v>9</v>
      </c>
      <c r="C803" s="1" t="s">
        <v>10</v>
      </c>
      <c r="D803" s="1" t="s">
        <v>38</v>
      </c>
      <c r="E803" s="1">
        <v>5769</v>
      </c>
      <c r="F803" s="4">
        <v>50000000</v>
      </c>
      <c r="G803" s="4">
        <v>8667</v>
      </c>
      <c r="H803" s="1">
        <v>4</v>
      </c>
      <c r="I803" s="1">
        <v>3</v>
      </c>
      <c r="J803" s="1">
        <v>4</v>
      </c>
      <c r="K803" s="1" t="s">
        <v>61</v>
      </c>
      <c r="L803" s="1" t="s">
        <v>1648</v>
      </c>
      <c r="M803" s="1">
        <v>4</v>
      </c>
      <c r="N803" s="1">
        <v>7</v>
      </c>
      <c r="O803" s="1">
        <v>205638</v>
      </c>
      <c r="P803" s="1">
        <v>4.9400000000000004</v>
      </c>
      <c r="Q803" s="1" t="s">
        <v>14</v>
      </c>
      <c r="R803" s="3">
        <v>0.49680000000000002</v>
      </c>
      <c r="S803" s="2">
        <v>45929</v>
      </c>
      <c r="T803" s="1">
        <v>357</v>
      </c>
      <c r="U803" s="1" t="s">
        <v>7</v>
      </c>
      <c r="V803" s="1">
        <v>166</v>
      </c>
      <c r="W803" s="1" t="b">
        <v>1</v>
      </c>
      <c r="X803" s="1" t="b">
        <v>1</v>
      </c>
      <c r="Y803" s="1">
        <v>0</v>
      </c>
    </row>
    <row r="804" spans="1:25" x14ac:dyDescent="0.35">
      <c r="A804" s="1" t="s">
        <v>1649</v>
      </c>
      <c r="B804" s="1" t="s">
        <v>25</v>
      </c>
      <c r="C804" s="1" t="s">
        <v>26</v>
      </c>
      <c r="D804" s="1" t="s">
        <v>11</v>
      </c>
      <c r="E804" s="1">
        <v>495</v>
      </c>
      <c r="F804" s="4">
        <v>30000000</v>
      </c>
      <c r="G804" s="4">
        <v>60606</v>
      </c>
      <c r="H804" s="1">
        <v>0</v>
      </c>
      <c r="I804" s="1">
        <v>2</v>
      </c>
      <c r="J804" s="1">
        <v>19</v>
      </c>
      <c r="K804" s="1" t="s">
        <v>58</v>
      </c>
      <c r="L804" s="1" t="s">
        <v>1650</v>
      </c>
      <c r="M804" s="1">
        <v>7</v>
      </c>
      <c r="N804" s="1">
        <v>9</v>
      </c>
      <c r="O804" s="1">
        <v>116484</v>
      </c>
      <c r="P804" s="1">
        <v>4.66</v>
      </c>
      <c r="Q804" s="1" t="s">
        <v>14</v>
      </c>
      <c r="R804" s="3">
        <v>0.48299999999999998</v>
      </c>
      <c r="S804" s="2">
        <v>45556</v>
      </c>
      <c r="T804" s="1">
        <v>184</v>
      </c>
      <c r="U804" s="1" t="s">
        <v>23</v>
      </c>
      <c r="V804" s="1">
        <v>93</v>
      </c>
      <c r="W804" s="1" t="b">
        <v>1</v>
      </c>
      <c r="X804" s="1" t="b">
        <v>1</v>
      </c>
      <c r="Y804" s="1">
        <v>0</v>
      </c>
    </row>
    <row r="805" spans="1:25" x14ac:dyDescent="0.35">
      <c r="A805" s="1" t="s">
        <v>1651</v>
      </c>
      <c r="B805" s="1" t="s">
        <v>9</v>
      </c>
      <c r="C805" s="1" t="s">
        <v>10</v>
      </c>
      <c r="D805" s="1" t="s">
        <v>27</v>
      </c>
      <c r="E805" s="1">
        <v>5892</v>
      </c>
      <c r="F805" s="4">
        <v>50000000</v>
      </c>
      <c r="G805" s="4">
        <v>8486</v>
      </c>
      <c r="H805" s="1">
        <v>6</v>
      </c>
      <c r="I805" s="1">
        <v>3</v>
      </c>
      <c r="J805" s="1">
        <v>10</v>
      </c>
      <c r="K805" s="1" t="s">
        <v>58</v>
      </c>
      <c r="L805" s="1" t="s">
        <v>1652</v>
      </c>
      <c r="M805" s="1">
        <v>4</v>
      </c>
      <c r="N805" s="1">
        <v>5</v>
      </c>
      <c r="O805" s="1">
        <v>189979</v>
      </c>
      <c r="P805" s="1">
        <v>4.5599999999999996</v>
      </c>
      <c r="Q805" s="1" t="s">
        <v>14</v>
      </c>
      <c r="R805" s="3">
        <v>0.47799999999999998</v>
      </c>
      <c r="S805" s="2">
        <v>45439</v>
      </c>
      <c r="T805" s="1">
        <v>143</v>
      </c>
      <c r="U805" s="1" t="s">
        <v>7</v>
      </c>
      <c r="V805" s="1">
        <v>122</v>
      </c>
      <c r="W805" s="1" t="b">
        <v>0</v>
      </c>
      <c r="X805" s="1" t="b">
        <v>0</v>
      </c>
      <c r="Y805" s="1">
        <v>100000</v>
      </c>
    </row>
    <row r="806" spans="1:25" x14ac:dyDescent="0.35">
      <c r="A806" s="1" t="s">
        <v>1653</v>
      </c>
      <c r="B806" s="1" t="s">
        <v>54</v>
      </c>
      <c r="C806" s="1" t="s">
        <v>64</v>
      </c>
      <c r="D806" s="1" t="s">
        <v>38</v>
      </c>
      <c r="E806" s="1">
        <v>3797</v>
      </c>
      <c r="F806" s="4">
        <v>40000000</v>
      </c>
      <c r="G806" s="4">
        <v>10534</v>
      </c>
      <c r="H806" s="1">
        <v>5</v>
      </c>
      <c r="I806" s="1">
        <v>3</v>
      </c>
      <c r="J806" s="1">
        <v>20</v>
      </c>
      <c r="K806" s="1" t="s">
        <v>28</v>
      </c>
      <c r="L806" s="1" t="s">
        <v>1654</v>
      </c>
      <c r="M806" s="1">
        <v>3</v>
      </c>
      <c r="N806" s="1">
        <v>9</v>
      </c>
      <c r="O806" s="1">
        <v>127759</v>
      </c>
      <c r="P806" s="1">
        <v>3.83</v>
      </c>
      <c r="Q806" s="1" t="s">
        <v>14</v>
      </c>
      <c r="R806" s="3">
        <v>0.44159999999999999</v>
      </c>
      <c r="S806" s="2">
        <v>46092</v>
      </c>
      <c r="T806" s="1">
        <v>34</v>
      </c>
      <c r="U806" s="1" t="s">
        <v>7</v>
      </c>
      <c r="V806" s="1">
        <v>153</v>
      </c>
      <c r="W806" s="1" t="b">
        <v>1</v>
      </c>
      <c r="X806" s="1" t="b">
        <v>0</v>
      </c>
      <c r="Y806" s="1">
        <v>80000</v>
      </c>
    </row>
    <row r="807" spans="1:25" x14ac:dyDescent="0.35">
      <c r="A807" s="1" t="s">
        <v>1655</v>
      </c>
      <c r="B807" s="1" t="s">
        <v>32</v>
      </c>
      <c r="C807" s="1" t="s">
        <v>67</v>
      </c>
      <c r="D807" s="1" t="s">
        <v>3</v>
      </c>
      <c r="E807" s="1">
        <v>2041</v>
      </c>
      <c r="F807" s="4">
        <v>12000000</v>
      </c>
      <c r="G807" s="4">
        <v>5879</v>
      </c>
      <c r="H807" s="1">
        <v>4</v>
      </c>
      <c r="I807" s="1">
        <v>2</v>
      </c>
      <c r="J807" s="1">
        <v>3</v>
      </c>
      <c r="K807" s="1" t="s">
        <v>58</v>
      </c>
      <c r="L807" s="1" t="s">
        <v>1656</v>
      </c>
      <c r="M807" s="1">
        <v>5</v>
      </c>
      <c r="N807" s="1">
        <v>7</v>
      </c>
      <c r="O807" s="1">
        <v>46794</v>
      </c>
      <c r="P807" s="1">
        <v>4.68</v>
      </c>
      <c r="Q807" s="1" t="s">
        <v>6</v>
      </c>
      <c r="R807" s="3">
        <v>0.48399999999999999</v>
      </c>
      <c r="S807" s="2">
        <v>45519</v>
      </c>
      <c r="T807" s="1">
        <v>136</v>
      </c>
      <c r="U807" s="1" t="s">
        <v>7</v>
      </c>
      <c r="V807" s="1">
        <v>126</v>
      </c>
      <c r="W807" s="1" t="b">
        <v>0</v>
      </c>
      <c r="X807" s="1" t="b">
        <v>1</v>
      </c>
      <c r="Y807" s="1">
        <v>0</v>
      </c>
    </row>
    <row r="808" spans="1:25" x14ac:dyDescent="0.35">
      <c r="A808" s="1" t="s">
        <v>1657</v>
      </c>
      <c r="B808" s="1" t="s">
        <v>1</v>
      </c>
      <c r="C808" s="1" t="s">
        <v>51</v>
      </c>
      <c r="D808" s="1" t="s">
        <v>38</v>
      </c>
      <c r="E808" s="1">
        <v>6607</v>
      </c>
      <c r="F808" s="4">
        <v>10000000</v>
      </c>
      <c r="G808" s="4">
        <v>1513</v>
      </c>
      <c r="H808" s="1">
        <v>5</v>
      </c>
      <c r="I808" s="1">
        <v>3</v>
      </c>
      <c r="J808" s="1">
        <v>18</v>
      </c>
      <c r="K808" s="1" t="s">
        <v>12</v>
      </c>
      <c r="L808" s="1" t="s">
        <v>1658</v>
      </c>
      <c r="M808" s="1">
        <v>5</v>
      </c>
      <c r="N808" s="1">
        <v>9</v>
      </c>
      <c r="O808" s="1">
        <v>25821</v>
      </c>
      <c r="P808" s="1">
        <v>3.1</v>
      </c>
      <c r="Q808" s="1" t="s">
        <v>6</v>
      </c>
      <c r="R808" s="3">
        <v>0.40490000000000004</v>
      </c>
      <c r="S808" s="2">
        <v>46029</v>
      </c>
      <c r="T808" s="1">
        <v>30</v>
      </c>
      <c r="U808" s="1" t="s">
        <v>30</v>
      </c>
      <c r="V808" s="1">
        <v>76</v>
      </c>
      <c r="W808" s="1" t="b">
        <v>0</v>
      </c>
      <c r="X808" s="1" t="b">
        <v>0</v>
      </c>
      <c r="Y808" s="1">
        <v>20000</v>
      </c>
    </row>
    <row r="809" spans="1:25" x14ac:dyDescent="0.35">
      <c r="A809" s="1" t="s">
        <v>1659</v>
      </c>
      <c r="B809" s="1" t="s">
        <v>1</v>
      </c>
      <c r="C809" s="1" t="s">
        <v>48</v>
      </c>
      <c r="D809" s="1" t="s">
        <v>3</v>
      </c>
      <c r="E809" s="1">
        <v>1838</v>
      </c>
      <c r="F809" s="4">
        <v>10000000</v>
      </c>
      <c r="G809" s="4">
        <v>5440</v>
      </c>
      <c r="H809" s="1">
        <v>1</v>
      </c>
      <c r="I809" s="1">
        <v>1</v>
      </c>
      <c r="J809" s="1">
        <v>15</v>
      </c>
      <c r="K809" s="1" t="s">
        <v>21</v>
      </c>
      <c r="L809" s="1" t="s">
        <v>222</v>
      </c>
      <c r="M809" s="1">
        <v>3</v>
      </c>
      <c r="N809" s="1">
        <v>9</v>
      </c>
      <c r="O809" s="1">
        <v>30239</v>
      </c>
      <c r="P809" s="1">
        <v>3.63</v>
      </c>
      <c r="Q809" s="1" t="s">
        <v>6</v>
      </c>
      <c r="R809" s="3">
        <v>0.43140000000000001</v>
      </c>
      <c r="S809" s="2">
        <v>45736</v>
      </c>
      <c r="T809" s="1">
        <v>52</v>
      </c>
      <c r="U809" s="1" t="s">
        <v>23</v>
      </c>
      <c r="V809" s="1">
        <v>62</v>
      </c>
      <c r="W809" s="1" t="b">
        <v>0</v>
      </c>
      <c r="X809" s="1" t="b">
        <v>0</v>
      </c>
      <c r="Y809" s="1">
        <v>0</v>
      </c>
    </row>
    <row r="810" spans="1:25" x14ac:dyDescent="0.35">
      <c r="A810" s="1" t="s">
        <v>1660</v>
      </c>
      <c r="B810" s="1" t="s">
        <v>32</v>
      </c>
      <c r="C810" s="1" t="s">
        <v>33</v>
      </c>
      <c r="D810" s="1" t="s">
        <v>11</v>
      </c>
      <c r="E810" s="1">
        <v>498</v>
      </c>
      <c r="F810" s="4">
        <v>12000000</v>
      </c>
      <c r="G810" s="4">
        <v>24096</v>
      </c>
      <c r="H810" s="1">
        <v>0</v>
      </c>
      <c r="I810" s="1">
        <v>1</v>
      </c>
      <c r="J810" s="1">
        <v>0</v>
      </c>
      <c r="K810" s="1" t="s">
        <v>61</v>
      </c>
      <c r="L810" s="1" t="s">
        <v>1661</v>
      </c>
      <c r="M810" s="1">
        <v>7</v>
      </c>
      <c r="N810" s="1">
        <v>6</v>
      </c>
      <c r="O810" s="1">
        <v>48410</v>
      </c>
      <c r="P810" s="1">
        <v>4.84</v>
      </c>
      <c r="Q810" s="1" t="s">
        <v>6</v>
      </c>
      <c r="R810" s="3">
        <v>0.49200000000000005</v>
      </c>
      <c r="S810" s="2">
        <v>45772</v>
      </c>
      <c r="T810" s="1">
        <v>315</v>
      </c>
      <c r="U810" s="1" t="s">
        <v>30</v>
      </c>
      <c r="V810" s="1">
        <v>172</v>
      </c>
      <c r="W810" s="1" t="b">
        <v>0</v>
      </c>
      <c r="X810" s="1" t="b">
        <v>0</v>
      </c>
      <c r="Y810" s="1">
        <v>0</v>
      </c>
    </row>
    <row r="811" spans="1:25" x14ac:dyDescent="0.35">
      <c r="A811" s="1" t="s">
        <v>1662</v>
      </c>
      <c r="B811" s="1" t="s">
        <v>18</v>
      </c>
      <c r="C811" s="1" t="s">
        <v>169</v>
      </c>
      <c r="D811" s="1" t="s">
        <v>20</v>
      </c>
      <c r="E811" s="1">
        <v>4732</v>
      </c>
      <c r="F811" s="4">
        <v>15000000</v>
      </c>
      <c r="G811" s="4">
        <v>3169</v>
      </c>
      <c r="H811" s="1">
        <v>5</v>
      </c>
      <c r="I811" s="1">
        <v>3</v>
      </c>
      <c r="J811" s="1">
        <v>5</v>
      </c>
      <c r="K811" s="1" t="s">
        <v>12</v>
      </c>
      <c r="L811" s="1" t="s">
        <v>1663</v>
      </c>
      <c r="M811" s="1">
        <v>3</v>
      </c>
      <c r="N811" s="1">
        <v>8</v>
      </c>
      <c r="O811" s="1">
        <v>48577</v>
      </c>
      <c r="P811" s="1">
        <v>3.89</v>
      </c>
      <c r="Q811" s="1" t="s">
        <v>6</v>
      </c>
      <c r="R811" s="3">
        <v>0.44429999999999997</v>
      </c>
      <c r="S811" s="2">
        <v>45606</v>
      </c>
      <c r="T811" s="1">
        <v>158</v>
      </c>
      <c r="U811" s="1" t="s">
        <v>23</v>
      </c>
      <c r="V811" s="1">
        <v>145</v>
      </c>
      <c r="W811" s="1" t="b">
        <v>0</v>
      </c>
      <c r="X811" s="1" t="b">
        <v>1</v>
      </c>
      <c r="Y811" s="1">
        <v>30000</v>
      </c>
    </row>
    <row r="812" spans="1:25" x14ac:dyDescent="0.35">
      <c r="A812" s="1" t="s">
        <v>1664</v>
      </c>
      <c r="B812" s="1" t="s">
        <v>32</v>
      </c>
      <c r="C812" s="1" t="s">
        <v>67</v>
      </c>
      <c r="D812" s="1" t="s">
        <v>3</v>
      </c>
      <c r="E812" s="1">
        <v>2141</v>
      </c>
      <c r="F812" s="4">
        <v>12000000</v>
      </c>
      <c r="G812" s="4">
        <v>5604</v>
      </c>
      <c r="H812" s="1">
        <v>2</v>
      </c>
      <c r="I812" s="1">
        <v>1</v>
      </c>
      <c r="J812" s="1">
        <v>27</v>
      </c>
      <c r="K812" s="1" t="s">
        <v>61</v>
      </c>
      <c r="L812" s="1" t="s">
        <v>1665</v>
      </c>
      <c r="M812" s="1">
        <v>5</v>
      </c>
      <c r="N812" s="1">
        <v>7</v>
      </c>
      <c r="O812" s="1">
        <v>36730</v>
      </c>
      <c r="P812" s="1">
        <v>3.67</v>
      </c>
      <c r="Q812" s="1" t="s">
        <v>6</v>
      </c>
      <c r="R812" s="3">
        <v>0.43359999999999999</v>
      </c>
      <c r="S812" s="2">
        <v>45860</v>
      </c>
      <c r="T812" s="1">
        <v>310</v>
      </c>
      <c r="U812" s="1" t="s">
        <v>7</v>
      </c>
      <c r="V812" s="1">
        <v>115</v>
      </c>
      <c r="W812" s="1" t="b">
        <v>0</v>
      </c>
      <c r="X812" s="1" t="b">
        <v>1</v>
      </c>
      <c r="Y812" s="1">
        <v>24000</v>
      </c>
    </row>
    <row r="813" spans="1:25" x14ac:dyDescent="0.35">
      <c r="A813" s="1" t="s">
        <v>1666</v>
      </c>
      <c r="B813" s="1" t="s">
        <v>9</v>
      </c>
      <c r="C813" s="1" t="s">
        <v>142</v>
      </c>
      <c r="D813" s="1" t="s">
        <v>11</v>
      </c>
      <c r="E813" s="1">
        <v>332</v>
      </c>
      <c r="F813" s="4">
        <v>50000000</v>
      </c>
      <c r="G813" s="4">
        <v>150602</v>
      </c>
      <c r="H813" s="1">
        <v>0</v>
      </c>
      <c r="I813" s="1">
        <v>1</v>
      </c>
      <c r="J813" s="1">
        <v>5</v>
      </c>
      <c r="K813" s="1" t="s">
        <v>42</v>
      </c>
      <c r="L813" s="1" t="s">
        <v>1667</v>
      </c>
      <c r="M813" s="1">
        <v>4</v>
      </c>
      <c r="N813" s="1">
        <v>6</v>
      </c>
      <c r="O813" s="1">
        <v>164495</v>
      </c>
      <c r="P813" s="1">
        <v>3.95</v>
      </c>
      <c r="Q813" s="1" t="s">
        <v>14</v>
      </c>
      <c r="R813" s="3">
        <v>0.44740000000000002</v>
      </c>
      <c r="S813" s="2">
        <v>45746</v>
      </c>
      <c r="T813" s="1">
        <v>200</v>
      </c>
      <c r="U813" s="1" t="s">
        <v>7</v>
      </c>
      <c r="V813" s="1">
        <v>47</v>
      </c>
      <c r="W813" s="1" t="b">
        <v>1</v>
      </c>
      <c r="X813" s="1" t="b">
        <v>1</v>
      </c>
      <c r="Y813" s="1">
        <v>100000</v>
      </c>
    </row>
    <row r="814" spans="1:25" x14ac:dyDescent="0.35">
      <c r="A814" s="1" t="s">
        <v>1668</v>
      </c>
      <c r="B814" s="1" t="s">
        <v>25</v>
      </c>
      <c r="C814" s="1" t="s">
        <v>26</v>
      </c>
      <c r="D814" s="1" t="s">
        <v>3</v>
      </c>
      <c r="E814" s="1">
        <v>778</v>
      </c>
      <c r="F814" s="4">
        <v>30000000</v>
      </c>
      <c r="G814" s="4">
        <v>38560</v>
      </c>
      <c r="H814" s="1">
        <v>3</v>
      </c>
      <c r="I814" s="1">
        <v>2</v>
      </c>
      <c r="J814" s="1">
        <v>17</v>
      </c>
      <c r="K814" s="1" t="s">
        <v>42</v>
      </c>
      <c r="L814" s="1" t="s">
        <v>1669</v>
      </c>
      <c r="M814" s="1">
        <v>7</v>
      </c>
      <c r="N814" s="1">
        <v>8</v>
      </c>
      <c r="O814" s="1">
        <v>124098</v>
      </c>
      <c r="P814" s="1">
        <v>4.96</v>
      </c>
      <c r="Q814" s="1" t="s">
        <v>14</v>
      </c>
      <c r="R814" s="3">
        <v>0.49819999999999998</v>
      </c>
      <c r="S814" s="2">
        <v>45664</v>
      </c>
      <c r="T814" s="1">
        <v>101</v>
      </c>
      <c r="U814" s="1" t="s">
        <v>30</v>
      </c>
      <c r="V814" s="1">
        <v>62</v>
      </c>
      <c r="W814" s="1" t="b">
        <v>1</v>
      </c>
      <c r="X814" s="1" t="b">
        <v>1</v>
      </c>
      <c r="Y814" s="1">
        <v>0</v>
      </c>
    </row>
    <row r="815" spans="1:25" x14ac:dyDescent="0.35">
      <c r="A815" s="1" t="s">
        <v>1670</v>
      </c>
      <c r="B815" s="1" t="s">
        <v>18</v>
      </c>
      <c r="C815" s="1" t="s">
        <v>169</v>
      </c>
      <c r="D815" s="1" t="s">
        <v>20</v>
      </c>
      <c r="E815" s="1">
        <v>3327</v>
      </c>
      <c r="F815" s="4">
        <v>15000000</v>
      </c>
      <c r="G815" s="4">
        <v>4508</v>
      </c>
      <c r="H815" s="1">
        <v>3</v>
      </c>
      <c r="I815" s="1">
        <v>2</v>
      </c>
      <c r="J815" s="1">
        <v>25</v>
      </c>
      <c r="K815" s="1" t="s">
        <v>58</v>
      </c>
      <c r="L815" s="1" t="s">
        <v>1671</v>
      </c>
      <c r="M815" s="1">
        <v>5</v>
      </c>
      <c r="N815" s="1">
        <v>9</v>
      </c>
      <c r="O815" s="1">
        <v>38836</v>
      </c>
      <c r="P815" s="1">
        <v>3.11</v>
      </c>
      <c r="Q815" s="1" t="s">
        <v>6</v>
      </c>
      <c r="R815" s="3">
        <v>0.40529999999999999</v>
      </c>
      <c r="S815" s="2">
        <v>45615</v>
      </c>
      <c r="T815" s="1">
        <v>176</v>
      </c>
      <c r="U815" s="1" t="s">
        <v>7</v>
      </c>
      <c r="V815" s="1">
        <v>152</v>
      </c>
      <c r="W815" s="1" t="b">
        <v>1</v>
      </c>
      <c r="X815" s="1" t="b">
        <v>0</v>
      </c>
      <c r="Y815" s="1">
        <v>0</v>
      </c>
    </row>
    <row r="816" spans="1:25" x14ac:dyDescent="0.35">
      <c r="A816" s="1" t="s">
        <v>1672</v>
      </c>
      <c r="B816" s="1" t="s">
        <v>1</v>
      </c>
      <c r="C816" s="1" t="s">
        <v>51</v>
      </c>
      <c r="D816" s="1" t="s">
        <v>11</v>
      </c>
      <c r="E816" s="1">
        <v>522</v>
      </c>
      <c r="F816" s="4">
        <v>10000000</v>
      </c>
      <c r="G816" s="4">
        <v>19157</v>
      </c>
      <c r="H816" s="1">
        <v>0</v>
      </c>
      <c r="I816" s="1">
        <v>2</v>
      </c>
      <c r="J816" s="1">
        <v>17</v>
      </c>
      <c r="K816" s="1" t="s">
        <v>34</v>
      </c>
      <c r="L816" s="1" t="s">
        <v>1673</v>
      </c>
      <c r="M816" s="1">
        <v>5</v>
      </c>
      <c r="N816" s="1">
        <v>8</v>
      </c>
      <c r="O816" s="1">
        <v>36195</v>
      </c>
      <c r="P816" s="1">
        <v>4.34</v>
      </c>
      <c r="Q816" s="1" t="s">
        <v>6</v>
      </c>
      <c r="R816" s="3">
        <v>0.4672</v>
      </c>
      <c r="S816" s="2">
        <v>45445</v>
      </c>
      <c r="T816" s="1">
        <v>130</v>
      </c>
      <c r="U816" s="1" t="s">
        <v>30</v>
      </c>
      <c r="V816" s="1">
        <v>113</v>
      </c>
      <c r="W816" s="1" t="b">
        <v>0</v>
      </c>
      <c r="X816" s="1" t="b">
        <v>0</v>
      </c>
      <c r="Y816" s="1">
        <v>20000</v>
      </c>
    </row>
    <row r="817" spans="1:25" x14ac:dyDescent="0.35">
      <c r="A817" s="1" t="s">
        <v>1674</v>
      </c>
      <c r="B817" s="1" t="s">
        <v>9</v>
      </c>
      <c r="C817" s="1" t="s">
        <v>142</v>
      </c>
      <c r="D817" s="1" t="s">
        <v>11</v>
      </c>
      <c r="E817" s="1">
        <v>380</v>
      </c>
      <c r="F817" s="4">
        <v>50000000</v>
      </c>
      <c r="G817" s="4">
        <v>131578</v>
      </c>
      <c r="H817" s="1">
        <v>1</v>
      </c>
      <c r="I817" s="1">
        <v>2</v>
      </c>
      <c r="J817" s="1">
        <v>9</v>
      </c>
      <c r="K817" s="1" t="s">
        <v>4</v>
      </c>
      <c r="L817" s="1" t="s">
        <v>1675</v>
      </c>
      <c r="M817" s="1">
        <v>8</v>
      </c>
      <c r="N817" s="1">
        <v>8</v>
      </c>
      <c r="O817" s="1">
        <v>184410</v>
      </c>
      <c r="P817" s="1">
        <v>4.43</v>
      </c>
      <c r="Q817" s="1" t="s">
        <v>14</v>
      </c>
      <c r="R817" s="3">
        <v>0.47130000000000005</v>
      </c>
      <c r="S817" s="2">
        <v>45698</v>
      </c>
      <c r="T817" s="1">
        <v>350</v>
      </c>
      <c r="U817" s="1" t="s">
        <v>7</v>
      </c>
      <c r="V817" s="1">
        <v>155</v>
      </c>
      <c r="W817" s="1" t="b">
        <v>1</v>
      </c>
      <c r="X817" s="1" t="b">
        <v>0</v>
      </c>
      <c r="Y817" s="1">
        <v>0</v>
      </c>
    </row>
    <row r="818" spans="1:25" x14ac:dyDescent="0.35">
      <c r="A818" s="1" t="s">
        <v>1676</v>
      </c>
      <c r="B818" s="1" t="s">
        <v>18</v>
      </c>
      <c r="C818" s="1" t="s">
        <v>217</v>
      </c>
      <c r="D818" s="1" t="s">
        <v>27</v>
      </c>
      <c r="E818" s="1">
        <v>7443</v>
      </c>
      <c r="F818" s="4">
        <v>15000000</v>
      </c>
      <c r="G818" s="4">
        <v>2015</v>
      </c>
      <c r="H818" s="1">
        <v>5</v>
      </c>
      <c r="I818" s="1">
        <v>2</v>
      </c>
      <c r="J818" s="1">
        <v>15</v>
      </c>
      <c r="K818" s="1" t="s">
        <v>61</v>
      </c>
      <c r="L818" s="1" t="s">
        <v>1677</v>
      </c>
      <c r="M818" s="1">
        <v>4</v>
      </c>
      <c r="N818" s="1">
        <v>9</v>
      </c>
      <c r="O818" s="1">
        <v>59943</v>
      </c>
      <c r="P818" s="1">
        <v>4.8</v>
      </c>
      <c r="Q818" s="1" t="s">
        <v>6</v>
      </c>
      <c r="R818" s="3">
        <v>0.48979999999999996</v>
      </c>
      <c r="S818" s="2">
        <v>45794</v>
      </c>
      <c r="T818" s="1">
        <v>32</v>
      </c>
      <c r="U818" s="1" t="s">
        <v>30</v>
      </c>
      <c r="V818" s="1">
        <v>168</v>
      </c>
      <c r="W818" s="1" t="b">
        <v>1</v>
      </c>
      <c r="X818" s="1" t="b">
        <v>0</v>
      </c>
      <c r="Y818" s="1">
        <v>30000</v>
      </c>
    </row>
    <row r="819" spans="1:25" x14ac:dyDescent="0.35">
      <c r="A819" s="1" t="s">
        <v>1678</v>
      </c>
      <c r="B819" s="1" t="s">
        <v>9</v>
      </c>
      <c r="C819" s="1" t="s">
        <v>163</v>
      </c>
      <c r="D819" s="1" t="s">
        <v>20</v>
      </c>
      <c r="E819" s="1">
        <v>4427</v>
      </c>
      <c r="F819" s="4">
        <v>50000000</v>
      </c>
      <c r="G819" s="4">
        <v>11294</v>
      </c>
      <c r="H819" s="1">
        <v>3</v>
      </c>
      <c r="I819" s="1">
        <v>1</v>
      </c>
      <c r="J819" s="1">
        <v>12</v>
      </c>
      <c r="K819" s="1" t="s">
        <v>4</v>
      </c>
      <c r="L819" s="1" t="s">
        <v>1679</v>
      </c>
      <c r="M819" s="1">
        <v>7</v>
      </c>
      <c r="N819" s="1">
        <v>9</v>
      </c>
      <c r="O819" s="1">
        <v>125984</v>
      </c>
      <c r="P819" s="1">
        <v>3.02</v>
      </c>
      <c r="Q819" s="1" t="s">
        <v>14</v>
      </c>
      <c r="R819" s="3">
        <v>0.4012</v>
      </c>
      <c r="S819" s="2">
        <v>45440</v>
      </c>
      <c r="T819" s="1">
        <v>264</v>
      </c>
      <c r="U819" s="1" t="s">
        <v>30</v>
      </c>
      <c r="V819" s="1">
        <v>56</v>
      </c>
      <c r="W819" s="1" t="b">
        <v>1</v>
      </c>
      <c r="X819" s="1" t="b">
        <v>0</v>
      </c>
      <c r="Y819" s="1">
        <v>0</v>
      </c>
    </row>
    <row r="820" spans="1:25" x14ac:dyDescent="0.35">
      <c r="A820" s="1" t="s">
        <v>1680</v>
      </c>
      <c r="B820" s="1" t="s">
        <v>18</v>
      </c>
      <c r="C820" s="1" t="s">
        <v>166</v>
      </c>
      <c r="D820" s="1" t="s">
        <v>20</v>
      </c>
      <c r="E820" s="1">
        <v>3606</v>
      </c>
      <c r="F820" s="4">
        <v>15000000</v>
      </c>
      <c r="G820" s="4">
        <v>4159</v>
      </c>
      <c r="H820" s="1">
        <v>2</v>
      </c>
      <c r="I820" s="1">
        <v>2</v>
      </c>
      <c r="J820" s="1">
        <v>11</v>
      </c>
      <c r="K820" s="1" t="s">
        <v>12</v>
      </c>
      <c r="L820" s="1" t="s">
        <v>1681</v>
      </c>
      <c r="M820" s="1">
        <v>4</v>
      </c>
      <c r="N820" s="1">
        <v>8</v>
      </c>
      <c r="O820" s="1">
        <v>48187</v>
      </c>
      <c r="P820" s="1">
        <v>3.85</v>
      </c>
      <c r="Q820" s="1" t="s">
        <v>6</v>
      </c>
      <c r="R820" s="3">
        <v>0.44270000000000004</v>
      </c>
      <c r="S820" s="2">
        <v>45612</v>
      </c>
      <c r="T820" s="1">
        <v>353</v>
      </c>
      <c r="U820" s="1" t="s">
        <v>7</v>
      </c>
      <c r="V820" s="1">
        <v>122</v>
      </c>
      <c r="W820" s="1" t="b">
        <v>1</v>
      </c>
      <c r="X820" s="1" t="b">
        <v>0</v>
      </c>
      <c r="Y820" s="1">
        <v>30000</v>
      </c>
    </row>
    <row r="821" spans="1:25" x14ac:dyDescent="0.35">
      <c r="A821" s="1" t="s">
        <v>1682</v>
      </c>
      <c r="B821" s="1" t="s">
        <v>18</v>
      </c>
      <c r="C821" s="1" t="s">
        <v>243</v>
      </c>
      <c r="D821" s="1" t="s">
        <v>38</v>
      </c>
      <c r="E821" s="1">
        <v>3877</v>
      </c>
      <c r="F821" s="4">
        <v>15000000</v>
      </c>
      <c r="G821" s="4">
        <v>3868</v>
      </c>
      <c r="H821" s="1">
        <v>4</v>
      </c>
      <c r="I821" s="1">
        <v>3</v>
      </c>
      <c r="J821" s="1">
        <v>7</v>
      </c>
      <c r="K821" s="1" t="s">
        <v>21</v>
      </c>
      <c r="L821" s="1" t="s">
        <v>1683</v>
      </c>
      <c r="M821" s="1">
        <v>8</v>
      </c>
      <c r="N821" s="1">
        <v>8</v>
      </c>
      <c r="O821" s="1">
        <v>51697</v>
      </c>
      <c r="P821" s="1">
        <v>4.1399999999999997</v>
      </c>
      <c r="Q821" s="1" t="s">
        <v>6</v>
      </c>
      <c r="R821" s="3">
        <v>0.45679999999999998</v>
      </c>
      <c r="S821" s="2">
        <v>45721</v>
      </c>
      <c r="T821" s="1">
        <v>80</v>
      </c>
      <c r="U821" s="1" t="s">
        <v>23</v>
      </c>
      <c r="V821" s="1">
        <v>161</v>
      </c>
      <c r="W821" s="1" t="b">
        <v>1</v>
      </c>
      <c r="X821" s="1" t="b">
        <v>0</v>
      </c>
      <c r="Y821" s="1">
        <v>0</v>
      </c>
    </row>
    <row r="822" spans="1:25" x14ac:dyDescent="0.35">
      <c r="A822" s="1" t="s">
        <v>1684</v>
      </c>
      <c r="B822" s="1" t="s">
        <v>18</v>
      </c>
      <c r="C822" s="1" t="s">
        <v>166</v>
      </c>
      <c r="D822" s="1" t="s">
        <v>27</v>
      </c>
      <c r="E822" s="1">
        <v>5926</v>
      </c>
      <c r="F822" s="4">
        <v>15000000</v>
      </c>
      <c r="G822" s="4">
        <v>2531</v>
      </c>
      <c r="H822" s="1">
        <v>3</v>
      </c>
      <c r="I822" s="1">
        <v>2</v>
      </c>
      <c r="J822" s="1">
        <v>26</v>
      </c>
      <c r="K822" s="1" t="s">
        <v>21</v>
      </c>
      <c r="L822" s="1" t="s">
        <v>1685</v>
      </c>
      <c r="M822" s="1">
        <v>6</v>
      </c>
      <c r="N822" s="1">
        <v>10</v>
      </c>
      <c r="O822" s="1">
        <v>41875</v>
      </c>
      <c r="P822" s="1">
        <v>3.35</v>
      </c>
      <c r="Q822" s="1" t="s">
        <v>6</v>
      </c>
      <c r="R822" s="3">
        <v>0.41749999999999998</v>
      </c>
      <c r="S822" s="2">
        <v>46021</v>
      </c>
      <c r="T822" s="1">
        <v>333</v>
      </c>
      <c r="U822" s="1" t="s">
        <v>23</v>
      </c>
      <c r="V822" s="1">
        <v>172</v>
      </c>
      <c r="W822" s="1" t="b">
        <v>1</v>
      </c>
      <c r="X822" s="1" t="b">
        <v>0</v>
      </c>
      <c r="Y822" s="1">
        <v>30000</v>
      </c>
    </row>
    <row r="823" spans="1:25" x14ac:dyDescent="0.35">
      <c r="A823" s="1" t="s">
        <v>1686</v>
      </c>
      <c r="B823" s="1" t="s">
        <v>32</v>
      </c>
      <c r="C823" s="1" t="s">
        <v>41</v>
      </c>
      <c r="D823" s="1" t="s">
        <v>27</v>
      </c>
      <c r="E823" s="1">
        <v>6653</v>
      </c>
      <c r="F823" s="4">
        <v>12000000</v>
      </c>
      <c r="G823" s="4">
        <v>1803</v>
      </c>
      <c r="H823" s="1">
        <v>3</v>
      </c>
      <c r="I823" s="1">
        <v>1</v>
      </c>
      <c r="J823" s="1">
        <v>3</v>
      </c>
      <c r="K823" s="1" t="s">
        <v>28</v>
      </c>
      <c r="L823" s="1" t="s">
        <v>1687</v>
      </c>
      <c r="M823" s="1">
        <v>8</v>
      </c>
      <c r="N823" s="1">
        <v>4</v>
      </c>
      <c r="O823" s="1">
        <v>41140</v>
      </c>
      <c r="P823" s="1">
        <v>4.1100000000000003</v>
      </c>
      <c r="Q823" s="1" t="s">
        <v>6</v>
      </c>
      <c r="R823" s="3">
        <v>0.45569999999999999</v>
      </c>
      <c r="S823" s="2">
        <v>45939</v>
      </c>
      <c r="T823" s="1">
        <v>60</v>
      </c>
      <c r="U823" s="1" t="s">
        <v>7</v>
      </c>
      <c r="V823" s="1">
        <v>41</v>
      </c>
      <c r="W823" s="1" t="b">
        <v>1</v>
      </c>
      <c r="X823" s="1" t="b">
        <v>1</v>
      </c>
      <c r="Y823" s="1">
        <v>24000</v>
      </c>
    </row>
    <row r="824" spans="1:25" x14ac:dyDescent="0.35">
      <c r="A824" s="1" t="s">
        <v>1688</v>
      </c>
      <c r="B824" s="1" t="s">
        <v>25</v>
      </c>
      <c r="C824" s="1" t="s">
        <v>314</v>
      </c>
      <c r="D824" s="1" t="s">
        <v>3</v>
      </c>
      <c r="E824" s="1">
        <v>658</v>
      </c>
      <c r="F824" s="4">
        <v>30000000</v>
      </c>
      <c r="G824" s="4">
        <v>45592</v>
      </c>
      <c r="H824" s="1">
        <v>4</v>
      </c>
      <c r="I824" s="1">
        <v>3</v>
      </c>
      <c r="J824" s="1">
        <v>13</v>
      </c>
      <c r="K824" s="1" t="s">
        <v>42</v>
      </c>
      <c r="L824" s="1" t="s">
        <v>1689</v>
      </c>
      <c r="M824" s="1">
        <v>6</v>
      </c>
      <c r="N824" s="1">
        <v>6</v>
      </c>
      <c r="O824" s="1">
        <v>81085</v>
      </c>
      <c r="P824" s="1">
        <v>3.24</v>
      </c>
      <c r="Q824" s="1" t="s">
        <v>14</v>
      </c>
      <c r="R824" s="3">
        <v>0.41220000000000001</v>
      </c>
      <c r="S824" s="2">
        <v>45596</v>
      </c>
      <c r="T824" s="1">
        <v>191</v>
      </c>
      <c r="U824" s="1" t="s">
        <v>7</v>
      </c>
      <c r="V824" s="1">
        <v>78</v>
      </c>
      <c r="W824" s="1" t="b">
        <v>0</v>
      </c>
      <c r="X824" s="1" t="b">
        <v>1</v>
      </c>
      <c r="Y824" s="1">
        <v>0</v>
      </c>
    </row>
    <row r="825" spans="1:25" x14ac:dyDescent="0.35">
      <c r="A825" s="1" t="s">
        <v>1690</v>
      </c>
      <c r="B825" s="1" t="s">
        <v>9</v>
      </c>
      <c r="C825" s="1" t="s">
        <v>142</v>
      </c>
      <c r="D825" s="1" t="s">
        <v>27</v>
      </c>
      <c r="E825" s="1">
        <v>6530</v>
      </c>
      <c r="F825" s="4">
        <v>50000000</v>
      </c>
      <c r="G825" s="4">
        <v>7656</v>
      </c>
      <c r="H825" s="1">
        <v>5</v>
      </c>
      <c r="I825" s="1">
        <v>3</v>
      </c>
      <c r="J825" s="1">
        <v>20</v>
      </c>
      <c r="K825" s="1" t="s">
        <v>42</v>
      </c>
      <c r="L825" s="1" t="s">
        <v>1691</v>
      </c>
      <c r="M825" s="1">
        <v>4</v>
      </c>
      <c r="N825" s="1">
        <v>5</v>
      </c>
      <c r="O825" s="1">
        <v>190253</v>
      </c>
      <c r="P825" s="1">
        <v>4.57</v>
      </c>
      <c r="Q825" s="1" t="s">
        <v>14</v>
      </c>
      <c r="R825" s="3">
        <v>0.4783</v>
      </c>
      <c r="S825" s="2">
        <v>45593</v>
      </c>
      <c r="T825" s="1">
        <v>159</v>
      </c>
      <c r="U825" s="1" t="s">
        <v>30</v>
      </c>
      <c r="V825" s="1">
        <v>110</v>
      </c>
      <c r="W825" s="1" t="b">
        <v>0</v>
      </c>
      <c r="X825" s="1" t="b">
        <v>0</v>
      </c>
      <c r="Y825" s="1">
        <v>100000</v>
      </c>
    </row>
    <row r="826" spans="1:25" x14ac:dyDescent="0.35">
      <c r="A826" s="1" t="s">
        <v>1692</v>
      </c>
      <c r="B826" s="1" t="s">
        <v>9</v>
      </c>
      <c r="C826" s="1" t="s">
        <v>189</v>
      </c>
      <c r="D826" s="1" t="s">
        <v>27</v>
      </c>
      <c r="E826" s="1">
        <v>2138</v>
      </c>
      <c r="F826" s="4">
        <v>50000000</v>
      </c>
      <c r="G826" s="4">
        <v>23386</v>
      </c>
      <c r="H826" s="1">
        <v>6</v>
      </c>
      <c r="I826" s="1">
        <v>4</v>
      </c>
      <c r="J826" s="1">
        <v>29</v>
      </c>
      <c r="K826" s="1" t="s">
        <v>21</v>
      </c>
      <c r="L826" s="1" t="s">
        <v>1693</v>
      </c>
      <c r="M826" s="1">
        <v>4</v>
      </c>
      <c r="N826" s="1">
        <v>4</v>
      </c>
      <c r="O826" s="1">
        <v>131211</v>
      </c>
      <c r="P826" s="1">
        <v>3.15</v>
      </c>
      <c r="Q826" s="1" t="s">
        <v>14</v>
      </c>
      <c r="R826" s="3">
        <v>0.40749999999999997</v>
      </c>
      <c r="S826" s="2">
        <v>46136</v>
      </c>
      <c r="T826" s="1">
        <v>222</v>
      </c>
      <c r="U826" s="1" t="s">
        <v>23</v>
      </c>
      <c r="V826" s="1">
        <v>141</v>
      </c>
      <c r="W826" s="1" t="b">
        <v>0</v>
      </c>
      <c r="X826" s="1" t="b">
        <v>0</v>
      </c>
      <c r="Y826" s="1">
        <v>0</v>
      </c>
    </row>
    <row r="827" spans="1:25" x14ac:dyDescent="0.35">
      <c r="A827" s="1" t="s">
        <v>1694</v>
      </c>
      <c r="B827" s="1" t="s">
        <v>9</v>
      </c>
      <c r="C827" s="1" t="s">
        <v>189</v>
      </c>
      <c r="D827" s="1" t="s">
        <v>3</v>
      </c>
      <c r="E827" s="1">
        <v>2009</v>
      </c>
      <c r="F827" s="4">
        <v>50000000</v>
      </c>
      <c r="G827" s="4">
        <v>24888</v>
      </c>
      <c r="H827" s="1">
        <v>3</v>
      </c>
      <c r="I827" s="1">
        <v>2</v>
      </c>
      <c r="J827" s="1">
        <v>27</v>
      </c>
      <c r="K827" s="1" t="s">
        <v>28</v>
      </c>
      <c r="L827" s="1" t="s">
        <v>1695</v>
      </c>
      <c r="M827" s="1">
        <v>3</v>
      </c>
      <c r="N827" s="1">
        <v>10</v>
      </c>
      <c r="O827" s="1">
        <v>170137</v>
      </c>
      <c r="P827" s="1">
        <v>4.08</v>
      </c>
      <c r="Q827" s="1" t="s">
        <v>14</v>
      </c>
      <c r="R827" s="3">
        <v>0.45419999999999999</v>
      </c>
      <c r="S827" s="2">
        <v>46054</v>
      </c>
      <c r="T827" s="1">
        <v>317</v>
      </c>
      <c r="U827" s="1" t="s">
        <v>7</v>
      </c>
      <c r="V827" s="1">
        <v>98</v>
      </c>
      <c r="W827" s="1" t="b">
        <v>0</v>
      </c>
      <c r="X827" s="1" t="b">
        <v>1</v>
      </c>
      <c r="Y827" s="1">
        <v>100000</v>
      </c>
    </row>
    <row r="828" spans="1:25" x14ac:dyDescent="0.35">
      <c r="A828" s="1" t="s">
        <v>1696</v>
      </c>
      <c r="B828" s="1" t="s">
        <v>54</v>
      </c>
      <c r="C828" s="1" t="s">
        <v>79</v>
      </c>
      <c r="D828" s="1" t="s">
        <v>27</v>
      </c>
      <c r="E828" s="1">
        <v>5521</v>
      </c>
      <c r="F828" s="4">
        <v>40000000</v>
      </c>
      <c r="G828" s="4">
        <v>7245</v>
      </c>
      <c r="H828" s="1">
        <v>6</v>
      </c>
      <c r="I828" s="1">
        <v>3</v>
      </c>
      <c r="J828" s="1">
        <v>9</v>
      </c>
      <c r="K828" s="1" t="s">
        <v>28</v>
      </c>
      <c r="L828" s="1" t="s">
        <v>1697</v>
      </c>
      <c r="M828" s="1">
        <v>7</v>
      </c>
      <c r="N828" s="1">
        <v>9</v>
      </c>
      <c r="O828" s="1">
        <v>135995</v>
      </c>
      <c r="P828" s="1">
        <v>4.08</v>
      </c>
      <c r="Q828" s="1" t="s">
        <v>14</v>
      </c>
      <c r="R828" s="3">
        <v>0.45399999999999996</v>
      </c>
      <c r="S828" s="2">
        <v>45585</v>
      </c>
      <c r="T828" s="1">
        <v>61</v>
      </c>
      <c r="U828" s="1" t="s">
        <v>7</v>
      </c>
      <c r="V828" s="1">
        <v>174</v>
      </c>
      <c r="W828" s="1" t="b">
        <v>0</v>
      </c>
      <c r="X828" s="1" t="b">
        <v>0</v>
      </c>
      <c r="Y828" s="1">
        <v>80000</v>
      </c>
    </row>
    <row r="829" spans="1:25" x14ac:dyDescent="0.35">
      <c r="A829" s="1" t="s">
        <v>1698</v>
      </c>
      <c r="B829" s="1" t="s">
        <v>54</v>
      </c>
      <c r="C829" s="1" t="s">
        <v>64</v>
      </c>
      <c r="D829" s="1" t="s">
        <v>20</v>
      </c>
      <c r="E829" s="1">
        <v>4788</v>
      </c>
      <c r="F829" s="4">
        <v>40000000</v>
      </c>
      <c r="G829" s="4">
        <v>8354</v>
      </c>
      <c r="H829" s="1">
        <v>5</v>
      </c>
      <c r="I829" s="1">
        <v>2</v>
      </c>
      <c r="J829" s="1">
        <v>11</v>
      </c>
      <c r="K829" s="1" t="s">
        <v>4</v>
      </c>
      <c r="L829" s="1" t="s">
        <v>1699</v>
      </c>
      <c r="M829" s="1">
        <v>6</v>
      </c>
      <c r="N829" s="1">
        <v>9</v>
      </c>
      <c r="O829" s="1">
        <v>162884</v>
      </c>
      <c r="P829" s="1">
        <v>4.8899999999999997</v>
      </c>
      <c r="Q829" s="1" t="s">
        <v>14</v>
      </c>
      <c r="R829" s="3">
        <v>0.49430000000000002</v>
      </c>
      <c r="S829" s="2">
        <v>46021</v>
      </c>
      <c r="T829" s="1">
        <v>233</v>
      </c>
      <c r="U829" s="1" t="s">
        <v>7</v>
      </c>
      <c r="V829" s="1">
        <v>121</v>
      </c>
      <c r="W829" s="1" t="b">
        <v>1</v>
      </c>
      <c r="X829" s="1" t="b">
        <v>0</v>
      </c>
      <c r="Y829" s="1">
        <v>80000</v>
      </c>
    </row>
    <row r="830" spans="1:25" x14ac:dyDescent="0.35">
      <c r="A830" s="1" t="s">
        <v>1700</v>
      </c>
      <c r="B830" s="1" t="s">
        <v>54</v>
      </c>
      <c r="C830" s="1" t="s">
        <v>64</v>
      </c>
      <c r="D830" s="1" t="s">
        <v>38</v>
      </c>
      <c r="E830" s="1">
        <v>3047</v>
      </c>
      <c r="F830" s="4">
        <v>40000000</v>
      </c>
      <c r="G830" s="4">
        <v>13127</v>
      </c>
      <c r="H830" s="1">
        <v>6</v>
      </c>
      <c r="I830" s="1">
        <v>4</v>
      </c>
      <c r="J830" s="1">
        <v>29</v>
      </c>
      <c r="K830" s="1" t="s">
        <v>12</v>
      </c>
      <c r="L830" s="1" t="s">
        <v>1701</v>
      </c>
      <c r="M830" s="1">
        <v>4</v>
      </c>
      <c r="N830" s="1">
        <v>9</v>
      </c>
      <c r="O830" s="1">
        <v>107851</v>
      </c>
      <c r="P830" s="1">
        <v>3.24</v>
      </c>
      <c r="Q830" s="1" t="s">
        <v>14</v>
      </c>
      <c r="R830" s="3">
        <v>0.4118</v>
      </c>
      <c r="S830" s="2">
        <v>45658</v>
      </c>
      <c r="T830" s="1">
        <v>344</v>
      </c>
      <c r="U830" s="1" t="s">
        <v>7</v>
      </c>
      <c r="V830" s="1">
        <v>53</v>
      </c>
      <c r="W830" s="1" t="b">
        <v>1</v>
      </c>
      <c r="X830" s="1" t="b">
        <v>0</v>
      </c>
      <c r="Y830" s="1">
        <v>0</v>
      </c>
    </row>
    <row r="831" spans="1:25" x14ac:dyDescent="0.35">
      <c r="A831" s="1" t="s">
        <v>1702</v>
      </c>
      <c r="B831" s="1" t="s">
        <v>18</v>
      </c>
      <c r="C831" s="1" t="s">
        <v>166</v>
      </c>
      <c r="D831" s="1" t="s">
        <v>27</v>
      </c>
      <c r="E831" s="1">
        <v>2611</v>
      </c>
      <c r="F831" s="4">
        <v>15000000</v>
      </c>
      <c r="G831" s="4">
        <v>5744</v>
      </c>
      <c r="H831" s="1">
        <v>3</v>
      </c>
      <c r="I831" s="1">
        <v>1</v>
      </c>
      <c r="J831" s="1">
        <v>8</v>
      </c>
      <c r="K831" s="1" t="s">
        <v>21</v>
      </c>
      <c r="L831" s="1" t="s">
        <v>943</v>
      </c>
      <c r="M831" s="1">
        <v>3</v>
      </c>
      <c r="N831" s="1">
        <v>6</v>
      </c>
      <c r="O831" s="1">
        <v>41567</v>
      </c>
      <c r="P831" s="1">
        <v>3.33</v>
      </c>
      <c r="Q831" s="1" t="s">
        <v>6</v>
      </c>
      <c r="R831" s="3">
        <v>0.4163</v>
      </c>
      <c r="S831" s="2">
        <v>45539</v>
      </c>
      <c r="T831" s="1">
        <v>301</v>
      </c>
      <c r="U831" s="1" t="s">
        <v>23</v>
      </c>
      <c r="V831" s="1">
        <v>161</v>
      </c>
      <c r="W831" s="1" t="b">
        <v>1</v>
      </c>
      <c r="X831" s="1" t="b">
        <v>0</v>
      </c>
      <c r="Y831" s="1">
        <v>30000</v>
      </c>
    </row>
    <row r="832" spans="1:25" x14ac:dyDescent="0.35">
      <c r="A832" s="1" t="s">
        <v>1703</v>
      </c>
      <c r="B832" s="1" t="s">
        <v>1</v>
      </c>
      <c r="C832" s="1" t="s">
        <v>97</v>
      </c>
      <c r="D832" s="1" t="s">
        <v>20</v>
      </c>
      <c r="E832" s="1">
        <v>2591</v>
      </c>
      <c r="F832" s="4">
        <v>10000000</v>
      </c>
      <c r="G832" s="4">
        <v>3859</v>
      </c>
      <c r="H832" s="1">
        <v>3</v>
      </c>
      <c r="I832" s="1">
        <v>1</v>
      </c>
      <c r="J832" s="1">
        <v>26</v>
      </c>
      <c r="K832" s="1" t="s">
        <v>61</v>
      </c>
      <c r="L832" s="1" t="s">
        <v>1704</v>
      </c>
      <c r="M832" s="1">
        <v>7</v>
      </c>
      <c r="N832" s="1">
        <v>6</v>
      </c>
      <c r="O832" s="1">
        <v>34632</v>
      </c>
      <c r="P832" s="1">
        <v>4.16</v>
      </c>
      <c r="Q832" s="1" t="s">
        <v>6</v>
      </c>
      <c r="R832" s="3">
        <v>0.45779999999999998</v>
      </c>
      <c r="S832" s="2">
        <v>46027</v>
      </c>
      <c r="T832" s="1">
        <v>1</v>
      </c>
      <c r="U832" s="1" t="s">
        <v>30</v>
      </c>
      <c r="V832" s="1">
        <v>157</v>
      </c>
      <c r="W832" s="1" t="b">
        <v>1</v>
      </c>
      <c r="X832" s="1" t="b">
        <v>1</v>
      </c>
      <c r="Y832" s="1">
        <v>20000</v>
      </c>
    </row>
    <row r="833" spans="1:25" x14ac:dyDescent="0.35">
      <c r="A833" s="1" t="s">
        <v>1705</v>
      </c>
      <c r="B833" s="1" t="s">
        <v>1</v>
      </c>
      <c r="C833" s="1" t="s">
        <v>48</v>
      </c>
      <c r="D833" s="1" t="s">
        <v>27</v>
      </c>
      <c r="E833" s="1">
        <v>7768</v>
      </c>
      <c r="F833" s="4">
        <v>10000000</v>
      </c>
      <c r="G833" s="4">
        <v>1287</v>
      </c>
      <c r="H833" s="1">
        <v>5</v>
      </c>
      <c r="I833" s="1">
        <v>3</v>
      </c>
      <c r="J833" s="1">
        <v>8</v>
      </c>
      <c r="K833" s="1" t="s">
        <v>61</v>
      </c>
      <c r="L833" s="1" t="s">
        <v>1706</v>
      </c>
      <c r="M833" s="1">
        <v>3</v>
      </c>
      <c r="N833" s="1">
        <v>8</v>
      </c>
      <c r="O833" s="1">
        <v>39408</v>
      </c>
      <c r="P833" s="1">
        <v>4.7300000000000004</v>
      </c>
      <c r="Q833" s="1" t="s">
        <v>6</v>
      </c>
      <c r="R833" s="3">
        <v>0.4864</v>
      </c>
      <c r="S833" s="2">
        <v>45975</v>
      </c>
      <c r="T833" s="1">
        <v>144</v>
      </c>
      <c r="U833" s="1" t="s">
        <v>7</v>
      </c>
      <c r="V833" s="1">
        <v>113</v>
      </c>
      <c r="W833" s="1" t="b">
        <v>1</v>
      </c>
      <c r="X833" s="1" t="b">
        <v>1</v>
      </c>
      <c r="Y833" s="1">
        <v>20000</v>
      </c>
    </row>
    <row r="834" spans="1:25" x14ac:dyDescent="0.35">
      <c r="A834" s="1" t="s">
        <v>1707</v>
      </c>
      <c r="B834" s="1" t="s">
        <v>18</v>
      </c>
      <c r="C834" s="1" t="s">
        <v>166</v>
      </c>
      <c r="D834" s="1" t="s">
        <v>38</v>
      </c>
      <c r="E834" s="1">
        <v>4497</v>
      </c>
      <c r="F834" s="4">
        <v>15000000</v>
      </c>
      <c r="G834" s="4">
        <v>3335</v>
      </c>
      <c r="H834" s="1">
        <v>4</v>
      </c>
      <c r="I834" s="1">
        <v>3</v>
      </c>
      <c r="J834" s="1">
        <v>22</v>
      </c>
      <c r="K834" s="1" t="s">
        <v>12</v>
      </c>
      <c r="L834" s="1" t="s">
        <v>1708</v>
      </c>
      <c r="M834" s="1">
        <v>6</v>
      </c>
      <c r="N834" s="1">
        <v>9</v>
      </c>
      <c r="O834" s="1">
        <v>39147</v>
      </c>
      <c r="P834" s="1">
        <v>3.13</v>
      </c>
      <c r="Q834" s="1" t="s">
        <v>6</v>
      </c>
      <c r="R834" s="3">
        <v>0.40659999999999996</v>
      </c>
      <c r="S834" s="2">
        <v>45797</v>
      </c>
      <c r="T834" s="1">
        <v>47</v>
      </c>
      <c r="U834" s="1" t="s">
        <v>23</v>
      </c>
      <c r="V834" s="1">
        <v>45</v>
      </c>
      <c r="W834" s="1" t="b">
        <v>1</v>
      </c>
      <c r="X834" s="1" t="b">
        <v>0</v>
      </c>
      <c r="Y834" s="1">
        <v>30000</v>
      </c>
    </row>
    <row r="835" spans="1:25" x14ac:dyDescent="0.35">
      <c r="A835" s="1" t="s">
        <v>1709</v>
      </c>
      <c r="B835" s="1" t="s">
        <v>32</v>
      </c>
      <c r="C835" s="1" t="s">
        <v>41</v>
      </c>
      <c r="D835" s="1" t="s">
        <v>11</v>
      </c>
      <c r="E835" s="1">
        <v>305</v>
      </c>
      <c r="F835" s="4">
        <v>12000000</v>
      </c>
      <c r="G835" s="4">
        <v>39344</v>
      </c>
      <c r="H835" s="1">
        <v>0</v>
      </c>
      <c r="I835" s="1">
        <v>2</v>
      </c>
      <c r="J835" s="1">
        <v>5</v>
      </c>
      <c r="K835" s="1" t="s">
        <v>61</v>
      </c>
      <c r="L835" s="1" t="s">
        <v>1710</v>
      </c>
      <c r="M835" s="1">
        <v>6</v>
      </c>
      <c r="N835" s="1">
        <v>8</v>
      </c>
      <c r="O835" s="1">
        <v>30656</v>
      </c>
      <c r="P835" s="1">
        <v>3.07</v>
      </c>
      <c r="Q835" s="1" t="s">
        <v>6</v>
      </c>
      <c r="R835" s="3">
        <v>0.40329999999999999</v>
      </c>
      <c r="S835" s="2">
        <v>46084</v>
      </c>
      <c r="T835" s="1">
        <v>349</v>
      </c>
      <c r="U835" s="1" t="s">
        <v>30</v>
      </c>
      <c r="V835" s="1">
        <v>110</v>
      </c>
      <c r="W835" s="1" t="b">
        <v>1</v>
      </c>
      <c r="X835" s="1" t="b">
        <v>1</v>
      </c>
      <c r="Y835" s="1">
        <v>0</v>
      </c>
    </row>
    <row r="836" spans="1:25" x14ac:dyDescent="0.35">
      <c r="A836" s="1" t="s">
        <v>1711</v>
      </c>
      <c r="B836" s="1" t="s">
        <v>54</v>
      </c>
      <c r="C836" s="1" t="s">
        <v>104</v>
      </c>
      <c r="D836" s="1" t="s">
        <v>3</v>
      </c>
      <c r="E836" s="1">
        <v>2465</v>
      </c>
      <c r="F836" s="4">
        <v>40000000</v>
      </c>
      <c r="G836" s="4">
        <v>16227</v>
      </c>
      <c r="H836" s="1">
        <v>3</v>
      </c>
      <c r="I836" s="1">
        <v>2</v>
      </c>
      <c r="J836" s="1">
        <v>22</v>
      </c>
      <c r="K836" s="1" t="s">
        <v>4</v>
      </c>
      <c r="L836" s="1" t="s">
        <v>1712</v>
      </c>
      <c r="M836" s="1">
        <v>5</v>
      </c>
      <c r="N836" s="1">
        <v>6</v>
      </c>
      <c r="O836" s="1">
        <v>127475</v>
      </c>
      <c r="P836" s="1">
        <v>3.82</v>
      </c>
      <c r="Q836" s="1" t="s">
        <v>14</v>
      </c>
      <c r="R836" s="3">
        <v>0.44119999999999998</v>
      </c>
      <c r="S836" s="2">
        <v>46022</v>
      </c>
      <c r="T836" s="1">
        <v>60</v>
      </c>
      <c r="U836" s="1" t="s">
        <v>7</v>
      </c>
      <c r="V836" s="1">
        <v>150</v>
      </c>
      <c r="W836" s="1" t="b">
        <v>0</v>
      </c>
      <c r="X836" s="1" t="b">
        <v>1</v>
      </c>
      <c r="Y836" s="1">
        <v>80000</v>
      </c>
    </row>
    <row r="837" spans="1:25" x14ac:dyDescent="0.35">
      <c r="A837" s="1" t="s">
        <v>1713</v>
      </c>
      <c r="B837" s="1" t="s">
        <v>18</v>
      </c>
      <c r="C837" s="1" t="s">
        <v>217</v>
      </c>
      <c r="D837" s="1" t="s">
        <v>20</v>
      </c>
      <c r="E837" s="1">
        <v>4821</v>
      </c>
      <c r="F837" s="4">
        <v>15000000</v>
      </c>
      <c r="G837" s="4">
        <v>3111</v>
      </c>
      <c r="H837" s="1">
        <v>2</v>
      </c>
      <c r="I837" s="1">
        <v>1</v>
      </c>
      <c r="J837" s="1">
        <v>28</v>
      </c>
      <c r="K837" s="1" t="s">
        <v>21</v>
      </c>
      <c r="L837" s="1" t="s">
        <v>1714</v>
      </c>
      <c r="M837" s="1">
        <v>8</v>
      </c>
      <c r="N837" s="1">
        <v>5</v>
      </c>
      <c r="O837" s="1">
        <v>42079</v>
      </c>
      <c r="P837" s="1">
        <v>3.37</v>
      </c>
      <c r="Q837" s="1" t="s">
        <v>6</v>
      </c>
      <c r="R837" s="3">
        <v>0.41830000000000001</v>
      </c>
      <c r="S837" s="2">
        <v>45677</v>
      </c>
      <c r="T837" s="1">
        <v>225</v>
      </c>
      <c r="U837" s="1" t="s">
        <v>23</v>
      </c>
      <c r="V837" s="1">
        <v>122</v>
      </c>
      <c r="W837" s="1" t="b">
        <v>0</v>
      </c>
      <c r="X837" s="1" t="b">
        <v>1</v>
      </c>
      <c r="Y837" s="1">
        <v>0</v>
      </c>
    </row>
    <row r="838" spans="1:25" x14ac:dyDescent="0.35">
      <c r="A838" s="1" t="s">
        <v>1715</v>
      </c>
      <c r="B838" s="1" t="s">
        <v>25</v>
      </c>
      <c r="C838" s="1" t="s">
        <v>94</v>
      </c>
      <c r="D838" s="1" t="s">
        <v>38</v>
      </c>
      <c r="E838" s="1">
        <v>3495</v>
      </c>
      <c r="F838" s="4">
        <v>30000000</v>
      </c>
      <c r="G838" s="4">
        <v>8583</v>
      </c>
      <c r="H838" s="1">
        <v>5</v>
      </c>
      <c r="I838" s="1">
        <v>3</v>
      </c>
      <c r="J838" s="1">
        <v>17</v>
      </c>
      <c r="K838" s="1" t="s">
        <v>4</v>
      </c>
      <c r="L838" s="1" t="s">
        <v>1716</v>
      </c>
      <c r="M838" s="1">
        <v>6</v>
      </c>
      <c r="N838" s="1">
        <v>8</v>
      </c>
      <c r="O838" s="1">
        <v>124822</v>
      </c>
      <c r="P838" s="1">
        <v>4.99</v>
      </c>
      <c r="Q838" s="1" t="s">
        <v>14</v>
      </c>
      <c r="R838" s="3">
        <v>0.49959999999999999</v>
      </c>
      <c r="S838" s="2">
        <v>45850</v>
      </c>
      <c r="T838" s="1">
        <v>281</v>
      </c>
      <c r="U838" s="1" t="s">
        <v>23</v>
      </c>
      <c r="V838" s="1">
        <v>79</v>
      </c>
      <c r="W838" s="1" t="b">
        <v>0</v>
      </c>
      <c r="X838" s="1" t="b">
        <v>1</v>
      </c>
      <c r="Y838" s="1">
        <v>0</v>
      </c>
    </row>
    <row r="839" spans="1:25" x14ac:dyDescent="0.35">
      <c r="A839" s="1" t="s">
        <v>1717</v>
      </c>
      <c r="B839" s="1" t="s">
        <v>25</v>
      </c>
      <c r="C839" s="1" t="s">
        <v>94</v>
      </c>
      <c r="D839" s="1" t="s">
        <v>20</v>
      </c>
      <c r="E839" s="1">
        <v>3162</v>
      </c>
      <c r="F839" s="4">
        <v>30000000</v>
      </c>
      <c r="G839" s="4">
        <v>9487</v>
      </c>
      <c r="H839" s="1">
        <v>3</v>
      </c>
      <c r="I839" s="1">
        <v>1</v>
      </c>
      <c r="J839" s="1">
        <v>10</v>
      </c>
      <c r="K839" s="1" t="s">
        <v>28</v>
      </c>
      <c r="L839" s="1" t="s">
        <v>1718</v>
      </c>
      <c r="M839" s="1">
        <v>5</v>
      </c>
      <c r="N839" s="1">
        <v>6</v>
      </c>
      <c r="O839" s="1">
        <v>97449</v>
      </c>
      <c r="P839" s="1">
        <v>3.9</v>
      </c>
      <c r="Q839" s="1" t="s">
        <v>14</v>
      </c>
      <c r="R839" s="3">
        <v>0.44490000000000002</v>
      </c>
      <c r="S839" s="2">
        <v>45813</v>
      </c>
      <c r="T839" s="1">
        <v>82</v>
      </c>
      <c r="U839" s="1" t="s">
        <v>7</v>
      </c>
      <c r="V839" s="1">
        <v>131</v>
      </c>
      <c r="W839" s="1" t="b">
        <v>1</v>
      </c>
      <c r="X839" s="1" t="b">
        <v>1</v>
      </c>
      <c r="Y839" s="1">
        <v>60000</v>
      </c>
    </row>
    <row r="840" spans="1:25" x14ac:dyDescent="0.35">
      <c r="A840" s="1" t="s">
        <v>1719</v>
      </c>
      <c r="B840" s="1" t="s">
        <v>32</v>
      </c>
      <c r="C840" s="1" t="s">
        <v>33</v>
      </c>
      <c r="D840" s="1" t="s">
        <v>38</v>
      </c>
      <c r="E840" s="1">
        <v>5730</v>
      </c>
      <c r="F840" s="4">
        <v>12000000</v>
      </c>
      <c r="G840" s="4">
        <v>2094</v>
      </c>
      <c r="H840" s="1">
        <v>5</v>
      </c>
      <c r="I840" s="1">
        <v>2</v>
      </c>
      <c r="J840" s="1">
        <v>1</v>
      </c>
      <c r="K840" s="1" t="s">
        <v>58</v>
      </c>
      <c r="L840" s="1" t="s">
        <v>1720</v>
      </c>
      <c r="M840" s="1">
        <v>6</v>
      </c>
      <c r="N840" s="1">
        <v>9</v>
      </c>
      <c r="O840" s="1">
        <v>40150</v>
      </c>
      <c r="P840" s="1">
        <v>4.01</v>
      </c>
      <c r="Q840" s="1" t="s">
        <v>6</v>
      </c>
      <c r="R840" s="3">
        <v>0.45069999999999999</v>
      </c>
      <c r="S840" s="2">
        <v>45759</v>
      </c>
      <c r="T840" s="1">
        <v>73</v>
      </c>
      <c r="U840" s="1" t="s">
        <v>7</v>
      </c>
      <c r="V840" s="1">
        <v>34</v>
      </c>
      <c r="W840" s="1" t="b">
        <v>0</v>
      </c>
      <c r="X840" s="1" t="b">
        <v>0</v>
      </c>
      <c r="Y840" s="1">
        <v>0</v>
      </c>
    </row>
    <row r="841" spans="1:25" x14ac:dyDescent="0.35">
      <c r="A841" s="1" t="s">
        <v>1721</v>
      </c>
      <c r="B841" s="1" t="s">
        <v>1</v>
      </c>
      <c r="C841" s="1" t="s">
        <v>48</v>
      </c>
      <c r="D841" s="1" t="s">
        <v>3</v>
      </c>
      <c r="E841" s="1">
        <v>1125</v>
      </c>
      <c r="F841" s="4">
        <v>10000000</v>
      </c>
      <c r="G841" s="4">
        <v>8888</v>
      </c>
      <c r="H841" s="1">
        <v>2</v>
      </c>
      <c r="I841" s="1">
        <v>1</v>
      </c>
      <c r="J841" s="1">
        <v>12</v>
      </c>
      <c r="K841" s="1" t="s">
        <v>58</v>
      </c>
      <c r="L841" s="1" t="s">
        <v>1722</v>
      </c>
      <c r="M841" s="1">
        <v>8</v>
      </c>
      <c r="N841" s="1">
        <v>8</v>
      </c>
      <c r="O841" s="1">
        <v>28037</v>
      </c>
      <c r="P841" s="1">
        <v>3.36</v>
      </c>
      <c r="Q841" s="1" t="s">
        <v>6</v>
      </c>
      <c r="R841" s="3">
        <v>0.41820000000000002</v>
      </c>
      <c r="S841" s="2">
        <v>45835</v>
      </c>
      <c r="T841" s="1">
        <v>31</v>
      </c>
      <c r="U841" s="1" t="s">
        <v>30</v>
      </c>
      <c r="V841" s="1">
        <v>121</v>
      </c>
      <c r="W841" s="1" t="b">
        <v>1</v>
      </c>
      <c r="X841" s="1" t="b">
        <v>1</v>
      </c>
      <c r="Y841" s="1">
        <v>0</v>
      </c>
    </row>
    <row r="842" spans="1:25" x14ac:dyDescent="0.35">
      <c r="A842" s="1" t="s">
        <v>1723</v>
      </c>
      <c r="B842" s="1" t="s">
        <v>1</v>
      </c>
      <c r="C842" s="1" t="s">
        <v>2</v>
      </c>
      <c r="D842" s="1" t="s">
        <v>3</v>
      </c>
      <c r="E842" s="1">
        <v>1708</v>
      </c>
      <c r="F842" s="4">
        <v>10000000</v>
      </c>
      <c r="G842" s="4">
        <v>5854</v>
      </c>
      <c r="H842" s="1">
        <v>1</v>
      </c>
      <c r="I842" s="1">
        <v>2</v>
      </c>
      <c r="J842" s="1">
        <v>6</v>
      </c>
      <c r="K842" s="1" t="s">
        <v>42</v>
      </c>
      <c r="L842" s="1" t="s">
        <v>1724</v>
      </c>
      <c r="M842" s="1">
        <v>8</v>
      </c>
      <c r="N842" s="1">
        <v>7</v>
      </c>
      <c r="O842" s="1">
        <v>40931</v>
      </c>
      <c r="P842" s="1">
        <v>4.91</v>
      </c>
      <c r="Q842" s="1" t="s">
        <v>6</v>
      </c>
      <c r="R842" s="3">
        <v>0.49560000000000004</v>
      </c>
      <c r="S842" s="2">
        <v>45652</v>
      </c>
      <c r="T842" s="1">
        <v>67</v>
      </c>
      <c r="U842" s="1" t="s">
        <v>7</v>
      </c>
      <c r="V842" s="1">
        <v>78</v>
      </c>
      <c r="W842" s="1" t="b">
        <v>0</v>
      </c>
      <c r="X842" s="1" t="b">
        <v>1</v>
      </c>
      <c r="Y842" s="1">
        <v>0</v>
      </c>
    </row>
    <row r="843" spans="1:25" x14ac:dyDescent="0.35">
      <c r="A843" s="1" t="s">
        <v>1725</v>
      </c>
      <c r="B843" s="1" t="s">
        <v>1</v>
      </c>
      <c r="C843" s="1" t="s">
        <v>45</v>
      </c>
      <c r="D843" s="1" t="s">
        <v>38</v>
      </c>
      <c r="E843" s="1">
        <v>8521</v>
      </c>
      <c r="F843" s="4">
        <v>10000000</v>
      </c>
      <c r="G843" s="4">
        <v>1173</v>
      </c>
      <c r="H843" s="1">
        <v>5</v>
      </c>
      <c r="I843" s="1">
        <v>2</v>
      </c>
      <c r="J843" s="1">
        <v>29</v>
      </c>
      <c r="K843" s="1" t="s">
        <v>34</v>
      </c>
      <c r="L843" s="1" t="s">
        <v>1726</v>
      </c>
      <c r="M843" s="1">
        <v>4</v>
      </c>
      <c r="N843" s="1">
        <v>4</v>
      </c>
      <c r="O843" s="1">
        <v>35367</v>
      </c>
      <c r="P843" s="1">
        <v>4.24</v>
      </c>
      <c r="Q843" s="1" t="s">
        <v>6</v>
      </c>
      <c r="R843" s="3">
        <v>0.4622</v>
      </c>
      <c r="S843" s="2">
        <v>45845</v>
      </c>
      <c r="T843" s="1">
        <v>354</v>
      </c>
      <c r="U843" s="1" t="s">
        <v>30</v>
      </c>
      <c r="V843" s="1">
        <v>82</v>
      </c>
      <c r="W843" s="1" t="b">
        <v>1</v>
      </c>
      <c r="X843" s="1" t="b">
        <v>1</v>
      </c>
      <c r="Y843" s="1">
        <v>0</v>
      </c>
    </row>
    <row r="844" spans="1:25" x14ac:dyDescent="0.35">
      <c r="A844" s="1" t="s">
        <v>1727</v>
      </c>
      <c r="B844" s="1" t="s">
        <v>54</v>
      </c>
      <c r="C844" s="1" t="s">
        <v>55</v>
      </c>
      <c r="D844" s="1" t="s">
        <v>3</v>
      </c>
      <c r="E844" s="1">
        <v>1278</v>
      </c>
      <c r="F844" s="4">
        <v>40000000</v>
      </c>
      <c r="G844" s="4">
        <v>31298</v>
      </c>
      <c r="H844" s="1">
        <v>4</v>
      </c>
      <c r="I844" s="1">
        <v>2</v>
      </c>
      <c r="J844" s="1">
        <v>16</v>
      </c>
      <c r="K844" s="1" t="s">
        <v>4</v>
      </c>
      <c r="L844" s="1" t="s">
        <v>1728</v>
      </c>
      <c r="M844" s="1">
        <v>7</v>
      </c>
      <c r="N844" s="1">
        <v>5</v>
      </c>
      <c r="O844" s="1">
        <v>122454</v>
      </c>
      <c r="P844" s="1">
        <v>3.67</v>
      </c>
      <c r="Q844" s="1" t="s">
        <v>14</v>
      </c>
      <c r="R844" s="3">
        <v>0.43369999999999997</v>
      </c>
      <c r="S844" s="2">
        <v>45526</v>
      </c>
      <c r="T844" s="1">
        <v>184</v>
      </c>
      <c r="U844" s="1" t="s">
        <v>30</v>
      </c>
      <c r="V844" s="1">
        <v>169</v>
      </c>
      <c r="W844" s="1" t="b">
        <v>0</v>
      </c>
      <c r="X844" s="1" t="b">
        <v>1</v>
      </c>
      <c r="Y844" s="1">
        <v>0</v>
      </c>
    </row>
    <row r="845" spans="1:25" x14ac:dyDescent="0.35">
      <c r="A845" s="1" t="s">
        <v>1729</v>
      </c>
      <c r="B845" s="1" t="s">
        <v>1</v>
      </c>
      <c r="C845" s="1" t="s">
        <v>51</v>
      </c>
      <c r="D845" s="1" t="s">
        <v>20</v>
      </c>
      <c r="E845" s="1">
        <v>2100</v>
      </c>
      <c r="F845" s="4">
        <v>10000000</v>
      </c>
      <c r="G845" s="4">
        <v>4761</v>
      </c>
      <c r="H845" s="1">
        <v>2</v>
      </c>
      <c r="I845" s="1">
        <v>2</v>
      </c>
      <c r="J845" s="1">
        <v>12</v>
      </c>
      <c r="K845" s="1" t="s">
        <v>42</v>
      </c>
      <c r="L845" s="1" t="s">
        <v>1730</v>
      </c>
      <c r="M845" s="1">
        <v>3</v>
      </c>
      <c r="N845" s="1">
        <v>8</v>
      </c>
      <c r="O845" s="1">
        <v>34626</v>
      </c>
      <c r="P845" s="1">
        <v>4.16</v>
      </c>
      <c r="Q845" s="1" t="s">
        <v>6</v>
      </c>
      <c r="R845" s="3">
        <v>0.45779999999999998</v>
      </c>
      <c r="S845" s="2">
        <v>45497</v>
      </c>
      <c r="T845" s="1">
        <v>281</v>
      </c>
      <c r="U845" s="1" t="s">
        <v>7</v>
      </c>
      <c r="V845" s="1">
        <v>139</v>
      </c>
      <c r="W845" s="1" t="b">
        <v>1</v>
      </c>
      <c r="X845" s="1" t="b">
        <v>1</v>
      </c>
      <c r="Y845" s="1">
        <v>0</v>
      </c>
    </row>
    <row r="846" spans="1:25" x14ac:dyDescent="0.35">
      <c r="A846" s="1" t="s">
        <v>1731</v>
      </c>
      <c r="B846" s="1" t="s">
        <v>1</v>
      </c>
      <c r="C846" s="1" t="s">
        <v>48</v>
      </c>
      <c r="D846" s="1" t="s">
        <v>11</v>
      </c>
      <c r="E846" s="1">
        <v>384</v>
      </c>
      <c r="F846" s="4">
        <v>10000000</v>
      </c>
      <c r="G846" s="4">
        <v>26041</v>
      </c>
      <c r="H846" s="1">
        <v>0</v>
      </c>
      <c r="I846" s="1">
        <v>1</v>
      </c>
      <c r="J846" s="1">
        <v>15</v>
      </c>
      <c r="K846" s="1" t="s">
        <v>34</v>
      </c>
      <c r="L846" s="1" t="s">
        <v>1732</v>
      </c>
      <c r="M846" s="1">
        <v>7</v>
      </c>
      <c r="N846" s="1">
        <v>4</v>
      </c>
      <c r="O846" s="1">
        <v>41053</v>
      </c>
      <c r="P846" s="1">
        <v>4.93</v>
      </c>
      <c r="Q846" s="1" t="s">
        <v>6</v>
      </c>
      <c r="R846" s="3">
        <v>0.49630000000000002</v>
      </c>
      <c r="S846" s="2">
        <v>45773</v>
      </c>
      <c r="T846" s="1">
        <v>202</v>
      </c>
      <c r="U846" s="1" t="s">
        <v>23</v>
      </c>
      <c r="V846" s="1">
        <v>30</v>
      </c>
      <c r="W846" s="1" t="b">
        <v>0</v>
      </c>
      <c r="X846" s="1" t="b">
        <v>0</v>
      </c>
      <c r="Y846" s="1">
        <v>0</v>
      </c>
    </row>
    <row r="847" spans="1:25" x14ac:dyDescent="0.35">
      <c r="A847" s="1" t="s">
        <v>1733</v>
      </c>
      <c r="B847" s="1" t="s">
        <v>25</v>
      </c>
      <c r="C847" s="1" t="s">
        <v>26</v>
      </c>
      <c r="D847" s="1" t="s">
        <v>20</v>
      </c>
      <c r="E847" s="1">
        <v>1532</v>
      </c>
      <c r="F847" s="4">
        <v>30000000</v>
      </c>
      <c r="G847" s="4">
        <v>19582</v>
      </c>
      <c r="H847" s="1">
        <v>3</v>
      </c>
      <c r="I847" s="1">
        <v>1</v>
      </c>
      <c r="J847" s="1">
        <v>20</v>
      </c>
      <c r="K847" s="1" t="s">
        <v>12</v>
      </c>
      <c r="L847" s="1" t="s">
        <v>1734</v>
      </c>
      <c r="M847" s="1">
        <v>5</v>
      </c>
      <c r="N847" s="1">
        <v>7</v>
      </c>
      <c r="O847" s="1">
        <v>119942</v>
      </c>
      <c r="P847" s="1">
        <v>4.8</v>
      </c>
      <c r="Q847" s="1" t="s">
        <v>14</v>
      </c>
      <c r="R847" s="3">
        <v>0.4899</v>
      </c>
      <c r="S847" s="2">
        <v>45968</v>
      </c>
      <c r="T847" s="1">
        <v>131</v>
      </c>
      <c r="U847" s="1" t="s">
        <v>7</v>
      </c>
      <c r="V847" s="1">
        <v>167</v>
      </c>
      <c r="W847" s="1" t="b">
        <v>1</v>
      </c>
      <c r="X847" s="1" t="b">
        <v>1</v>
      </c>
      <c r="Y847" s="1">
        <v>60000</v>
      </c>
    </row>
    <row r="848" spans="1:25" x14ac:dyDescent="0.35">
      <c r="A848" s="1" t="s">
        <v>1735</v>
      </c>
      <c r="B848" s="1" t="s">
        <v>1</v>
      </c>
      <c r="C848" s="1" t="s">
        <v>51</v>
      </c>
      <c r="D848" s="1" t="s">
        <v>27</v>
      </c>
      <c r="E848" s="1">
        <v>3792</v>
      </c>
      <c r="F848" s="4">
        <v>10000000</v>
      </c>
      <c r="G848" s="4">
        <v>2637</v>
      </c>
      <c r="H848" s="1">
        <v>4</v>
      </c>
      <c r="I848" s="1">
        <v>3</v>
      </c>
      <c r="J848" s="1">
        <v>10</v>
      </c>
      <c r="K848" s="1" t="s">
        <v>28</v>
      </c>
      <c r="L848" s="1" t="s">
        <v>391</v>
      </c>
      <c r="M848" s="1">
        <v>3</v>
      </c>
      <c r="N848" s="1">
        <v>5</v>
      </c>
      <c r="O848" s="1">
        <v>39872</v>
      </c>
      <c r="P848" s="1">
        <v>4.78</v>
      </c>
      <c r="Q848" s="1" t="s">
        <v>6</v>
      </c>
      <c r="R848" s="3">
        <v>0.48920000000000002</v>
      </c>
      <c r="S848" s="2">
        <v>45463</v>
      </c>
      <c r="T848" s="1">
        <v>327</v>
      </c>
      <c r="U848" s="1" t="s">
        <v>7</v>
      </c>
      <c r="V848" s="1">
        <v>31</v>
      </c>
      <c r="W848" s="1" t="b">
        <v>0</v>
      </c>
      <c r="X848" s="1" t="b">
        <v>0</v>
      </c>
      <c r="Y848" s="1">
        <v>20000</v>
      </c>
    </row>
    <row r="849" spans="1:25" x14ac:dyDescent="0.35">
      <c r="A849" s="1" t="s">
        <v>1736</v>
      </c>
      <c r="B849" s="1" t="s">
        <v>9</v>
      </c>
      <c r="C849" s="1" t="s">
        <v>10</v>
      </c>
      <c r="D849" s="1" t="s">
        <v>3</v>
      </c>
      <c r="E849" s="1">
        <v>762</v>
      </c>
      <c r="F849" s="4">
        <v>50000000</v>
      </c>
      <c r="G849" s="4">
        <v>65616</v>
      </c>
      <c r="H849" s="1">
        <v>4</v>
      </c>
      <c r="I849" s="1">
        <v>3</v>
      </c>
      <c r="J849" s="1">
        <v>14</v>
      </c>
      <c r="K849" s="1" t="s">
        <v>12</v>
      </c>
      <c r="L849" s="1" t="s">
        <v>1737</v>
      </c>
      <c r="M849" s="1">
        <v>4</v>
      </c>
      <c r="N849" s="1">
        <v>8</v>
      </c>
      <c r="O849" s="1">
        <v>201960</v>
      </c>
      <c r="P849" s="1">
        <v>4.8499999999999996</v>
      </c>
      <c r="Q849" s="1" t="s">
        <v>14</v>
      </c>
      <c r="R849" s="3">
        <v>0.4924</v>
      </c>
      <c r="S849" s="2">
        <v>45689</v>
      </c>
      <c r="T849" s="1">
        <v>279</v>
      </c>
      <c r="U849" s="1" t="s">
        <v>7</v>
      </c>
      <c r="V849" s="1">
        <v>172</v>
      </c>
      <c r="W849" s="1" t="b">
        <v>0</v>
      </c>
      <c r="X849" s="1" t="b">
        <v>0</v>
      </c>
      <c r="Y849" s="1">
        <v>100000</v>
      </c>
    </row>
    <row r="850" spans="1:25" x14ac:dyDescent="0.35">
      <c r="A850" s="1" t="s">
        <v>1738</v>
      </c>
      <c r="B850" s="1" t="s">
        <v>9</v>
      </c>
      <c r="C850" s="1" t="s">
        <v>10</v>
      </c>
      <c r="D850" s="1" t="s">
        <v>38</v>
      </c>
      <c r="E850" s="1">
        <v>9037</v>
      </c>
      <c r="F850" s="4">
        <v>50000000</v>
      </c>
      <c r="G850" s="4">
        <v>5532</v>
      </c>
      <c r="H850" s="1">
        <v>6</v>
      </c>
      <c r="I850" s="1">
        <v>4</v>
      </c>
      <c r="J850" s="1">
        <v>9</v>
      </c>
      <c r="K850" s="1" t="s">
        <v>4</v>
      </c>
      <c r="L850" s="1" t="s">
        <v>1739</v>
      </c>
      <c r="M850" s="1">
        <v>4</v>
      </c>
      <c r="N850" s="1">
        <v>9</v>
      </c>
      <c r="O850" s="1">
        <v>192008</v>
      </c>
      <c r="P850" s="1">
        <v>4.6100000000000003</v>
      </c>
      <c r="Q850" s="1" t="s">
        <v>14</v>
      </c>
      <c r="R850" s="3">
        <v>0.48039999999999999</v>
      </c>
      <c r="S850" s="2">
        <v>45973</v>
      </c>
      <c r="T850" s="1">
        <v>235</v>
      </c>
      <c r="U850" s="1" t="s">
        <v>30</v>
      </c>
      <c r="V850" s="1">
        <v>66</v>
      </c>
      <c r="W850" s="1" t="b">
        <v>0</v>
      </c>
      <c r="X850" s="1" t="b">
        <v>0</v>
      </c>
      <c r="Y850" s="1">
        <v>100000</v>
      </c>
    </row>
    <row r="851" spans="1:25" x14ac:dyDescent="0.35">
      <c r="A851" s="1" t="s">
        <v>1740</v>
      </c>
      <c r="B851" s="1" t="s">
        <v>9</v>
      </c>
      <c r="C851" s="1" t="s">
        <v>163</v>
      </c>
      <c r="D851" s="1" t="s">
        <v>11</v>
      </c>
      <c r="E851" s="1">
        <v>487</v>
      </c>
      <c r="F851" s="4">
        <v>50000000</v>
      </c>
      <c r="G851" s="4">
        <v>102669</v>
      </c>
      <c r="H851" s="1">
        <v>0</v>
      </c>
      <c r="I851" s="1">
        <v>1</v>
      </c>
      <c r="J851" s="1">
        <v>0</v>
      </c>
      <c r="K851" s="1" t="s">
        <v>28</v>
      </c>
      <c r="L851" s="1" t="s">
        <v>1741</v>
      </c>
      <c r="M851" s="1">
        <v>6</v>
      </c>
      <c r="N851" s="1">
        <v>10</v>
      </c>
      <c r="O851" s="1">
        <v>160954</v>
      </c>
      <c r="P851" s="1">
        <v>3.86</v>
      </c>
      <c r="Q851" s="1" t="s">
        <v>14</v>
      </c>
      <c r="R851" s="3">
        <v>0.44310000000000005</v>
      </c>
      <c r="S851" s="2">
        <v>45984</v>
      </c>
      <c r="T851" s="1">
        <v>35</v>
      </c>
      <c r="U851" s="1" t="s">
        <v>7</v>
      </c>
      <c r="V851" s="1">
        <v>73</v>
      </c>
      <c r="W851" s="1" t="b">
        <v>0</v>
      </c>
      <c r="X851" s="1" t="b">
        <v>1</v>
      </c>
      <c r="Y851" s="1">
        <v>0</v>
      </c>
    </row>
    <row r="852" spans="1:25" x14ac:dyDescent="0.35">
      <c r="A852" s="1" t="s">
        <v>1742</v>
      </c>
      <c r="B852" s="1" t="s">
        <v>1</v>
      </c>
      <c r="C852" s="1" t="s">
        <v>2</v>
      </c>
      <c r="D852" s="1" t="s">
        <v>20</v>
      </c>
      <c r="E852" s="1">
        <v>3816</v>
      </c>
      <c r="F852" s="4">
        <v>10000000</v>
      </c>
      <c r="G852" s="4">
        <v>2620</v>
      </c>
      <c r="H852" s="1">
        <v>2</v>
      </c>
      <c r="I852" s="1">
        <v>2</v>
      </c>
      <c r="J852" s="1">
        <v>3</v>
      </c>
      <c r="K852" s="1" t="s">
        <v>12</v>
      </c>
      <c r="L852" s="1" t="s">
        <v>1157</v>
      </c>
      <c r="M852" s="1">
        <v>3</v>
      </c>
      <c r="N852" s="1">
        <v>8</v>
      </c>
      <c r="O852" s="1">
        <v>34176</v>
      </c>
      <c r="P852" s="1">
        <v>4.0999999999999996</v>
      </c>
      <c r="Q852" s="1" t="s">
        <v>6</v>
      </c>
      <c r="R852" s="3">
        <v>0.4551</v>
      </c>
      <c r="S852" s="2">
        <v>45554</v>
      </c>
      <c r="T852" s="1">
        <v>354</v>
      </c>
      <c r="U852" s="1" t="s">
        <v>23</v>
      </c>
      <c r="V852" s="1">
        <v>148</v>
      </c>
      <c r="W852" s="1" t="b">
        <v>0</v>
      </c>
      <c r="X852" s="1" t="b">
        <v>1</v>
      </c>
      <c r="Y852" s="1">
        <v>20000</v>
      </c>
    </row>
    <row r="853" spans="1:25" x14ac:dyDescent="0.35">
      <c r="A853" s="1" t="s">
        <v>1743</v>
      </c>
      <c r="B853" s="1" t="s">
        <v>18</v>
      </c>
      <c r="C853" s="1" t="s">
        <v>166</v>
      </c>
      <c r="D853" s="1" t="s">
        <v>38</v>
      </c>
      <c r="E853" s="1">
        <v>3364</v>
      </c>
      <c r="F853" s="4">
        <v>15000000</v>
      </c>
      <c r="G853" s="4">
        <v>4458</v>
      </c>
      <c r="H853" s="1">
        <v>6</v>
      </c>
      <c r="I853" s="1">
        <v>3</v>
      </c>
      <c r="J853" s="1">
        <v>24</v>
      </c>
      <c r="K853" s="1" t="s">
        <v>21</v>
      </c>
      <c r="L853" s="1" t="s">
        <v>1744</v>
      </c>
      <c r="M853" s="1">
        <v>5</v>
      </c>
      <c r="N853" s="1">
        <v>5</v>
      </c>
      <c r="O853" s="1">
        <v>41364</v>
      </c>
      <c r="P853" s="1">
        <v>3.31</v>
      </c>
      <c r="Q853" s="1" t="s">
        <v>6</v>
      </c>
      <c r="R853" s="3">
        <v>0.41549999999999998</v>
      </c>
      <c r="S853" s="2">
        <v>45561</v>
      </c>
      <c r="T853" s="1">
        <v>142</v>
      </c>
      <c r="U853" s="1" t="s">
        <v>7</v>
      </c>
      <c r="V853" s="1">
        <v>160</v>
      </c>
      <c r="W853" s="1" t="b">
        <v>0</v>
      </c>
      <c r="X853" s="1" t="b">
        <v>0</v>
      </c>
      <c r="Y853" s="1">
        <v>30000</v>
      </c>
    </row>
    <row r="854" spans="1:25" x14ac:dyDescent="0.35">
      <c r="A854" s="1" t="s">
        <v>1745</v>
      </c>
      <c r="B854" s="1" t="s">
        <v>1</v>
      </c>
      <c r="C854" s="1" t="s">
        <v>2</v>
      </c>
      <c r="D854" s="1" t="s">
        <v>38</v>
      </c>
      <c r="E854" s="1">
        <v>4131</v>
      </c>
      <c r="F854" s="4">
        <v>10000000</v>
      </c>
      <c r="G854" s="4">
        <v>2420</v>
      </c>
      <c r="H854" s="1">
        <v>4</v>
      </c>
      <c r="I854" s="1">
        <v>3</v>
      </c>
      <c r="J854" s="1">
        <v>5</v>
      </c>
      <c r="K854" s="1" t="s">
        <v>34</v>
      </c>
      <c r="L854" s="1" t="s">
        <v>1746</v>
      </c>
      <c r="M854" s="1">
        <v>3</v>
      </c>
      <c r="N854" s="1">
        <v>5</v>
      </c>
      <c r="O854" s="1">
        <v>35421</v>
      </c>
      <c r="P854" s="1">
        <v>4.25</v>
      </c>
      <c r="Q854" s="1" t="s">
        <v>6</v>
      </c>
      <c r="R854" s="3">
        <v>0.46250000000000002</v>
      </c>
      <c r="S854" s="2">
        <v>45922</v>
      </c>
      <c r="T854" s="1">
        <v>130</v>
      </c>
      <c r="U854" s="1" t="s">
        <v>7</v>
      </c>
      <c r="V854" s="1">
        <v>45</v>
      </c>
      <c r="W854" s="1" t="b">
        <v>1</v>
      </c>
      <c r="X854" s="1" t="b">
        <v>0</v>
      </c>
      <c r="Y854" s="1">
        <v>0</v>
      </c>
    </row>
    <row r="855" spans="1:25" x14ac:dyDescent="0.35">
      <c r="A855" s="1" t="s">
        <v>1747</v>
      </c>
      <c r="B855" s="1" t="s">
        <v>18</v>
      </c>
      <c r="C855" s="1" t="s">
        <v>139</v>
      </c>
      <c r="D855" s="1" t="s">
        <v>27</v>
      </c>
      <c r="E855" s="1">
        <v>7989</v>
      </c>
      <c r="F855" s="4">
        <v>15000000</v>
      </c>
      <c r="G855" s="4">
        <v>1877</v>
      </c>
      <c r="H855" s="1">
        <v>4</v>
      </c>
      <c r="I855" s="1">
        <v>2</v>
      </c>
      <c r="J855" s="1">
        <v>2</v>
      </c>
      <c r="K855" s="1" t="s">
        <v>61</v>
      </c>
      <c r="L855" s="1" t="s">
        <v>1748</v>
      </c>
      <c r="M855" s="1">
        <v>6</v>
      </c>
      <c r="N855" s="1">
        <v>9</v>
      </c>
      <c r="O855" s="1">
        <v>42696</v>
      </c>
      <c r="P855" s="1">
        <v>3.42</v>
      </c>
      <c r="Q855" s="1" t="s">
        <v>6</v>
      </c>
      <c r="R855" s="3">
        <v>0.42080000000000001</v>
      </c>
      <c r="S855" s="2">
        <v>46105</v>
      </c>
      <c r="T855" s="1">
        <v>113</v>
      </c>
      <c r="U855" s="1" t="s">
        <v>7</v>
      </c>
      <c r="V855" s="1">
        <v>68</v>
      </c>
      <c r="W855" s="1" t="b">
        <v>1</v>
      </c>
      <c r="X855" s="1" t="b">
        <v>1</v>
      </c>
      <c r="Y855" s="1">
        <v>0</v>
      </c>
    </row>
    <row r="856" spans="1:25" x14ac:dyDescent="0.35">
      <c r="A856" s="1" t="s">
        <v>1749</v>
      </c>
      <c r="B856" s="1" t="s">
        <v>18</v>
      </c>
      <c r="C856" s="1" t="s">
        <v>139</v>
      </c>
      <c r="D856" s="1" t="s">
        <v>27</v>
      </c>
      <c r="E856" s="1">
        <v>7697</v>
      </c>
      <c r="F856" s="4">
        <v>15000000</v>
      </c>
      <c r="G856" s="4">
        <v>1948</v>
      </c>
      <c r="H856" s="1">
        <v>3</v>
      </c>
      <c r="I856" s="1">
        <v>1</v>
      </c>
      <c r="J856" s="1">
        <v>11</v>
      </c>
      <c r="K856" s="1" t="s">
        <v>21</v>
      </c>
      <c r="L856" s="1" t="s">
        <v>1750</v>
      </c>
      <c r="M856" s="1">
        <v>8</v>
      </c>
      <c r="N856" s="1">
        <v>4</v>
      </c>
      <c r="O856" s="1">
        <v>42426</v>
      </c>
      <c r="P856" s="1">
        <v>3.39</v>
      </c>
      <c r="Q856" s="1" t="s">
        <v>6</v>
      </c>
      <c r="R856" s="3">
        <v>0.41969999999999996</v>
      </c>
      <c r="S856" s="2">
        <v>45458</v>
      </c>
      <c r="T856" s="1">
        <v>305</v>
      </c>
      <c r="U856" s="1" t="s">
        <v>23</v>
      </c>
      <c r="V856" s="1">
        <v>118</v>
      </c>
      <c r="W856" s="1" t="b">
        <v>1</v>
      </c>
      <c r="X856" s="1" t="b">
        <v>0</v>
      </c>
      <c r="Y856" s="1">
        <v>0</v>
      </c>
    </row>
    <row r="857" spans="1:25" x14ac:dyDescent="0.35">
      <c r="A857" s="1" t="s">
        <v>1751</v>
      </c>
      <c r="B857" s="1" t="s">
        <v>18</v>
      </c>
      <c r="C857" s="1" t="s">
        <v>139</v>
      </c>
      <c r="D857" s="1" t="s">
        <v>11</v>
      </c>
      <c r="E857" s="1">
        <v>549</v>
      </c>
      <c r="F857" s="4">
        <v>15000000</v>
      </c>
      <c r="G857" s="4">
        <v>27322</v>
      </c>
      <c r="H857" s="1">
        <v>0</v>
      </c>
      <c r="I857" s="1">
        <v>1</v>
      </c>
      <c r="J857" s="1">
        <v>4</v>
      </c>
      <c r="K857" s="1" t="s">
        <v>21</v>
      </c>
      <c r="L857" s="1" t="s">
        <v>1752</v>
      </c>
      <c r="M857" s="1">
        <v>3</v>
      </c>
      <c r="N857" s="1">
        <v>7</v>
      </c>
      <c r="O857" s="1">
        <v>57823</v>
      </c>
      <c r="P857" s="1">
        <v>4.63</v>
      </c>
      <c r="Q857" s="1" t="s">
        <v>6</v>
      </c>
      <c r="R857" s="3">
        <v>0.48130000000000001</v>
      </c>
      <c r="S857" s="2">
        <v>46081</v>
      </c>
      <c r="T857" s="1">
        <v>82</v>
      </c>
      <c r="U857" s="1" t="s">
        <v>7</v>
      </c>
      <c r="V857" s="1">
        <v>40</v>
      </c>
      <c r="W857" s="1" t="b">
        <v>1</v>
      </c>
      <c r="X857" s="1" t="b">
        <v>1</v>
      </c>
      <c r="Y857" s="1">
        <v>30000</v>
      </c>
    </row>
    <row r="858" spans="1:25" x14ac:dyDescent="0.35">
      <c r="A858" s="1" t="s">
        <v>1753</v>
      </c>
      <c r="B858" s="1" t="s">
        <v>54</v>
      </c>
      <c r="C858" s="1" t="s">
        <v>55</v>
      </c>
      <c r="D858" s="1" t="s">
        <v>38</v>
      </c>
      <c r="E858" s="1">
        <v>9727</v>
      </c>
      <c r="F858" s="4">
        <v>40000000</v>
      </c>
      <c r="G858" s="4">
        <v>4112</v>
      </c>
      <c r="H858" s="1">
        <v>5</v>
      </c>
      <c r="I858" s="1">
        <v>2</v>
      </c>
      <c r="J858" s="1">
        <v>19</v>
      </c>
      <c r="K858" s="1" t="s">
        <v>58</v>
      </c>
      <c r="L858" s="1" t="s">
        <v>1754</v>
      </c>
      <c r="M858" s="1">
        <v>6</v>
      </c>
      <c r="N858" s="1">
        <v>8</v>
      </c>
      <c r="O858" s="1">
        <v>100932</v>
      </c>
      <c r="P858" s="1">
        <v>3.03</v>
      </c>
      <c r="Q858" s="1" t="s">
        <v>14</v>
      </c>
      <c r="R858" s="3">
        <v>0.40139999999999998</v>
      </c>
      <c r="S858" s="2">
        <v>46099</v>
      </c>
      <c r="T858" s="1">
        <v>214</v>
      </c>
      <c r="U858" s="1" t="s">
        <v>7</v>
      </c>
      <c r="V858" s="1">
        <v>124</v>
      </c>
      <c r="W858" s="1" t="b">
        <v>0</v>
      </c>
      <c r="X858" s="1" t="b">
        <v>0</v>
      </c>
      <c r="Y858" s="1">
        <v>80000</v>
      </c>
    </row>
    <row r="859" spans="1:25" x14ac:dyDescent="0.35">
      <c r="A859" s="1" t="s">
        <v>1755</v>
      </c>
      <c r="B859" s="1" t="s">
        <v>18</v>
      </c>
      <c r="C859" s="1" t="s">
        <v>217</v>
      </c>
      <c r="D859" s="1" t="s">
        <v>11</v>
      </c>
      <c r="E859" s="1">
        <v>328</v>
      </c>
      <c r="F859" s="4">
        <v>15000000</v>
      </c>
      <c r="G859" s="4">
        <v>45731</v>
      </c>
      <c r="H859" s="1">
        <v>0</v>
      </c>
      <c r="I859" s="1">
        <v>2</v>
      </c>
      <c r="J859" s="1">
        <v>11</v>
      </c>
      <c r="K859" s="1" t="s">
        <v>34</v>
      </c>
      <c r="L859" s="1" t="s">
        <v>1756</v>
      </c>
      <c r="M859" s="1">
        <v>5</v>
      </c>
      <c r="N859" s="1">
        <v>5</v>
      </c>
      <c r="O859" s="1">
        <v>48524</v>
      </c>
      <c r="P859" s="1">
        <v>3.88</v>
      </c>
      <c r="Q859" s="1" t="s">
        <v>6</v>
      </c>
      <c r="R859" s="3">
        <v>0.44409999999999994</v>
      </c>
      <c r="S859" s="2">
        <v>45715</v>
      </c>
      <c r="T859" s="1">
        <v>310</v>
      </c>
      <c r="U859" s="1" t="s">
        <v>7</v>
      </c>
      <c r="V859" s="1">
        <v>108</v>
      </c>
      <c r="W859" s="1" t="b">
        <v>1</v>
      </c>
      <c r="X859" s="1" t="b">
        <v>1</v>
      </c>
      <c r="Y859" s="1">
        <v>0</v>
      </c>
    </row>
    <row r="860" spans="1:25" x14ac:dyDescent="0.35">
      <c r="A860" s="1" t="s">
        <v>1757</v>
      </c>
      <c r="B860" s="1" t="s">
        <v>54</v>
      </c>
      <c r="C860" s="1" t="s">
        <v>64</v>
      </c>
      <c r="D860" s="1" t="s">
        <v>20</v>
      </c>
      <c r="E860" s="1">
        <v>4151</v>
      </c>
      <c r="F860" s="4">
        <v>40000000</v>
      </c>
      <c r="G860" s="4">
        <v>9636</v>
      </c>
      <c r="H860" s="1">
        <v>5</v>
      </c>
      <c r="I860" s="1">
        <v>2</v>
      </c>
      <c r="J860" s="1">
        <v>14</v>
      </c>
      <c r="K860" s="1" t="s">
        <v>21</v>
      </c>
      <c r="L860" s="1" t="s">
        <v>1758</v>
      </c>
      <c r="M860" s="1">
        <v>4</v>
      </c>
      <c r="N860" s="1">
        <v>6</v>
      </c>
      <c r="O860" s="1">
        <v>107831</v>
      </c>
      <c r="P860" s="1">
        <v>3.23</v>
      </c>
      <c r="Q860" s="1" t="s">
        <v>14</v>
      </c>
      <c r="R860" s="3">
        <v>0.41170000000000001</v>
      </c>
      <c r="S860" s="2">
        <v>45854</v>
      </c>
      <c r="T860" s="1">
        <v>211</v>
      </c>
      <c r="U860" s="1" t="s">
        <v>23</v>
      </c>
      <c r="V860" s="1">
        <v>85</v>
      </c>
      <c r="W860" s="1" t="b">
        <v>1</v>
      </c>
      <c r="X860" s="1" t="b">
        <v>0</v>
      </c>
      <c r="Y860" s="1">
        <v>0</v>
      </c>
    </row>
    <row r="861" spans="1:25" x14ac:dyDescent="0.35">
      <c r="A861" s="1" t="s">
        <v>1759</v>
      </c>
      <c r="B861" s="1" t="s">
        <v>54</v>
      </c>
      <c r="C861" s="1" t="s">
        <v>104</v>
      </c>
      <c r="D861" s="1" t="s">
        <v>27</v>
      </c>
      <c r="E861" s="1">
        <v>2830</v>
      </c>
      <c r="F861" s="4">
        <v>40000000</v>
      </c>
      <c r="G861" s="4">
        <v>14134</v>
      </c>
      <c r="H861" s="1">
        <v>3</v>
      </c>
      <c r="I861" s="1">
        <v>2</v>
      </c>
      <c r="J861" s="1">
        <v>30</v>
      </c>
      <c r="K861" s="1" t="s">
        <v>58</v>
      </c>
      <c r="L861" s="1" t="s">
        <v>1760</v>
      </c>
      <c r="M861" s="1">
        <v>7</v>
      </c>
      <c r="N861" s="1">
        <v>5</v>
      </c>
      <c r="O861" s="1">
        <v>138059</v>
      </c>
      <c r="P861" s="1">
        <v>4.1399999999999997</v>
      </c>
      <c r="Q861" s="1" t="s">
        <v>14</v>
      </c>
      <c r="R861" s="3">
        <v>0.45710000000000001</v>
      </c>
      <c r="S861" s="2">
        <v>45767</v>
      </c>
      <c r="T861" s="1">
        <v>174</v>
      </c>
      <c r="U861" s="1" t="s">
        <v>7</v>
      </c>
      <c r="V861" s="1">
        <v>173</v>
      </c>
      <c r="W861" s="1" t="b">
        <v>1</v>
      </c>
      <c r="X861" s="1" t="b">
        <v>1</v>
      </c>
      <c r="Y861" s="1">
        <v>0</v>
      </c>
    </row>
    <row r="862" spans="1:25" x14ac:dyDescent="0.35">
      <c r="A862" s="1" t="s">
        <v>1761</v>
      </c>
      <c r="B862" s="1" t="s">
        <v>18</v>
      </c>
      <c r="C862" s="1" t="s">
        <v>217</v>
      </c>
      <c r="D862" s="1" t="s">
        <v>20</v>
      </c>
      <c r="E862" s="1">
        <v>4230</v>
      </c>
      <c r="F862" s="4">
        <v>15000000</v>
      </c>
      <c r="G862" s="4">
        <v>3546</v>
      </c>
      <c r="H862" s="1">
        <v>2</v>
      </c>
      <c r="I862" s="1">
        <v>2</v>
      </c>
      <c r="J862" s="1">
        <v>17</v>
      </c>
      <c r="K862" s="1" t="s">
        <v>28</v>
      </c>
      <c r="L862" s="1" t="s">
        <v>1762</v>
      </c>
      <c r="M862" s="1">
        <v>4</v>
      </c>
      <c r="N862" s="1">
        <v>6</v>
      </c>
      <c r="O862" s="1">
        <v>43522</v>
      </c>
      <c r="P862" s="1">
        <v>3.48</v>
      </c>
      <c r="Q862" s="1" t="s">
        <v>6</v>
      </c>
      <c r="R862" s="3">
        <v>0.42409999999999998</v>
      </c>
      <c r="S862" s="2">
        <v>46076</v>
      </c>
      <c r="T862" s="1">
        <v>256</v>
      </c>
      <c r="U862" s="1" t="s">
        <v>30</v>
      </c>
      <c r="V862" s="1">
        <v>165</v>
      </c>
      <c r="W862" s="1" t="b">
        <v>0</v>
      </c>
      <c r="X862" s="1" t="b">
        <v>1</v>
      </c>
      <c r="Y862" s="1">
        <v>0</v>
      </c>
    </row>
    <row r="863" spans="1:25" x14ac:dyDescent="0.35">
      <c r="A863" s="1" t="s">
        <v>1763</v>
      </c>
      <c r="B863" s="1" t="s">
        <v>1</v>
      </c>
      <c r="C863" s="1" t="s">
        <v>97</v>
      </c>
      <c r="D863" s="1" t="s">
        <v>20</v>
      </c>
      <c r="E863" s="1">
        <v>3412</v>
      </c>
      <c r="F863" s="4">
        <v>10000000</v>
      </c>
      <c r="G863" s="4">
        <v>2930</v>
      </c>
      <c r="H863" s="1">
        <v>5</v>
      </c>
      <c r="I863" s="1">
        <v>3</v>
      </c>
      <c r="J863" s="1">
        <v>15</v>
      </c>
      <c r="K863" s="1" t="s">
        <v>12</v>
      </c>
      <c r="L863" s="1" t="s">
        <v>1764</v>
      </c>
      <c r="M863" s="1">
        <v>5</v>
      </c>
      <c r="N863" s="1">
        <v>8</v>
      </c>
      <c r="O863" s="1">
        <v>31008</v>
      </c>
      <c r="P863" s="1">
        <v>3.72</v>
      </c>
      <c r="Q863" s="1" t="s">
        <v>6</v>
      </c>
      <c r="R863" s="3">
        <v>0.436</v>
      </c>
      <c r="S863" s="2">
        <v>45911</v>
      </c>
      <c r="T863" s="1">
        <v>139</v>
      </c>
      <c r="U863" s="1" t="s">
        <v>7</v>
      </c>
      <c r="V863" s="1">
        <v>150</v>
      </c>
      <c r="W863" s="1" t="b">
        <v>0</v>
      </c>
      <c r="X863" s="1" t="b">
        <v>0</v>
      </c>
      <c r="Y863" s="1">
        <v>0</v>
      </c>
    </row>
    <row r="864" spans="1:25" x14ac:dyDescent="0.35">
      <c r="A864" s="1" t="s">
        <v>1765</v>
      </c>
      <c r="B864" s="1" t="s">
        <v>9</v>
      </c>
      <c r="C864" s="1" t="s">
        <v>114</v>
      </c>
      <c r="D864" s="1" t="s">
        <v>27</v>
      </c>
      <c r="E864" s="1">
        <v>4296</v>
      </c>
      <c r="F864" s="4">
        <v>50000000</v>
      </c>
      <c r="G864" s="4">
        <v>11638</v>
      </c>
      <c r="H864" s="1">
        <v>4</v>
      </c>
      <c r="I864" s="1">
        <v>2</v>
      </c>
      <c r="J864" s="1">
        <v>5</v>
      </c>
      <c r="K864" s="1" t="s">
        <v>28</v>
      </c>
      <c r="L864" s="1" t="s">
        <v>1766</v>
      </c>
      <c r="M864" s="1">
        <v>5</v>
      </c>
      <c r="N864" s="1">
        <v>6</v>
      </c>
      <c r="O864" s="1">
        <v>202107</v>
      </c>
      <c r="P864" s="1">
        <v>4.8499999999999996</v>
      </c>
      <c r="Q864" s="1" t="s">
        <v>14</v>
      </c>
      <c r="R864" s="3">
        <v>0.49249999999999999</v>
      </c>
      <c r="S864" s="2">
        <v>45523</v>
      </c>
      <c r="T864" s="1">
        <v>45</v>
      </c>
      <c r="U864" s="1" t="s">
        <v>23</v>
      </c>
      <c r="V864" s="1">
        <v>160</v>
      </c>
      <c r="W864" s="1" t="b">
        <v>0</v>
      </c>
      <c r="X864" s="1" t="b">
        <v>1</v>
      </c>
      <c r="Y864" s="1">
        <v>0</v>
      </c>
    </row>
    <row r="865" spans="1:25" x14ac:dyDescent="0.35">
      <c r="A865" s="1" t="s">
        <v>1767</v>
      </c>
      <c r="B865" s="1" t="s">
        <v>32</v>
      </c>
      <c r="C865" s="1" t="s">
        <v>41</v>
      </c>
      <c r="D865" s="1" t="s">
        <v>20</v>
      </c>
      <c r="E865" s="1">
        <v>4721</v>
      </c>
      <c r="F865" s="4">
        <v>12000000</v>
      </c>
      <c r="G865" s="4">
        <v>2541</v>
      </c>
      <c r="H865" s="1">
        <v>4</v>
      </c>
      <c r="I865" s="1">
        <v>3</v>
      </c>
      <c r="J865" s="1">
        <v>12</v>
      </c>
      <c r="K865" s="1" t="s">
        <v>28</v>
      </c>
      <c r="L865" s="1" t="s">
        <v>1768</v>
      </c>
      <c r="M865" s="1">
        <v>5</v>
      </c>
      <c r="N865" s="1">
        <v>10</v>
      </c>
      <c r="O865" s="1">
        <v>49616</v>
      </c>
      <c r="P865" s="1">
        <v>4.96</v>
      </c>
      <c r="Q865" s="1" t="s">
        <v>6</v>
      </c>
      <c r="R865" s="3">
        <v>0.49810000000000004</v>
      </c>
      <c r="S865" s="2">
        <v>46017</v>
      </c>
      <c r="T865" s="1">
        <v>61</v>
      </c>
      <c r="U865" s="1" t="s">
        <v>7</v>
      </c>
      <c r="V865" s="1">
        <v>180</v>
      </c>
      <c r="W865" s="1" t="b">
        <v>0</v>
      </c>
      <c r="X865" s="1" t="b">
        <v>1</v>
      </c>
      <c r="Y865" s="1">
        <v>0</v>
      </c>
    </row>
    <row r="866" spans="1:25" x14ac:dyDescent="0.35">
      <c r="A866" s="1" t="s">
        <v>1769</v>
      </c>
      <c r="B866" s="1" t="s">
        <v>9</v>
      </c>
      <c r="C866" s="1" t="s">
        <v>163</v>
      </c>
      <c r="D866" s="1" t="s">
        <v>3</v>
      </c>
      <c r="E866" s="1">
        <v>1484</v>
      </c>
      <c r="F866" s="4">
        <v>50000000</v>
      </c>
      <c r="G866" s="4">
        <v>33692</v>
      </c>
      <c r="H866" s="1">
        <v>2</v>
      </c>
      <c r="I866" s="1">
        <v>1</v>
      </c>
      <c r="J866" s="1">
        <v>25</v>
      </c>
      <c r="K866" s="1" t="s">
        <v>12</v>
      </c>
      <c r="L866" s="1" t="s">
        <v>1770</v>
      </c>
      <c r="M866" s="1">
        <v>4</v>
      </c>
      <c r="N866" s="1">
        <v>7</v>
      </c>
      <c r="O866" s="1">
        <v>142790</v>
      </c>
      <c r="P866" s="1">
        <v>3.43</v>
      </c>
      <c r="Q866" s="1" t="s">
        <v>14</v>
      </c>
      <c r="R866" s="3">
        <v>0.42130000000000001</v>
      </c>
      <c r="S866" s="2">
        <v>46099</v>
      </c>
      <c r="T866" s="1">
        <v>337</v>
      </c>
      <c r="U866" s="1" t="s">
        <v>7</v>
      </c>
      <c r="V866" s="1">
        <v>86</v>
      </c>
      <c r="W866" s="1" t="b">
        <v>0</v>
      </c>
      <c r="X866" s="1" t="b">
        <v>1</v>
      </c>
      <c r="Y866" s="1">
        <v>100000</v>
      </c>
    </row>
    <row r="867" spans="1:25" x14ac:dyDescent="0.35">
      <c r="A867" s="1" t="s">
        <v>1771</v>
      </c>
      <c r="B867" s="1" t="s">
        <v>1</v>
      </c>
      <c r="C867" s="1" t="s">
        <v>2</v>
      </c>
      <c r="D867" s="1" t="s">
        <v>3</v>
      </c>
      <c r="E867" s="1">
        <v>2587</v>
      </c>
      <c r="F867" s="4">
        <v>10000000</v>
      </c>
      <c r="G867" s="4">
        <v>3865</v>
      </c>
      <c r="H867" s="1">
        <v>1</v>
      </c>
      <c r="I867" s="1">
        <v>2</v>
      </c>
      <c r="J867" s="1">
        <v>30</v>
      </c>
      <c r="K867" s="1" t="s">
        <v>58</v>
      </c>
      <c r="L867" s="1" t="s">
        <v>1772</v>
      </c>
      <c r="M867" s="1">
        <v>7</v>
      </c>
      <c r="N867" s="1">
        <v>6</v>
      </c>
      <c r="O867" s="1">
        <v>34283</v>
      </c>
      <c r="P867" s="1">
        <v>4.1100000000000003</v>
      </c>
      <c r="Q867" s="1" t="s">
        <v>6</v>
      </c>
      <c r="R867" s="3">
        <v>0.45569999999999999</v>
      </c>
      <c r="S867" s="2">
        <v>45831</v>
      </c>
      <c r="T867" s="1">
        <v>91</v>
      </c>
      <c r="U867" s="1" t="s">
        <v>7</v>
      </c>
      <c r="V867" s="1">
        <v>101</v>
      </c>
      <c r="W867" s="1" t="b">
        <v>0</v>
      </c>
      <c r="X867" s="1" t="b">
        <v>0</v>
      </c>
      <c r="Y867" s="1">
        <v>0</v>
      </c>
    </row>
    <row r="868" spans="1:25" x14ac:dyDescent="0.35">
      <c r="A868" s="1" t="s">
        <v>1773</v>
      </c>
      <c r="B868" s="1" t="s">
        <v>54</v>
      </c>
      <c r="C868" s="1" t="s">
        <v>104</v>
      </c>
      <c r="D868" s="1" t="s">
        <v>11</v>
      </c>
      <c r="E868" s="1">
        <v>274</v>
      </c>
      <c r="F868" s="4">
        <v>28482738</v>
      </c>
      <c r="G868" s="4">
        <v>103951</v>
      </c>
      <c r="H868" s="1">
        <v>0</v>
      </c>
      <c r="I868" s="1">
        <v>2</v>
      </c>
      <c r="J868" s="1">
        <v>6</v>
      </c>
      <c r="K868" s="1" t="s">
        <v>42</v>
      </c>
      <c r="L868" s="1" t="s">
        <v>1774</v>
      </c>
      <c r="M868" s="1">
        <v>8</v>
      </c>
      <c r="N868" s="1">
        <v>7</v>
      </c>
      <c r="O868" s="1">
        <v>98612</v>
      </c>
      <c r="P868" s="1">
        <v>4.1500000000000004</v>
      </c>
      <c r="Q868" s="1" t="s">
        <v>14</v>
      </c>
      <c r="R868" s="3">
        <v>0.45770000000000005</v>
      </c>
      <c r="S868" s="2">
        <v>45747</v>
      </c>
      <c r="T868" s="1">
        <v>100</v>
      </c>
      <c r="U868" s="1" t="s">
        <v>30</v>
      </c>
      <c r="V868" s="1">
        <v>78</v>
      </c>
      <c r="W868" s="1" t="b">
        <v>0</v>
      </c>
      <c r="X868" s="1" t="b">
        <v>1</v>
      </c>
      <c r="Y868" s="1">
        <v>56965</v>
      </c>
    </row>
    <row r="869" spans="1:25" x14ac:dyDescent="0.35">
      <c r="A869" s="1" t="s">
        <v>1775</v>
      </c>
      <c r="B869" s="1" t="s">
        <v>54</v>
      </c>
      <c r="C869" s="1" t="s">
        <v>64</v>
      </c>
      <c r="D869" s="1" t="s">
        <v>3</v>
      </c>
      <c r="E869" s="1">
        <v>2977</v>
      </c>
      <c r="F869" s="4">
        <v>40000000</v>
      </c>
      <c r="G869" s="4">
        <v>13436</v>
      </c>
      <c r="H869" s="1">
        <v>3</v>
      </c>
      <c r="I869" s="1">
        <v>1</v>
      </c>
      <c r="J869" s="1">
        <v>26</v>
      </c>
      <c r="K869" s="1" t="s">
        <v>28</v>
      </c>
      <c r="L869" s="1" t="s">
        <v>1776</v>
      </c>
      <c r="M869" s="1">
        <v>6</v>
      </c>
      <c r="N869" s="1">
        <v>5</v>
      </c>
      <c r="O869" s="1">
        <v>161384</v>
      </c>
      <c r="P869" s="1">
        <v>4.84</v>
      </c>
      <c r="Q869" s="1" t="s">
        <v>14</v>
      </c>
      <c r="R869" s="3">
        <v>0.49209999999999998</v>
      </c>
      <c r="S869" s="2">
        <v>45661</v>
      </c>
      <c r="T869" s="1">
        <v>34</v>
      </c>
      <c r="U869" s="1" t="s">
        <v>23</v>
      </c>
      <c r="V869" s="1">
        <v>62</v>
      </c>
      <c r="W869" s="1" t="b">
        <v>0</v>
      </c>
      <c r="X869" s="1" t="b">
        <v>1</v>
      </c>
      <c r="Y869" s="1">
        <v>0</v>
      </c>
    </row>
    <row r="870" spans="1:25" x14ac:dyDescent="0.35">
      <c r="A870" s="1" t="s">
        <v>1777</v>
      </c>
      <c r="B870" s="1" t="s">
        <v>18</v>
      </c>
      <c r="C870" s="1" t="s">
        <v>243</v>
      </c>
      <c r="D870" s="1" t="s">
        <v>27</v>
      </c>
      <c r="E870" s="1">
        <v>2982</v>
      </c>
      <c r="F870" s="4">
        <v>15000000</v>
      </c>
      <c r="G870" s="4">
        <v>5030</v>
      </c>
      <c r="H870" s="1">
        <v>6</v>
      </c>
      <c r="I870" s="1">
        <v>3</v>
      </c>
      <c r="J870" s="1">
        <v>19</v>
      </c>
      <c r="K870" s="1" t="s">
        <v>58</v>
      </c>
      <c r="L870" s="1" t="s">
        <v>1778</v>
      </c>
      <c r="M870" s="1">
        <v>5</v>
      </c>
      <c r="N870" s="1">
        <v>5</v>
      </c>
      <c r="O870" s="1">
        <v>41611</v>
      </c>
      <c r="P870" s="1">
        <v>3.33</v>
      </c>
      <c r="Q870" s="1" t="s">
        <v>6</v>
      </c>
      <c r="R870" s="3">
        <v>0.41639999999999999</v>
      </c>
      <c r="S870" s="2">
        <v>46121</v>
      </c>
      <c r="T870" s="1">
        <v>319</v>
      </c>
      <c r="U870" s="1" t="s">
        <v>7</v>
      </c>
      <c r="V870" s="1">
        <v>126</v>
      </c>
      <c r="W870" s="1" t="b">
        <v>0</v>
      </c>
      <c r="X870" s="1" t="b">
        <v>0</v>
      </c>
      <c r="Y870" s="1">
        <v>30000</v>
      </c>
    </row>
    <row r="871" spans="1:25" x14ac:dyDescent="0.35">
      <c r="A871" s="1" t="s">
        <v>1779</v>
      </c>
      <c r="B871" s="1" t="s">
        <v>32</v>
      </c>
      <c r="C871" s="1" t="s">
        <v>197</v>
      </c>
      <c r="D871" s="1" t="s">
        <v>27</v>
      </c>
      <c r="E871" s="1">
        <v>7905</v>
      </c>
      <c r="F871" s="4">
        <v>12000000</v>
      </c>
      <c r="G871" s="4">
        <v>1518</v>
      </c>
      <c r="H871" s="1">
        <v>3</v>
      </c>
      <c r="I871" s="1">
        <v>1</v>
      </c>
      <c r="J871" s="1">
        <v>18</v>
      </c>
      <c r="K871" s="1" t="s">
        <v>4</v>
      </c>
      <c r="L871" s="1" t="s">
        <v>1780</v>
      </c>
      <c r="M871" s="1">
        <v>8</v>
      </c>
      <c r="N871" s="1">
        <v>10</v>
      </c>
      <c r="O871" s="1">
        <v>32967</v>
      </c>
      <c r="P871" s="1">
        <v>3.3</v>
      </c>
      <c r="Q871" s="1" t="s">
        <v>6</v>
      </c>
      <c r="R871" s="3">
        <v>0.41479999999999995</v>
      </c>
      <c r="S871" s="2">
        <v>46002</v>
      </c>
      <c r="T871" s="1">
        <v>117</v>
      </c>
      <c r="U871" s="1" t="s">
        <v>30</v>
      </c>
      <c r="V871" s="1">
        <v>143</v>
      </c>
      <c r="W871" s="1" t="b">
        <v>1</v>
      </c>
      <c r="X871" s="1" t="b">
        <v>1</v>
      </c>
      <c r="Y871" s="1">
        <v>24000</v>
      </c>
    </row>
    <row r="872" spans="1:25" x14ac:dyDescent="0.35">
      <c r="A872" s="1" t="s">
        <v>1781</v>
      </c>
      <c r="B872" s="1" t="s">
        <v>54</v>
      </c>
      <c r="C872" s="1" t="s">
        <v>72</v>
      </c>
      <c r="D872" s="1" t="s">
        <v>11</v>
      </c>
      <c r="E872" s="1">
        <v>363</v>
      </c>
      <c r="F872" s="4">
        <v>40000000</v>
      </c>
      <c r="G872" s="4">
        <v>110192</v>
      </c>
      <c r="H872" s="1">
        <v>1</v>
      </c>
      <c r="I872" s="1">
        <v>1</v>
      </c>
      <c r="J872" s="1">
        <v>4</v>
      </c>
      <c r="K872" s="1" t="s">
        <v>12</v>
      </c>
      <c r="L872" s="1" t="s">
        <v>1782</v>
      </c>
      <c r="M872" s="1">
        <v>4</v>
      </c>
      <c r="N872" s="1">
        <v>8</v>
      </c>
      <c r="O872" s="1">
        <v>131302</v>
      </c>
      <c r="P872" s="1">
        <v>3.94</v>
      </c>
      <c r="Q872" s="1" t="s">
        <v>14</v>
      </c>
      <c r="R872" s="3">
        <v>0.44700000000000001</v>
      </c>
      <c r="S872" s="2">
        <v>46063</v>
      </c>
      <c r="T872" s="1">
        <v>24</v>
      </c>
      <c r="U872" s="1" t="s">
        <v>23</v>
      </c>
      <c r="V872" s="1">
        <v>147</v>
      </c>
      <c r="W872" s="1" t="b">
        <v>1</v>
      </c>
      <c r="X872" s="1" t="b">
        <v>0</v>
      </c>
      <c r="Y872" s="1">
        <v>0</v>
      </c>
    </row>
    <row r="873" spans="1:25" x14ac:dyDescent="0.35">
      <c r="A873" s="1" t="s">
        <v>1783</v>
      </c>
      <c r="B873" s="1" t="s">
        <v>9</v>
      </c>
      <c r="C873" s="1" t="s">
        <v>109</v>
      </c>
      <c r="D873" s="1" t="s">
        <v>27</v>
      </c>
      <c r="E873" s="1">
        <v>3637</v>
      </c>
      <c r="F873" s="4">
        <v>50000000</v>
      </c>
      <c r="G873" s="4">
        <v>13747</v>
      </c>
      <c r="H873" s="1">
        <v>6</v>
      </c>
      <c r="I873" s="1">
        <v>3</v>
      </c>
      <c r="J873" s="1">
        <v>3</v>
      </c>
      <c r="K873" s="1" t="s">
        <v>21</v>
      </c>
      <c r="L873" s="1" t="s">
        <v>1784</v>
      </c>
      <c r="M873" s="1">
        <v>3</v>
      </c>
      <c r="N873" s="1">
        <v>8</v>
      </c>
      <c r="O873" s="1">
        <v>178733</v>
      </c>
      <c r="P873" s="1">
        <v>4.29</v>
      </c>
      <c r="Q873" s="1" t="s">
        <v>14</v>
      </c>
      <c r="R873" s="3">
        <v>0.46450000000000002</v>
      </c>
      <c r="S873" s="2">
        <v>45590</v>
      </c>
      <c r="T873" s="1">
        <v>324</v>
      </c>
      <c r="U873" s="1" t="s">
        <v>7</v>
      </c>
      <c r="V873" s="1">
        <v>173</v>
      </c>
      <c r="W873" s="1" t="b">
        <v>1</v>
      </c>
      <c r="X873" s="1" t="b">
        <v>1</v>
      </c>
      <c r="Y873" s="1">
        <v>0</v>
      </c>
    </row>
    <row r="874" spans="1:25" x14ac:dyDescent="0.35">
      <c r="A874" s="1" t="s">
        <v>1785</v>
      </c>
      <c r="B874" s="1" t="s">
        <v>1</v>
      </c>
      <c r="C874" s="1" t="s">
        <v>45</v>
      </c>
      <c r="D874" s="1" t="s">
        <v>11</v>
      </c>
      <c r="E874" s="1">
        <v>384</v>
      </c>
      <c r="F874" s="4">
        <v>10000000</v>
      </c>
      <c r="G874" s="4">
        <v>26041</v>
      </c>
      <c r="H874" s="1">
        <v>1</v>
      </c>
      <c r="I874" s="1">
        <v>2</v>
      </c>
      <c r="J874" s="1">
        <v>15</v>
      </c>
      <c r="K874" s="1" t="s">
        <v>61</v>
      </c>
      <c r="L874" s="1" t="s">
        <v>1786</v>
      </c>
      <c r="M874" s="1">
        <v>4</v>
      </c>
      <c r="N874" s="1">
        <v>5</v>
      </c>
      <c r="O874" s="1">
        <v>41164</v>
      </c>
      <c r="P874" s="1">
        <v>4.9400000000000004</v>
      </c>
      <c r="Q874" s="1" t="s">
        <v>6</v>
      </c>
      <c r="R874" s="3">
        <v>0.49700000000000005</v>
      </c>
      <c r="S874" s="2">
        <v>45935</v>
      </c>
      <c r="T874" s="1">
        <v>83</v>
      </c>
      <c r="U874" s="1" t="s">
        <v>23</v>
      </c>
      <c r="V874" s="1">
        <v>66</v>
      </c>
      <c r="W874" s="1" t="b">
        <v>1</v>
      </c>
      <c r="X874" s="1" t="b">
        <v>1</v>
      </c>
      <c r="Y874" s="1">
        <v>0</v>
      </c>
    </row>
    <row r="875" spans="1:25" x14ac:dyDescent="0.35">
      <c r="A875" s="1" t="s">
        <v>1787</v>
      </c>
      <c r="B875" s="1" t="s">
        <v>54</v>
      </c>
      <c r="C875" s="1" t="s">
        <v>55</v>
      </c>
      <c r="D875" s="1" t="s">
        <v>20</v>
      </c>
      <c r="E875" s="1">
        <v>3794</v>
      </c>
      <c r="F875" s="4">
        <v>40000000</v>
      </c>
      <c r="G875" s="4">
        <v>10542</v>
      </c>
      <c r="H875" s="1">
        <v>3</v>
      </c>
      <c r="I875" s="1">
        <v>1</v>
      </c>
      <c r="J875" s="1">
        <v>5</v>
      </c>
      <c r="K875" s="1" t="s">
        <v>12</v>
      </c>
      <c r="L875" s="1" t="s">
        <v>1788</v>
      </c>
      <c r="M875" s="1">
        <v>8</v>
      </c>
      <c r="N875" s="1">
        <v>9</v>
      </c>
      <c r="O875" s="1">
        <v>160014</v>
      </c>
      <c r="P875" s="1">
        <v>4.8</v>
      </c>
      <c r="Q875" s="1" t="s">
        <v>14</v>
      </c>
      <c r="R875" s="3">
        <v>0.49</v>
      </c>
      <c r="S875" s="2">
        <v>45908</v>
      </c>
      <c r="T875" s="1">
        <v>126</v>
      </c>
      <c r="U875" s="1" t="s">
        <v>30</v>
      </c>
      <c r="V875" s="1">
        <v>152</v>
      </c>
      <c r="W875" s="1" t="b">
        <v>1</v>
      </c>
      <c r="X875" s="1" t="b">
        <v>1</v>
      </c>
      <c r="Y875" s="1">
        <v>80000</v>
      </c>
    </row>
    <row r="876" spans="1:25" x14ac:dyDescent="0.35">
      <c r="A876" s="1" t="s">
        <v>1789</v>
      </c>
      <c r="B876" s="1" t="s">
        <v>54</v>
      </c>
      <c r="C876" s="1" t="s">
        <v>89</v>
      </c>
      <c r="D876" s="1" t="s">
        <v>11</v>
      </c>
      <c r="E876" s="1">
        <v>391</v>
      </c>
      <c r="F876" s="4">
        <v>36040168</v>
      </c>
      <c r="G876" s="4">
        <v>92174</v>
      </c>
      <c r="H876" s="1">
        <v>0</v>
      </c>
      <c r="I876" s="1">
        <v>1</v>
      </c>
      <c r="J876" s="1">
        <v>0</v>
      </c>
      <c r="K876" s="1" t="s">
        <v>12</v>
      </c>
      <c r="L876" s="1" t="s">
        <v>1790</v>
      </c>
      <c r="M876" s="1">
        <v>6</v>
      </c>
      <c r="N876" s="1">
        <v>7</v>
      </c>
      <c r="O876" s="1">
        <v>143468</v>
      </c>
      <c r="P876" s="1">
        <v>4.78</v>
      </c>
      <c r="Q876" s="1" t="s">
        <v>14</v>
      </c>
      <c r="R876" s="3">
        <v>0.48880000000000001</v>
      </c>
      <c r="S876" s="2">
        <v>46083</v>
      </c>
      <c r="T876" s="1">
        <v>206</v>
      </c>
      <c r="U876" s="1" t="s">
        <v>7</v>
      </c>
      <c r="V876" s="1">
        <v>74</v>
      </c>
      <c r="W876" s="1" t="b">
        <v>1</v>
      </c>
      <c r="X876" s="1" t="b">
        <v>0</v>
      </c>
      <c r="Y876" s="1">
        <v>0</v>
      </c>
    </row>
    <row r="877" spans="1:25" x14ac:dyDescent="0.35">
      <c r="A877" s="1" t="s">
        <v>1791</v>
      </c>
      <c r="B877" s="1" t="s">
        <v>25</v>
      </c>
      <c r="C877" s="1" t="s">
        <v>37</v>
      </c>
      <c r="D877" s="1" t="s">
        <v>11</v>
      </c>
      <c r="E877" s="1">
        <v>586</v>
      </c>
      <c r="F877" s="4">
        <v>30000000</v>
      </c>
      <c r="G877" s="4">
        <v>51194</v>
      </c>
      <c r="H877" s="1">
        <v>1</v>
      </c>
      <c r="I877" s="1">
        <v>2</v>
      </c>
      <c r="J877" s="1">
        <v>2</v>
      </c>
      <c r="K877" s="1" t="s">
        <v>34</v>
      </c>
      <c r="L877" s="1" t="s">
        <v>1792</v>
      </c>
      <c r="M877" s="1">
        <v>5</v>
      </c>
      <c r="N877" s="1">
        <v>6</v>
      </c>
      <c r="O877" s="1">
        <v>114964</v>
      </c>
      <c r="P877" s="1">
        <v>4.5999999999999996</v>
      </c>
      <c r="Q877" s="1" t="s">
        <v>14</v>
      </c>
      <c r="R877" s="3">
        <v>0.47989999999999999</v>
      </c>
      <c r="S877" s="2">
        <v>45515</v>
      </c>
      <c r="T877" s="1">
        <v>220</v>
      </c>
      <c r="U877" s="1" t="s">
        <v>30</v>
      </c>
      <c r="V877" s="1">
        <v>52</v>
      </c>
      <c r="W877" s="1" t="b">
        <v>0</v>
      </c>
      <c r="X877" s="1" t="b">
        <v>1</v>
      </c>
      <c r="Y877" s="1">
        <v>60000</v>
      </c>
    </row>
    <row r="878" spans="1:25" x14ac:dyDescent="0.35">
      <c r="A878" s="1" t="s">
        <v>1793</v>
      </c>
      <c r="B878" s="1" t="s">
        <v>32</v>
      </c>
      <c r="C878" s="1" t="s">
        <v>194</v>
      </c>
      <c r="D878" s="1" t="s">
        <v>20</v>
      </c>
      <c r="E878" s="1">
        <v>2851</v>
      </c>
      <c r="F878" s="4">
        <v>12000000</v>
      </c>
      <c r="G878" s="4">
        <v>4209</v>
      </c>
      <c r="H878" s="1">
        <v>5</v>
      </c>
      <c r="I878" s="1">
        <v>3</v>
      </c>
      <c r="J878" s="1">
        <v>0</v>
      </c>
      <c r="K878" s="1" t="s">
        <v>12</v>
      </c>
      <c r="L878" s="1" t="s">
        <v>1794</v>
      </c>
      <c r="M878" s="1">
        <v>7</v>
      </c>
      <c r="N878" s="1">
        <v>4</v>
      </c>
      <c r="O878" s="1">
        <v>31203</v>
      </c>
      <c r="P878" s="1">
        <v>3.12</v>
      </c>
      <c r="Q878" s="1" t="s">
        <v>6</v>
      </c>
      <c r="R878" s="3">
        <v>0.40600000000000003</v>
      </c>
      <c r="S878" s="2">
        <v>46156</v>
      </c>
      <c r="T878" s="1">
        <v>87</v>
      </c>
      <c r="U878" s="1" t="s">
        <v>30</v>
      </c>
      <c r="V878" s="1">
        <v>94</v>
      </c>
      <c r="W878" s="1" t="b">
        <v>0</v>
      </c>
      <c r="X878" s="1" t="b">
        <v>1</v>
      </c>
      <c r="Y878" s="1">
        <v>24000</v>
      </c>
    </row>
    <row r="879" spans="1:25" x14ac:dyDescent="0.35">
      <c r="A879" s="1" t="s">
        <v>1795</v>
      </c>
      <c r="B879" s="1" t="s">
        <v>9</v>
      </c>
      <c r="C879" s="1" t="s">
        <v>109</v>
      </c>
      <c r="D879" s="1" t="s">
        <v>11</v>
      </c>
      <c r="E879" s="1">
        <v>299</v>
      </c>
      <c r="F879" s="4">
        <v>50000000</v>
      </c>
      <c r="G879" s="4">
        <v>167224</v>
      </c>
      <c r="H879" s="1">
        <v>0</v>
      </c>
      <c r="I879" s="1">
        <v>1</v>
      </c>
      <c r="J879" s="1">
        <v>4</v>
      </c>
      <c r="K879" s="1" t="s">
        <v>21</v>
      </c>
      <c r="L879" s="1" t="s">
        <v>1796</v>
      </c>
      <c r="M879" s="1">
        <v>5</v>
      </c>
      <c r="N879" s="1">
        <v>9</v>
      </c>
      <c r="O879" s="1">
        <v>176692</v>
      </c>
      <c r="P879" s="1">
        <v>4.24</v>
      </c>
      <c r="Q879" s="1" t="s">
        <v>14</v>
      </c>
      <c r="R879" s="3">
        <v>0.46200000000000002</v>
      </c>
      <c r="S879" s="2">
        <v>45683</v>
      </c>
      <c r="T879" s="1">
        <v>208</v>
      </c>
      <c r="U879" s="1" t="s">
        <v>7</v>
      </c>
      <c r="V879" s="1">
        <v>146</v>
      </c>
      <c r="W879" s="1" t="b">
        <v>1</v>
      </c>
      <c r="X879" s="1" t="b">
        <v>0</v>
      </c>
      <c r="Y879" s="1">
        <v>100000</v>
      </c>
    </row>
    <row r="880" spans="1:25" x14ac:dyDescent="0.35">
      <c r="A880" s="1" t="s">
        <v>1797</v>
      </c>
      <c r="B880" s="1" t="s">
        <v>9</v>
      </c>
      <c r="C880" s="1" t="s">
        <v>10</v>
      </c>
      <c r="D880" s="1" t="s">
        <v>11</v>
      </c>
      <c r="E880" s="1">
        <v>501</v>
      </c>
      <c r="F880" s="4">
        <v>50000000</v>
      </c>
      <c r="G880" s="4">
        <v>99800</v>
      </c>
      <c r="H880" s="1">
        <v>1</v>
      </c>
      <c r="I880" s="1">
        <v>1</v>
      </c>
      <c r="J880" s="1">
        <v>2</v>
      </c>
      <c r="K880" s="1" t="s">
        <v>12</v>
      </c>
      <c r="L880" s="1" t="s">
        <v>1798</v>
      </c>
      <c r="M880" s="1">
        <v>7</v>
      </c>
      <c r="N880" s="1">
        <v>9</v>
      </c>
      <c r="O880" s="1">
        <v>205319</v>
      </c>
      <c r="P880" s="1">
        <v>4.93</v>
      </c>
      <c r="Q880" s="1" t="s">
        <v>14</v>
      </c>
      <c r="R880" s="3">
        <v>0.49640000000000001</v>
      </c>
      <c r="S880" s="2">
        <v>45609</v>
      </c>
      <c r="T880" s="1">
        <v>216</v>
      </c>
      <c r="U880" s="1" t="s">
        <v>30</v>
      </c>
      <c r="V880" s="1">
        <v>169</v>
      </c>
      <c r="W880" s="1" t="b">
        <v>0</v>
      </c>
      <c r="X880" s="1" t="b">
        <v>1</v>
      </c>
      <c r="Y880" s="1">
        <v>100000</v>
      </c>
    </row>
    <row r="881" spans="1:25" x14ac:dyDescent="0.35">
      <c r="A881" s="1" t="s">
        <v>1799</v>
      </c>
      <c r="B881" s="1" t="s">
        <v>1</v>
      </c>
      <c r="C881" s="1" t="s">
        <v>45</v>
      </c>
      <c r="D881" s="1" t="s">
        <v>38</v>
      </c>
      <c r="E881" s="1">
        <v>8720</v>
      </c>
      <c r="F881" s="4">
        <v>10000000</v>
      </c>
      <c r="G881" s="4">
        <v>1146</v>
      </c>
      <c r="H881" s="1">
        <v>6</v>
      </c>
      <c r="I881" s="1">
        <v>4</v>
      </c>
      <c r="J881" s="1">
        <v>6</v>
      </c>
      <c r="K881" s="1" t="s">
        <v>12</v>
      </c>
      <c r="L881" s="1" t="s">
        <v>1800</v>
      </c>
      <c r="M881" s="1">
        <v>3</v>
      </c>
      <c r="N881" s="1">
        <v>10</v>
      </c>
      <c r="O881" s="1">
        <v>25514</v>
      </c>
      <c r="P881" s="1">
        <v>3.06</v>
      </c>
      <c r="Q881" s="1" t="s">
        <v>6</v>
      </c>
      <c r="R881" s="3">
        <v>0.40310000000000001</v>
      </c>
      <c r="S881" s="2">
        <v>45632</v>
      </c>
      <c r="T881" s="1">
        <v>327</v>
      </c>
      <c r="U881" s="1" t="s">
        <v>30</v>
      </c>
      <c r="V881" s="1">
        <v>178</v>
      </c>
      <c r="W881" s="1" t="b">
        <v>0</v>
      </c>
      <c r="X881" s="1" t="b">
        <v>1</v>
      </c>
      <c r="Y881" s="1">
        <v>20000</v>
      </c>
    </row>
    <row r="882" spans="1:25" x14ac:dyDescent="0.35">
      <c r="A882" s="1" t="s">
        <v>1801</v>
      </c>
      <c r="B882" s="1" t="s">
        <v>9</v>
      </c>
      <c r="C882" s="1" t="s">
        <v>10</v>
      </c>
      <c r="D882" s="1" t="s">
        <v>3</v>
      </c>
      <c r="E882" s="1">
        <v>1049</v>
      </c>
      <c r="F882" s="4">
        <v>50000000</v>
      </c>
      <c r="G882" s="4">
        <v>47664</v>
      </c>
      <c r="H882" s="1">
        <v>1</v>
      </c>
      <c r="I882" s="1">
        <v>1</v>
      </c>
      <c r="J882" s="1">
        <v>11</v>
      </c>
      <c r="K882" s="1" t="s">
        <v>34</v>
      </c>
      <c r="L882" s="1" t="s">
        <v>1802</v>
      </c>
      <c r="M882" s="1">
        <v>3</v>
      </c>
      <c r="N882" s="1">
        <v>6</v>
      </c>
      <c r="O882" s="1">
        <v>171920</v>
      </c>
      <c r="P882" s="1">
        <v>4.13</v>
      </c>
      <c r="Q882" s="1" t="s">
        <v>14</v>
      </c>
      <c r="R882" s="3">
        <v>0.45630000000000004</v>
      </c>
      <c r="S882" s="2">
        <v>45689</v>
      </c>
      <c r="T882" s="1">
        <v>4</v>
      </c>
      <c r="U882" s="1" t="s">
        <v>30</v>
      </c>
      <c r="V882" s="1">
        <v>152</v>
      </c>
      <c r="W882" s="1" t="b">
        <v>1</v>
      </c>
      <c r="X882" s="1" t="b">
        <v>1</v>
      </c>
      <c r="Y882" s="1">
        <v>100000</v>
      </c>
    </row>
    <row r="883" spans="1:25" x14ac:dyDescent="0.35">
      <c r="A883" s="1" t="s">
        <v>1803</v>
      </c>
      <c r="B883" s="1" t="s">
        <v>18</v>
      </c>
      <c r="C883" s="1" t="s">
        <v>166</v>
      </c>
      <c r="D883" s="1" t="s">
        <v>11</v>
      </c>
      <c r="E883" s="1">
        <v>452</v>
      </c>
      <c r="F883" s="4">
        <v>15000000</v>
      </c>
      <c r="G883" s="4">
        <v>33185</v>
      </c>
      <c r="H883" s="1">
        <v>1</v>
      </c>
      <c r="I883" s="1">
        <v>2</v>
      </c>
      <c r="J883" s="1">
        <v>17</v>
      </c>
      <c r="K883" s="1" t="s">
        <v>58</v>
      </c>
      <c r="L883" s="1" t="s">
        <v>1804</v>
      </c>
      <c r="M883" s="1">
        <v>8</v>
      </c>
      <c r="N883" s="1">
        <v>4</v>
      </c>
      <c r="O883" s="1">
        <v>42532</v>
      </c>
      <c r="P883" s="1">
        <v>3.4</v>
      </c>
      <c r="Q883" s="1" t="s">
        <v>6</v>
      </c>
      <c r="R883" s="3">
        <v>0.42009999999999997</v>
      </c>
      <c r="S883" s="2">
        <v>45801</v>
      </c>
      <c r="T883" s="1">
        <v>170</v>
      </c>
      <c r="U883" s="1" t="s">
        <v>7</v>
      </c>
      <c r="V883" s="1">
        <v>95</v>
      </c>
      <c r="W883" s="1" t="b">
        <v>1</v>
      </c>
      <c r="X883" s="1" t="b">
        <v>1</v>
      </c>
      <c r="Y883" s="1">
        <v>0</v>
      </c>
    </row>
    <row r="884" spans="1:25" x14ac:dyDescent="0.35">
      <c r="A884" s="1" t="s">
        <v>1805</v>
      </c>
      <c r="B884" s="1" t="s">
        <v>25</v>
      </c>
      <c r="C884" s="1" t="s">
        <v>26</v>
      </c>
      <c r="D884" s="1" t="s">
        <v>20</v>
      </c>
      <c r="E884" s="1">
        <v>4363</v>
      </c>
      <c r="F884" s="4">
        <v>30000000</v>
      </c>
      <c r="G884" s="4">
        <v>6876</v>
      </c>
      <c r="H884" s="1">
        <v>3</v>
      </c>
      <c r="I884" s="1">
        <v>2</v>
      </c>
      <c r="J884" s="1">
        <v>6</v>
      </c>
      <c r="K884" s="1" t="s">
        <v>21</v>
      </c>
      <c r="L884" s="1" t="s">
        <v>1806</v>
      </c>
      <c r="M884" s="1">
        <v>3</v>
      </c>
      <c r="N884" s="1">
        <v>9</v>
      </c>
      <c r="O884" s="1">
        <v>123144</v>
      </c>
      <c r="P884" s="1">
        <v>4.93</v>
      </c>
      <c r="Q884" s="1" t="s">
        <v>14</v>
      </c>
      <c r="R884" s="3">
        <v>0.49630000000000002</v>
      </c>
      <c r="S884" s="2">
        <v>45705</v>
      </c>
      <c r="T884" s="1">
        <v>333</v>
      </c>
      <c r="U884" s="1" t="s">
        <v>7</v>
      </c>
      <c r="V884" s="1">
        <v>174</v>
      </c>
      <c r="W884" s="1" t="b">
        <v>0</v>
      </c>
      <c r="X884" s="1" t="b">
        <v>1</v>
      </c>
      <c r="Y884" s="1">
        <v>0</v>
      </c>
    </row>
    <row r="885" spans="1:25" x14ac:dyDescent="0.35">
      <c r="A885" s="1" t="s">
        <v>1807</v>
      </c>
      <c r="B885" s="1" t="s">
        <v>25</v>
      </c>
      <c r="C885" s="1" t="s">
        <v>26</v>
      </c>
      <c r="D885" s="1" t="s">
        <v>27</v>
      </c>
      <c r="E885" s="1">
        <v>2405</v>
      </c>
      <c r="F885" s="4">
        <v>30000000</v>
      </c>
      <c r="G885" s="4">
        <v>12474</v>
      </c>
      <c r="H885" s="1">
        <v>5</v>
      </c>
      <c r="I885" s="1">
        <v>3</v>
      </c>
      <c r="J885" s="1">
        <v>23</v>
      </c>
      <c r="K885" s="1" t="s">
        <v>58</v>
      </c>
      <c r="L885" s="1" t="s">
        <v>1808</v>
      </c>
      <c r="M885" s="1">
        <v>3</v>
      </c>
      <c r="N885" s="1">
        <v>7</v>
      </c>
      <c r="O885" s="1">
        <v>83055</v>
      </c>
      <c r="P885" s="1">
        <v>3.32</v>
      </c>
      <c r="Q885" s="1" t="s">
        <v>14</v>
      </c>
      <c r="R885" s="3">
        <v>0.41609999999999997</v>
      </c>
      <c r="S885" s="2">
        <v>45733</v>
      </c>
      <c r="T885" s="1">
        <v>121</v>
      </c>
      <c r="U885" s="1" t="s">
        <v>30</v>
      </c>
      <c r="V885" s="1">
        <v>106</v>
      </c>
      <c r="W885" s="1" t="b">
        <v>1</v>
      </c>
      <c r="X885" s="1" t="b">
        <v>0</v>
      </c>
      <c r="Y885" s="1">
        <v>0</v>
      </c>
    </row>
    <row r="886" spans="1:25" x14ac:dyDescent="0.35">
      <c r="A886" s="1" t="s">
        <v>1809</v>
      </c>
      <c r="B886" s="1" t="s">
        <v>32</v>
      </c>
      <c r="C886" s="1" t="s">
        <v>67</v>
      </c>
      <c r="D886" s="1" t="s">
        <v>38</v>
      </c>
      <c r="E886" s="1">
        <v>9885</v>
      </c>
      <c r="F886" s="4">
        <v>12000000</v>
      </c>
      <c r="G886" s="4">
        <v>1213</v>
      </c>
      <c r="H886" s="1">
        <v>6</v>
      </c>
      <c r="I886" s="1">
        <v>4</v>
      </c>
      <c r="J886" s="1">
        <v>19</v>
      </c>
      <c r="K886" s="1" t="s">
        <v>34</v>
      </c>
      <c r="L886" s="1" t="s">
        <v>1810</v>
      </c>
      <c r="M886" s="1">
        <v>6</v>
      </c>
      <c r="N886" s="1">
        <v>6</v>
      </c>
      <c r="O886" s="1">
        <v>45074</v>
      </c>
      <c r="P886" s="1">
        <v>4.51</v>
      </c>
      <c r="Q886" s="1" t="s">
        <v>6</v>
      </c>
      <c r="R886" s="3">
        <v>0.47539999999999999</v>
      </c>
      <c r="S886" s="2">
        <v>45857</v>
      </c>
      <c r="T886" s="1">
        <v>38</v>
      </c>
      <c r="U886" s="1" t="s">
        <v>30</v>
      </c>
      <c r="V886" s="1">
        <v>95</v>
      </c>
      <c r="W886" s="1" t="b">
        <v>0</v>
      </c>
      <c r="X886" s="1" t="b">
        <v>1</v>
      </c>
      <c r="Y886" s="1">
        <v>0</v>
      </c>
    </row>
    <row r="887" spans="1:25" x14ac:dyDescent="0.35">
      <c r="A887" s="1" t="s">
        <v>1811</v>
      </c>
      <c r="B887" s="1" t="s">
        <v>32</v>
      </c>
      <c r="C887" s="1" t="s">
        <v>67</v>
      </c>
      <c r="D887" s="1" t="s">
        <v>38</v>
      </c>
      <c r="E887" s="1">
        <v>5003</v>
      </c>
      <c r="F887" s="4">
        <v>12000000</v>
      </c>
      <c r="G887" s="4">
        <v>2398</v>
      </c>
      <c r="H887" s="1">
        <v>6</v>
      </c>
      <c r="I887" s="1">
        <v>3</v>
      </c>
      <c r="J887" s="1">
        <v>26</v>
      </c>
      <c r="K887" s="1" t="s">
        <v>34</v>
      </c>
      <c r="L887" s="1" t="s">
        <v>1812</v>
      </c>
      <c r="M887" s="1">
        <v>8</v>
      </c>
      <c r="N887" s="1">
        <v>5</v>
      </c>
      <c r="O887" s="1">
        <v>45181</v>
      </c>
      <c r="P887" s="1">
        <v>4.5199999999999996</v>
      </c>
      <c r="Q887" s="1" t="s">
        <v>6</v>
      </c>
      <c r="R887" s="3">
        <v>0.47590000000000005</v>
      </c>
      <c r="S887" s="2">
        <v>45483</v>
      </c>
      <c r="T887" s="1">
        <v>115</v>
      </c>
      <c r="U887" s="1" t="s">
        <v>30</v>
      </c>
      <c r="V887" s="1">
        <v>67</v>
      </c>
      <c r="W887" s="1" t="b">
        <v>1</v>
      </c>
      <c r="X887" s="1" t="b">
        <v>0</v>
      </c>
      <c r="Y887" s="1">
        <v>0</v>
      </c>
    </row>
    <row r="888" spans="1:25" x14ac:dyDescent="0.35">
      <c r="A888" s="1" t="s">
        <v>1813</v>
      </c>
      <c r="B888" s="1" t="s">
        <v>25</v>
      </c>
      <c r="C888" s="1" t="s">
        <v>37</v>
      </c>
      <c r="D888" s="1" t="s">
        <v>11</v>
      </c>
      <c r="E888" s="1">
        <v>361</v>
      </c>
      <c r="F888" s="4">
        <v>30000000</v>
      </c>
      <c r="G888" s="4">
        <v>83102</v>
      </c>
      <c r="H888" s="1">
        <v>1</v>
      </c>
      <c r="I888" s="1">
        <v>1</v>
      </c>
      <c r="J888" s="1">
        <v>7</v>
      </c>
      <c r="K888" s="1" t="s">
        <v>28</v>
      </c>
      <c r="L888" s="1" t="s">
        <v>1814</v>
      </c>
      <c r="M888" s="1">
        <v>4</v>
      </c>
      <c r="N888" s="1">
        <v>7</v>
      </c>
      <c r="O888" s="1">
        <v>80757</v>
      </c>
      <c r="P888" s="1">
        <v>3.23</v>
      </c>
      <c r="Q888" s="1" t="s">
        <v>14</v>
      </c>
      <c r="R888" s="3">
        <v>0.41149999999999998</v>
      </c>
      <c r="S888" s="2">
        <v>45666</v>
      </c>
      <c r="T888" s="1">
        <v>155</v>
      </c>
      <c r="U888" s="1" t="s">
        <v>30</v>
      </c>
      <c r="V888" s="1">
        <v>113</v>
      </c>
      <c r="W888" s="1" t="b">
        <v>0</v>
      </c>
      <c r="X888" s="1" t="b">
        <v>1</v>
      </c>
      <c r="Y888" s="1">
        <v>0</v>
      </c>
    </row>
    <row r="889" spans="1:25" x14ac:dyDescent="0.35">
      <c r="A889" s="1" t="s">
        <v>1815</v>
      </c>
      <c r="B889" s="1" t="s">
        <v>1</v>
      </c>
      <c r="C889" s="1" t="s">
        <v>45</v>
      </c>
      <c r="D889" s="1" t="s">
        <v>11</v>
      </c>
      <c r="E889" s="1">
        <v>439</v>
      </c>
      <c r="F889" s="4">
        <v>10000000</v>
      </c>
      <c r="G889" s="4">
        <v>22779</v>
      </c>
      <c r="H889" s="1">
        <v>1</v>
      </c>
      <c r="I889" s="1">
        <v>2</v>
      </c>
      <c r="J889" s="1">
        <v>25</v>
      </c>
      <c r="K889" s="1" t="s">
        <v>34</v>
      </c>
      <c r="L889" s="1" t="s">
        <v>1816</v>
      </c>
      <c r="M889" s="1">
        <v>7</v>
      </c>
      <c r="N889" s="1">
        <v>5</v>
      </c>
      <c r="O889" s="1">
        <v>39137</v>
      </c>
      <c r="P889" s="1">
        <v>4.7</v>
      </c>
      <c r="Q889" s="1" t="s">
        <v>6</v>
      </c>
      <c r="R889" s="3">
        <v>0.48479999999999995</v>
      </c>
      <c r="S889" s="2">
        <v>45766</v>
      </c>
      <c r="T889" s="1">
        <v>291</v>
      </c>
      <c r="U889" s="1" t="s">
        <v>23</v>
      </c>
      <c r="V889" s="1">
        <v>87</v>
      </c>
      <c r="W889" s="1" t="b">
        <v>1</v>
      </c>
      <c r="X889" s="1" t="b">
        <v>1</v>
      </c>
      <c r="Y889" s="1">
        <v>20000</v>
      </c>
    </row>
    <row r="890" spans="1:25" x14ac:dyDescent="0.35">
      <c r="A890" s="1" t="s">
        <v>1817</v>
      </c>
      <c r="B890" s="1" t="s">
        <v>1</v>
      </c>
      <c r="C890" s="1" t="s">
        <v>97</v>
      </c>
      <c r="D890" s="1" t="s">
        <v>3</v>
      </c>
      <c r="E890" s="1">
        <v>958</v>
      </c>
      <c r="F890" s="4">
        <v>10000000</v>
      </c>
      <c r="G890" s="4">
        <v>10438</v>
      </c>
      <c r="H890" s="1">
        <v>1</v>
      </c>
      <c r="I890" s="1">
        <v>1</v>
      </c>
      <c r="J890" s="1">
        <v>23</v>
      </c>
      <c r="K890" s="1" t="s">
        <v>21</v>
      </c>
      <c r="L890" s="1" t="s">
        <v>1818</v>
      </c>
      <c r="M890" s="1">
        <v>6</v>
      </c>
      <c r="N890" s="1">
        <v>7</v>
      </c>
      <c r="O890" s="1">
        <v>34705</v>
      </c>
      <c r="P890" s="1">
        <v>4.16</v>
      </c>
      <c r="Q890" s="1" t="s">
        <v>6</v>
      </c>
      <c r="R890" s="3">
        <v>0.4582</v>
      </c>
      <c r="S890" s="2">
        <v>45513</v>
      </c>
      <c r="T890" s="1">
        <v>285</v>
      </c>
      <c r="U890" s="1" t="s">
        <v>30</v>
      </c>
      <c r="V890" s="1">
        <v>30</v>
      </c>
      <c r="W890" s="1" t="b">
        <v>0</v>
      </c>
      <c r="X890" s="1" t="b">
        <v>1</v>
      </c>
      <c r="Y890" s="1">
        <v>20000</v>
      </c>
    </row>
    <row r="891" spans="1:25" x14ac:dyDescent="0.35">
      <c r="A891" s="1" t="s">
        <v>1819</v>
      </c>
      <c r="B891" s="1" t="s">
        <v>9</v>
      </c>
      <c r="C891" s="1" t="s">
        <v>163</v>
      </c>
      <c r="D891" s="1" t="s">
        <v>20</v>
      </c>
      <c r="E891" s="1">
        <v>3763</v>
      </c>
      <c r="F891" s="4">
        <v>50000000</v>
      </c>
      <c r="G891" s="4">
        <v>13287</v>
      </c>
      <c r="H891" s="1">
        <v>4</v>
      </c>
      <c r="I891" s="1">
        <v>2</v>
      </c>
      <c r="J891" s="1">
        <v>8</v>
      </c>
      <c r="K891" s="1" t="s">
        <v>12</v>
      </c>
      <c r="L891" s="1" t="s">
        <v>1820</v>
      </c>
      <c r="M891" s="1">
        <v>8</v>
      </c>
      <c r="N891" s="1">
        <v>7</v>
      </c>
      <c r="O891" s="1">
        <v>142058</v>
      </c>
      <c r="P891" s="1">
        <v>3.41</v>
      </c>
      <c r="Q891" s="1" t="s">
        <v>14</v>
      </c>
      <c r="R891" s="3">
        <v>0.42049999999999998</v>
      </c>
      <c r="S891" s="2">
        <v>45969</v>
      </c>
      <c r="T891" s="1">
        <v>344</v>
      </c>
      <c r="U891" s="1" t="s">
        <v>7</v>
      </c>
      <c r="V891" s="1">
        <v>70</v>
      </c>
      <c r="W891" s="1" t="b">
        <v>1</v>
      </c>
      <c r="X891" s="1" t="b">
        <v>1</v>
      </c>
      <c r="Y891" s="1">
        <v>100000</v>
      </c>
    </row>
    <row r="892" spans="1:25" x14ac:dyDescent="0.35">
      <c r="A892" s="1" t="s">
        <v>1821</v>
      </c>
      <c r="B892" s="1" t="s">
        <v>25</v>
      </c>
      <c r="C892" s="1" t="s">
        <v>26</v>
      </c>
      <c r="D892" s="1" t="s">
        <v>11</v>
      </c>
      <c r="E892" s="1">
        <v>399</v>
      </c>
      <c r="F892" s="4">
        <v>30000000</v>
      </c>
      <c r="G892" s="4">
        <v>75187</v>
      </c>
      <c r="H892" s="1">
        <v>0</v>
      </c>
      <c r="I892" s="1">
        <v>2</v>
      </c>
      <c r="J892" s="1">
        <v>13</v>
      </c>
      <c r="K892" s="1" t="s">
        <v>42</v>
      </c>
      <c r="L892" s="1" t="s">
        <v>1822</v>
      </c>
      <c r="M892" s="1">
        <v>4</v>
      </c>
      <c r="N892" s="1">
        <v>9</v>
      </c>
      <c r="O892" s="1">
        <v>95784</v>
      </c>
      <c r="P892" s="1">
        <v>3.83</v>
      </c>
      <c r="Q892" s="1" t="s">
        <v>14</v>
      </c>
      <c r="R892" s="3">
        <v>0.44159999999999999</v>
      </c>
      <c r="S892" s="2">
        <v>45447</v>
      </c>
      <c r="T892" s="1">
        <v>277</v>
      </c>
      <c r="U892" s="1" t="s">
        <v>30</v>
      </c>
      <c r="V892" s="1">
        <v>131</v>
      </c>
      <c r="W892" s="1" t="b">
        <v>1</v>
      </c>
      <c r="X892" s="1" t="b">
        <v>1</v>
      </c>
      <c r="Y892" s="1">
        <v>0</v>
      </c>
    </row>
    <row r="893" spans="1:25" x14ac:dyDescent="0.35">
      <c r="A893" s="1" t="s">
        <v>1823</v>
      </c>
      <c r="B893" s="1" t="s">
        <v>1</v>
      </c>
      <c r="C893" s="1" t="s">
        <v>45</v>
      </c>
      <c r="D893" s="1" t="s">
        <v>27</v>
      </c>
      <c r="E893" s="1">
        <v>6661</v>
      </c>
      <c r="F893" s="4">
        <v>10000000</v>
      </c>
      <c r="G893" s="4">
        <v>1501</v>
      </c>
      <c r="H893" s="1">
        <v>5</v>
      </c>
      <c r="I893" s="1">
        <v>3</v>
      </c>
      <c r="J893" s="1">
        <v>24</v>
      </c>
      <c r="K893" s="1" t="s">
        <v>34</v>
      </c>
      <c r="L893" s="1" t="s">
        <v>1824</v>
      </c>
      <c r="M893" s="1">
        <v>7</v>
      </c>
      <c r="N893" s="1">
        <v>10</v>
      </c>
      <c r="O893" s="1">
        <v>29391</v>
      </c>
      <c r="P893" s="1">
        <v>3.53</v>
      </c>
      <c r="Q893" s="1" t="s">
        <v>6</v>
      </c>
      <c r="R893" s="3">
        <v>0.42630000000000001</v>
      </c>
      <c r="S893" s="2">
        <v>46118</v>
      </c>
      <c r="T893" s="1">
        <v>30</v>
      </c>
      <c r="U893" s="1" t="s">
        <v>7</v>
      </c>
      <c r="V893" s="1">
        <v>111</v>
      </c>
      <c r="W893" s="1" t="b">
        <v>1</v>
      </c>
      <c r="X893" s="1" t="b">
        <v>1</v>
      </c>
      <c r="Y893" s="1">
        <v>0</v>
      </c>
    </row>
    <row r="894" spans="1:25" x14ac:dyDescent="0.35">
      <c r="A894" s="1" t="s">
        <v>1825</v>
      </c>
      <c r="B894" s="1" t="s">
        <v>9</v>
      </c>
      <c r="C894" s="1" t="s">
        <v>10</v>
      </c>
      <c r="D894" s="1" t="s">
        <v>27</v>
      </c>
      <c r="E894" s="1">
        <v>6580</v>
      </c>
      <c r="F894" s="4">
        <v>50000000</v>
      </c>
      <c r="G894" s="4">
        <v>7598</v>
      </c>
      <c r="H894" s="1">
        <v>5</v>
      </c>
      <c r="I894" s="1">
        <v>3</v>
      </c>
      <c r="J894" s="1">
        <v>12</v>
      </c>
      <c r="K894" s="1" t="s">
        <v>4</v>
      </c>
      <c r="L894" s="1" t="s">
        <v>1826</v>
      </c>
      <c r="M894" s="1">
        <v>5</v>
      </c>
      <c r="N894" s="1">
        <v>5</v>
      </c>
      <c r="O894" s="1">
        <v>168359</v>
      </c>
      <c r="P894" s="1">
        <v>4.04</v>
      </c>
      <c r="Q894" s="1" t="s">
        <v>14</v>
      </c>
      <c r="R894" s="3">
        <v>0.45200000000000001</v>
      </c>
      <c r="S894" s="2">
        <v>46000</v>
      </c>
      <c r="T894" s="1">
        <v>70</v>
      </c>
      <c r="U894" s="1" t="s">
        <v>30</v>
      </c>
      <c r="V894" s="1">
        <v>32</v>
      </c>
      <c r="W894" s="1" t="b">
        <v>1</v>
      </c>
      <c r="X894" s="1" t="b">
        <v>1</v>
      </c>
      <c r="Y894" s="1">
        <v>0</v>
      </c>
    </row>
    <row r="895" spans="1:25" x14ac:dyDescent="0.35">
      <c r="A895" s="1" t="s">
        <v>1827</v>
      </c>
      <c r="B895" s="1" t="s">
        <v>18</v>
      </c>
      <c r="C895" s="1" t="s">
        <v>166</v>
      </c>
      <c r="D895" s="1" t="s">
        <v>3</v>
      </c>
      <c r="E895" s="1">
        <v>1282</v>
      </c>
      <c r="F895" s="4">
        <v>15000000</v>
      </c>
      <c r="G895" s="4">
        <v>11700</v>
      </c>
      <c r="H895" s="1">
        <v>2</v>
      </c>
      <c r="I895" s="1">
        <v>1</v>
      </c>
      <c r="J895" s="1">
        <v>7</v>
      </c>
      <c r="K895" s="1" t="s">
        <v>21</v>
      </c>
      <c r="L895" s="1" t="s">
        <v>1828</v>
      </c>
      <c r="M895" s="1">
        <v>3</v>
      </c>
      <c r="N895" s="1">
        <v>7</v>
      </c>
      <c r="O895" s="1">
        <v>39193</v>
      </c>
      <c r="P895" s="1">
        <v>3.14</v>
      </c>
      <c r="Q895" s="1" t="s">
        <v>6</v>
      </c>
      <c r="R895" s="3">
        <v>0.40679999999999999</v>
      </c>
      <c r="S895" s="2">
        <v>45448</v>
      </c>
      <c r="T895" s="1">
        <v>187</v>
      </c>
      <c r="U895" s="1" t="s">
        <v>7</v>
      </c>
      <c r="V895" s="1">
        <v>146</v>
      </c>
      <c r="W895" s="1" t="b">
        <v>1</v>
      </c>
      <c r="X895" s="1" t="b">
        <v>0</v>
      </c>
      <c r="Y895" s="1">
        <v>0</v>
      </c>
    </row>
    <row r="896" spans="1:25" x14ac:dyDescent="0.35">
      <c r="A896" s="1" t="s">
        <v>1829</v>
      </c>
      <c r="B896" s="1" t="s">
        <v>25</v>
      </c>
      <c r="C896" s="1" t="s">
        <v>94</v>
      </c>
      <c r="D896" s="1" t="s">
        <v>38</v>
      </c>
      <c r="E896" s="1">
        <v>7996</v>
      </c>
      <c r="F896" s="4">
        <v>30000000</v>
      </c>
      <c r="G896" s="4">
        <v>3751</v>
      </c>
      <c r="H896" s="1">
        <v>5</v>
      </c>
      <c r="I896" s="1">
        <v>3</v>
      </c>
      <c r="J896" s="1">
        <v>7</v>
      </c>
      <c r="K896" s="1" t="s">
        <v>61</v>
      </c>
      <c r="L896" s="1" t="s">
        <v>1830</v>
      </c>
      <c r="M896" s="1">
        <v>8</v>
      </c>
      <c r="N896" s="1">
        <v>10</v>
      </c>
      <c r="O896" s="1">
        <v>111735</v>
      </c>
      <c r="P896" s="1">
        <v>4.47</v>
      </c>
      <c r="Q896" s="1" t="s">
        <v>14</v>
      </c>
      <c r="R896" s="3">
        <v>0.47350000000000003</v>
      </c>
      <c r="S896" s="2">
        <v>45587</v>
      </c>
      <c r="T896" s="1">
        <v>88</v>
      </c>
      <c r="U896" s="1" t="s">
        <v>30</v>
      </c>
      <c r="V896" s="1">
        <v>154</v>
      </c>
      <c r="W896" s="1" t="b">
        <v>1</v>
      </c>
      <c r="X896" s="1" t="b">
        <v>1</v>
      </c>
      <c r="Y896" s="1">
        <v>60000</v>
      </c>
    </row>
    <row r="897" spans="1:25" x14ac:dyDescent="0.35">
      <c r="A897" s="1" t="s">
        <v>1831</v>
      </c>
      <c r="B897" s="1" t="s">
        <v>54</v>
      </c>
      <c r="C897" s="1" t="s">
        <v>104</v>
      </c>
      <c r="D897" s="1" t="s">
        <v>27</v>
      </c>
      <c r="E897" s="1">
        <v>2382</v>
      </c>
      <c r="F897" s="4">
        <v>40000000</v>
      </c>
      <c r="G897" s="4">
        <v>16792</v>
      </c>
      <c r="H897" s="1">
        <v>4</v>
      </c>
      <c r="I897" s="1">
        <v>3</v>
      </c>
      <c r="J897" s="1">
        <v>14</v>
      </c>
      <c r="K897" s="1" t="s">
        <v>42</v>
      </c>
      <c r="L897" s="1" t="s">
        <v>1832</v>
      </c>
      <c r="M897" s="1">
        <v>3</v>
      </c>
      <c r="N897" s="1">
        <v>6</v>
      </c>
      <c r="O897" s="1">
        <v>163840</v>
      </c>
      <c r="P897" s="1">
        <v>4.92</v>
      </c>
      <c r="Q897" s="1" t="s">
        <v>14</v>
      </c>
      <c r="R897" s="3">
        <v>0.49579999999999996</v>
      </c>
      <c r="S897" s="2">
        <v>45479</v>
      </c>
      <c r="T897" s="1">
        <v>192</v>
      </c>
      <c r="U897" s="1" t="s">
        <v>30</v>
      </c>
      <c r="V897" s="1">
        <v>43</v>
      </c>
      <c r="W897" s="1" t="b">
        <v>1</v>
      </c>
      <c r="X897" s="1" t="b">
        <v>0</v>
      </c>
      <c r="Y897" s="1">
        <v>0</v>
      </c>
    </row>
    <row r="898" spans="1:25" x14ac:dyDescent="0.35">
      <c r="A898" s="1" t="s">
        <v>1833</v>
      </c>
      <c r="B898" s="1" t="s">
        <v>54</v>
      </c>
      <c r="C898" s="1" t="s">
        <v>104</v>
      </c>
      <c r="D898" s="1" t="s">
        <v>38</v>
      </c>
      <c r="E898" s="1">
        <v>6789</v>
      </c>
      <c r="F898" s="4">
        <v>40000000</v>
      </c>
      <c r="G898" s="4">
        <v>5891</v>
      </c>
      <c r="H898" s="1">
        <v>6</v>
      </c>
      <c r="I898" s="1">
        <v>3</v>
      </c>
      <c r="J898" s="1">
        <v>26</v>
      </c>
      <c r="K898" s="1" t="s">
        <v>61</v>
      </c>
      <c r="L898" s="1" t="s">
        <v>1834</v>
      </c>
      <c r="M898" s="1">
        <v>6</v>
      </c>
      <c r="N898" s="1">
        <v>5</v>
      </c>
      <c r="O898" s="1">
        <v>103336</v>
      </c>
      <c r="P898" s="1">
        <v>3.1</v>
      </c>
      <c r="Q898" s="1" t="s">
        <v>14</v>
      </c>
      <c r="R898" s="3">
        <v>0.40500000000000003</v>
      </c>
      <c r="S898" s="2">
        <v>45788</v>
      </c>
      <c r="T898" s="1">
        <v>226</v>
      </c>
      <c r="U898" s="1" t="s">
        <v>30</v>
      </c>
      <c r="V898" s="1">
        <v>167</v>
      </c>
      <c r="W898" s="1" t="b">
        <v>1</v>
      </c>
      <c r="X898" s="1" t="b">
        <v>0</v>
      </c>
      <c r="Y898" s="1">
        <v>80000</v>
      </c>
    </row>
    <row r="899" spans="1:25" x14ac:dyDescent="0.35">
      <c r="A899" s="1" t="s">
        <v>1835</v>
      </c>
      <c r="B899" s="1" t="s">
        <v>54</v>
      </c>
      <c r="C899" s="1" t="s">
        <v>79</v>
      </c>
      <c r="D899" s="1" t="s">
        <v>3</v>
      </c>
      <c r="E899" s="1">
        <v>1136</v>
      </c>
      <c r="F899" s="4">
        <v>40000000</v>
      </c>
      <c r="G899" s="4">
        <v>35211</v>
      </c>
      <c r="H899" s="1">
        <v>2</v>
      </c>
      <c r="I899" s="1">
        <v>2</v>
      </c>
      <c r="J899" s="1">
        <v>19</v>
      </c>
      <c r="K899" s="1" t="s">
        <v>21</v>
      </c>
      <c r="L899" s="1" t="s">
        <v>1836</v>
      </c>
      <c r="M899" s="1">
        <v>3</v>
      </c>
      <c r="N899" s="1">
        <v>9</v>
      </c>
      <c r="O899" s="1">
        <v>118783</v>
      </c>
      <c r="P899" s="1">
        <v>3.56</v>
      </c>
      <c r="Q899" s="1" t="s">
        <v>14</v>
      </c>
      <c r="R899" s="3">
        <v>0.42820000000000003</v>
      </c>
      <c r="S899" s="2">
        <v>45896</v>
      </c>
      <c r="T899" s="1">
        <v>127</v>
      </c>
      <c r="U899" s="1" t="s">
        <v>23</v>
      </c>
      <c r="V899" s="1">
        <v>67</v>
      </c>
      <c r="W899" s="1" t="b">
        <v>0</v>
      </c>
      <c r="X899" s="1" t="b">
        <v>1</v>
      </c>
      <c r="Y899" s="1">
        <v>80000</v>
      </c>
    </row>
    <row r="900" spans="1:25" x14ac:dyDescent="0.35">
      <c r="A900" s="1" t="s">
        <v>1837</v>
      </c>
      <c r="B900" s="1" t="s">
        <v>18</v>
      </c>
      <c r="C900" s="1" t="s">
        <v>166</v>
      </c>
      <c r="D900" s="1" t="s">
        <v>3</v>
      </c>
      <c r="E900" s="1">
        <v>1163</v>
      </c>
      <c r="F900" s="4">
        <v>15000000</v>
      </c>
      <c r="G900" s="4">
        <v>12897</v>
      </c>
      <c r="H900" s="1">
        <v>1</v>
      </c>
      <c r="I900" s="1">
        <v>1</v>
      </c>
      <c r="J900" s="1">
        <v>2</v>
      </c>
      <c r="K900" s="1" t="s">
        <v>28</v>
      </c>
      <c r="L900" s="1" t="s">
        <v>1838</v>
      </c>
      <c r="M900" s="1">
        <v>3</v>
      </c>
      <c r="N900" s="1">
        <v>10</v>
      </c>
      <c r="O900" s="1">
        <v>46166</v>
      </c>
      <c r="P900" s="1">
        <v>3.69</v>
      </c>
      <c r="Q900" s="1" t="s">
        <v>6</v>
      </c>
      <c r="R900" s="3">
        <v>0.43469999999999998</v>
      </c>
      <c r="S900" s="2">
        <v>45452</v>
      </c>
      <c r="T900" s="1">
        <v>343</v>
      </c>
      <c r="U900" s="1" t="s">
        <v>7</v>
      </c>
      <c r="V900" s="1">
        <v>42</v>
      </c>
      <c r="W900" s="1" t="b">
        <v>1</v>
      </c>
      <c r="X900" s="1" t="b">
        <v>0</v>
      </c>
      <c r="Y900" s="1">
        <v>30000</v>
      </c>
    </row>
    <row r="901" spans="1:25" x14ac:dyDescent="0.35">
      <c r="A901" s="1" t="s">
        <v>1839</v>
      </c>
      <c r="B901" s="1" t="s">
        <v>18</v>
      </c>
      <c r="C901" s="1" t="s">
        <v>139</v>
      </c>
      <c r="D901" s="1" t="s">
        <v>3</v>
      </c>
      <c r="E901" s="1">
        <v>2977</v>
      </c>
      <c r="F901" s="4">
        <v>15000000</v>
      </c>
      <c r="G901" s="4">
        <v>5038</v>
      </c>
      <c r="H901" s="1">
        <v>2</v>
      </c>
      <c r="I901" s="1">
        <v>1</v>
      </c>
      <c r="J901" s="1">
        <v>11</v>
      </c>
      <c r="K901" s="1" t="s">
        <v>61</v>
      </c>
      <c r="L901" s="1" t="s">
        <v>1840</v>
      </c>
      <c r="M901" s="1">
        <v>3</v>
      </c>
      <c r="N901" s="1">
        <v>5</v>
      </c>
      <c r="O901" s="1">
        <v>55880</v>
      </c>
      <c r="P901" s="1">
        <v>4.47</v>
      </c>
      <c r="Q901" s="1" t="s">
        <v>6</v>
      </c>
      <c r="R901" s="3">
        <v>0.47350000000000003</v>
      </c>
      <c r="S901" s="2">
        <v>46044</v>
      </c>
      <c r="T901" s="1">
        <v>73</v>
      </c>
      <c r="U901" s="1" t="s">
        <v>7</v>
      </c>
      <c r="V901" s="1">
        <v>74</v>
      </c>
      <c r="W901" s="1" t="b">
        <v>0</v>
      </c>
      <c r="X901" s="1" t="b">
        <v>0</v>
      </c>
      <c r="Y901" s="1">
        <v>0</v>
      </c>
    </row>
    <row r="902" spans="1:25" x14ac:dyDescent="0.35">
      <c r="A902" s="1" t="s">
        <v>1841</v>
      </c>
      <c r="B902" s="1" t="s">
        <v>25</v>
      </c>
      <c r="C902" s="1" t="s">
        <v>82</v>
      </c>
      <c r="D902" s="1" t="s">
        <v>38</v>
      </c>
      <c r="E902" s="1">
        <v>6722</v>
      </c>
      <c r="F902" s="4">
        <v>30000000</v>
      </c>
      <c r="G902" s="4">
        <v>4462</v>
      </c>
      <c r="H902" s="1">
        <v>4</v>
      </c>
      <c r="I902" s="1">
        <v>2</v>
      </c>
      <c r="J902" s="1">
        <v>0</v>
      </c>
      <c r="K902" s="1" t="s">
        <v>61</v>
      </c>
      <c r="L902" s="1" t="s">
        <v>1842</v>
      </c>
      <c r="M902" s="1">
        <v>5</v>
      </c>
      <c r="N902" s="1">
        <v>9</v>
      </c>
      <c r="O902" s="1">
        <v>91025</v>
      </c>
      <c r="P902" s="1">
        <v>3.64</v>
      </c>
      <c r="Q902" s="1" t="s">
        <v>14</v>
      </c>
      <c r="R902" s="3">
        <v>0.43200000000000005</v>
      </c>
      <c r="S902" s="2">
        <v>45890</v>
      </c>
      <c r="T902" s="1">
        <v>99</v>
      </c>
      <c r="U902" s="1" t="s">
        <v>7</v>
      </c>
      <c r="V902" s="1">
        <v>127</v>
      </c>
      <c r="W902" s="1" t="b">
        <v>1</v>
      </c>
      <c r="X902" s="1" t="b">
        <v>1</v>
      </c>
      <c r="Y902" s="1">
        <v>60000</v>
      </c>
    </row>
    <row r="903" spans="1:25" x14ac:dyDescent="0.35">
      <c r="A903" s="1" t="s">
        <v>1843</v>
      </c>
      <c r="B903" s="1" t="s">
        <v>25</v>
      </c>
      <c r="C903" s="1" t="s">
        <v>26</v>
      </c>
      <c r="D903" s="1" t="s">
        <v>20</v>
      </c>
      <c r="E903" s="1">
        <v>2737</v>
      </c>
      <c r="F903" s="4">
        <v>30000000</v>
      </c>
      <c r="G903" s="4">
        <v>10960</v>
      </c>
      <c r="H903" s="1">
        <v>5</v>
      </c>
      <c r="I903" s="1">
        <v>2</v>
      </c>
      <c r="J903" s="1">
        <v>9</v>
      </c>
      <c r="K903" s="1" t="s">
        <v>61</v>
      </c>
      <c r="L903" s="1" t="s">
        <v>1844</v>
      </c>
      <c r="M903" s="1">
        <v>7</v>
      </c>
      <c r="N903" s="1">
        <v>8</v>
      </c>
      <c r="O903" s="1">
        <v>93709</v>
      </c>
      <c r="P903" s="1">
        <v>3.75</v>
      </c>
      <c r="Q903" s="1" t="s">
        <v>14</v>
      </c>
      <c r="R903" s="3">
        <v>0.43740000000000001</v>
      </c>
      <c r="S903" s="2">
        <v>45457</v>
      </c>
      <c r="T903" s="1">
        <v>37</v>
      </c>
      <c r="U903" s="1" t="s">
        <v>7</v>
      </c>
      <c r="V903" s="1">
        <v>119</v>
      </c>
      <c r="W903" s="1" t="b">
        <v>0</v>
      </c>
      <c r="X903" s="1" t="b">
        <v>1</v>
      </c>
      <c r="Y903" s="1">
        <v>0</v>
      </c>
    </row>
    <row r="904" spans="1:25" x14ac:dyDescent="0.35">
      <c r="A904" s="1" t="s">
        <v>1845</v>
      </c>
      <c r="B904" s="1" t="s">
        <v>18</v>
      </c>
      <c r="C904" s="1" t="s">
        <v>139</v>
      </c>
      <c r="D904" s="1" t="s">
        <v>38</v>
      </c>
      <c r="E904" s="1">
        <v>8750</v>
      </c>
      <c r="F904" s="4">
        <v>15000000</v>
      </c>
      <c r="G904" s="4">
        <v>1714</v>
      </c>
      <c r="H904" s="1">
        <v>4</v>
      </c>
      <c r="I904" s="1">
        <v>3</v>
      </c>
      <c r="J904" s="1">
        <v>13</v>
      </c>
      <c r="K904" s="1" t="s">
        <v>42</v>
      </c>
      <c r="L904" s="1" t="s">
        <v>1846</v>
      </c>
      <c r="M904" s="1">
        <v>8</v>
      </c>
      <c r="N904" s="1">
        <v>8</v>
      </c>
      <c r="O904" s="1">
        <v>57369</v>
      </c>
      <c r="P904" s="1">
        <v>4.59</v>
      </c>
      <c r="Q904" s="1" t="s">
        <v>6</v>
      </c>
      <c r="R904" s="3">
        <v>0.47950000000000004</v>
      </c>
      <c r="S904" s="2">
        <v>45993</v>
      </c>
      <c r="T904" s="1">
        <v>9</v>
      </c>
      <c r="U904" s="1" t="s">
        <v>23</v>
      </c>
      <c r="V904" s="1">
        <v>69</v>
      </c>
      <c r="W904" s="1" t="b">
        <v>0</v>
      </c>
      <c r="X904" s="1" t="b">
        <v>1</v>
      </c>
      <c r="Y904" s="1">
        <v>0</v>
      </c>
    </row>
    <row r="905" spans="1:25" x14ac:dyDescent="0.35">
      <c r="A905" s="1" t="s">
        <v>1847</v>
      </c>
      <c r="B905" s="1" t="s">
        <v>54</v>
      </c>
      <c r="C905" s="1" t="s">
        <v>79</v>
      </c>
      <c r="D905" s="1" t="s">
        <v>3</v>
      </c>
      <c r="E905" s="1">
        <v>980</v>
      </c>
      <c r="F905" s="4">
        <v>40000000</v>
      </c>
      <c r="G905" s="4">
        <v>40816</v>
      </c>
      <c r="H905" s="1">
        <v>2</v>
      </c>
      <c r="I905" s="1">
        <v>1</v>
      </c>
      <c r="J905" s="1">
        <v>20</v>
      </c>
      <c r="K905" s="1" t="s">
        <v>58</v>
      </c>
      <c r="L905" s="1" t="s">
        <v>1848</v>
      </c>
      <c r="M905" s="1">
        <v>5</v>
      </c>
      <c r="N905" s="1">
        <v>5</v>
      </c>
      <c r="O905" s="1">
        <v>161604</v>
      </c>
      <c r="P905" s="1">
        <v>4.8499999999999996</v>
      </c>
      <c r="Q905" s="1" t="s">
        <v>14</v>
      </c>
      <c r="R905" s="3">
        <v>0.4924</v>
      </c>
      <c r="S905" s="2">
        <v>45736</v>
      </c>
      <c r="T905" s="1">
        <v>162</v>
      </c>
      <c r="U905" s="1" t="s">
        <v>7</v>
      </c>
      <c r="V905" s="1">
        <v>111</v>
      </c>
      <c r="W905" s="1" t="b">
        <v>0</v>
      </c>
      <c r="X905" s="1" t="b">
        <v>1</v>
      </c>
      <c r="Y905" s="1">
        <v>0</v>
      </c>
    </row>
    <row r="906" spans="1:25" x14ac:dyDescent="0.35">
      <c r="A906" s="1" t="s">
        <v>1849</v>
      </c>
      <c r="B906" s="1" t="s">
        <v>25</v>
      </c>
      <c r="C906" s="1" t="s">
        <v>94</v>
      </c>
      <c r="D906" s="1" t="s">
        <v>27</v>
      </c>
      <c r="E906" s="1">
        <v>7290</v>
      </c>
      <c r="F906" s="4">
        <v>30000000</v>
      </c>
      <c r="G906" s="4">
        <v>4115</v>
      </c>
      <c r="H906" s="1">
        <v>6</v>
      </c>
      <c r="I906" s="1">
        <v>3</v>
      </c>
      <c r="J906" s="1">
        <v>26</v>
      </c>
      <c r="K906" s="1" t="s">
        <v>34</v>
      </c>
      <c r="L906" s="1" t="s">
        <v>1850</v>
      </c>
      <c r="M906" s="1">
        <v>7</v>
      </c>
      <c r="N906" s="1">
        <v>4</v>
      </c>
      <c r="O906" s="1">
        <v>76353</v>
      </c>
      <c r="P906" s="1">
        <v>3.05</v>
      </c>
      <c r="Q906" s="1" t="s">
        <v>14</v>
      </c>
      <c r="R906" s="3">
        <v>0.40270000000000006</v>
      </c>
      <c r="S906" s="2">
        <v>45472</v>
      </c>
      <c r="T906" s="1">
        <v>105</v>
      </c>
      <c r="U906" s="1" t="s">
        <v>7</v>
      </c>
      <c r="V906" s="1">
        <v>79</v>
      </c>
      <c r="W906" s="1" t="b">
        <v>1</v>
      </c>
      <c r="X906" s="1" t="b">
        <v>1</v>
      </c>
      <c r="Y906" s="1">
        <v>60000</v>
      </c>
    </row>
    <row r="907" spans="1:25" x14ac:dyDescent="0.35">
      <c r="A907" s="1" t="s">
        <v>1851</v>
      </c>
      <c r="B907" s="1" t="s">
        <v>9</v>
      </c>
      <c r="C907" s="1" t="s">
        <v>163</v>
      </c>
      <c r="D907" s="1" t="s">
        <v>38</v>
      </c>
      <c r="E907" s="1">
        <v>7378</v>
      </c>
      <c r="F907" s="4">
        <v>50000000</v>
      </c>
      <c r="G907" s="4">
        <v>6776</v>
      </c>
      <c r="H907" s="1">
        <v>4</v>
      </c>
      <c r="I907" s="1">
        <v>2</v>
      </c>
      <c r="J907" s="1">
        <v>2</v>
      </c>
      <c r="K907" s="1" t="s">
        <v>34</v>
      </c>
      <c r="L907" s="1" t="s">
        <v>1852</v>
      </c>
      <c r="M907" s="1">
        <v>8</v>
      </c>
      <c r="N907" s="1">
        <v>8</v>
      </c>
      <c r="O907" s="1">
        <v>200974</v>
      </c>
      <c r="P907" s="1">
        <v>4.82</v>
      </c>
      <c r="Q907" s="1" t="s">
        <v>14</v>
      </c>
      <c r="R907" s="3">
        <v>0.49119999999999997</v>
      </c>
      <c r="S907" s="2">
        <v>46041</v>
      </c>
      <c r="T907" s="1">
        <v>223</v>
      </c>
      <c r="U907" s="1" t="s">
        <v>30</v>
      </c>
      <c r="V907" s="1">
        <v>69</v>
      </c>
      <c r="W907" s="1" t="b">
        <v>0</v>
      </c>
      <c r="X907" s="1" t="b">
        <v>0</v>
      </c>
      <c r="Y907" s="1">
        <v>0</v>
      </c>
    </row>
    <row r="908" spans="1:25" x14ac:dyDescent="0.35">
      <c r="A908" s="1" t="s">
        <v>1853</v>
      </c>
      <c r="B908" s="1" t="s">
        <v>54</v>
      </c>
      <c r="C908" s="1" t="s">
        <v>64</v>
      </c>
      <c r="D908" s="1" t="s">
        <v>3</v>
      </c>
      <c r="E908" s="1">
        <v>2787</v>
      </c>
      <c r="F908" s="4">
        <v>40000000</v>
      </c>
      <c r="G908" s="4">
        <v>14352</v>
      </c>
      <c r="H908" s="1">
        <v>1</v>
      </c>
      <c r="I908" s="1">
        <v>2</v>
      </c>
      <c r="J908" s="1">
        <v>8</v>
      </c>
      <c r="K908" s="1" t="s">
        <v>28</v>
      </c>
      <c r="L908" s="1" t="s">
        <v>1854</v>
      </c>
      <c r="M908" s="1">
        <v>7</v>
      </c>
      <c r="N908" s="1">
        <v>7</v>
      </c>
      <c r="O908" s="1">
        <v>111844</v>
      </c>
      <c r="P908" s="1">
        <v>3.36</v>
      </c>
      <c r="Q908" s="1" t="s">
        <v>14</v>
      </c>
      <c r="R908" s="3">
        <v>0.4178</v>
      </c>
      <c r="S908" s="2">
        <v>45642</v>
      </c>
      <c r="T908" s="1">
        <v>327</v>
      </c>
      <c r="U908" s="1" t="s">
        <v>23</v>
      </c>
      <c r="V908" s="1">
        <v>143</v>
      </c>
      <c r="W908" s="1" t="b">
        <v>0</v>
      </c>
      <c r="X908" s="1" t="b">
        <v>1</v>
      </c>
      <c r="Y908" s="1">
        <v>0</v>
      </c>
    </row>
    <row r="909" spans="1:25" x14ac:dyDescent="0.35">
      <c r="A909" s="1" t="s">
        <v>1855</v>
      </c>
      <c r="B909" s="1" t="s">
        <v>32</v>
      </c>
      <c r="C909" s="1" t="s">
        <v>200</v>
      </c>
      <c r="D909" s="1" t="s">
        <v>11</v>
      </c>
      <c r="E909" s="1">
        <v>576</v>
      </c>
      <c r="F909" s="4">
        <v>12000000</v>
      </c>
      <c r="G909" s="4">
        <v>20833</v>
      </c>
      <c r="H909" s="1">
        <v>1</v>
      </c>
      <c r="I909" s="1">
        <v>2</v>
      </c>
      <c r="J909" s="1">
        <v>30</v>
      </c>
      <c r="K909" s="1" t="s">
        <v>34</v>
      </c>
      <c r="L909" s="1" t="s">
        <v>1856</v>
      </c>
      <c r="M909" s="1">
        <v>6</v>
      </c>
      <c r="N909" s="1">
        <v>7</v>
      </c>
      <c r="O909" s="1">
        <v>32235</v>
      </c>
      <c r="P909" s="1">
        <v>3.22</v>
      </c>
      <c r="Q909" s="1" t="s">
        <v>6</v>
      </c>
      <c r="R909" s="3">
        <v>0.41119999999999995</v>
      </c>
      <c r="S909" s="2">
        <v>46012</v>
      </c>
      <c r="T909" s="1">
        <v>92</v>
      </c>
      <c r="U909" s="1" t="s">
        <v>30</v>
      </c>
      <c r="V909" s="1">
        <v>67</v>
      </c>
      <c r="W909" s="1" t="b">
        <v>1</v>
      </c>
      <c r="X909" s="1" t="b">
        <v>1</v>
      </c>
      <c r="Y909" s="1">
        <v>24000</v>
      </c>
    </row>
    <row r="910" spans="1:25" x14ac:dyDescent="0.35">
      <c r="A910" s="1" t="s">
        <v>1857</v>
      </c>
      <c r="B910" s="1" t="s">
        <v>9</v>
      </c>
      <c r="C910" s="1" t="s">
        <v>163</v>
      </c>
      <c r="D910" s="1" t="s">
        <v>3</v>
      </c>
      <c r="E910" s="1">
        <v>586</v>
      </c>
      <c r="F910" s="4">
        <v>50000000</v>
      </c>
      <c r="G910" s="4">
        <v>85324</v>
      </c>
      <c r="H910" s="1">
        <v>3</v>
      </c>
      <c r="I910" s="1">
        <v>1</v>
      </c>
      <c r="J910" s="1">
        <v>19</v>
      </c>
      <c r="K910" s="1" t="s">
        <v>42</v>
      </c>
      <c r="L910" s="1" t="s">
        <v>1858</v>
      </c>
      <c r="M910" s="1">
        <v>5</v>
      </c>
      <c r="N910" s="1">
        <v>9</v>
      </c>
      <c r="O910" s="1">
        <v>201419</v>
      </c>
      <c r="P910" s="1">
        <v>4.83</v>
      </c>
      <c r="Q910" s="1" t="s">
        <v>14</v>
      </c>
      <c r="R910" s="3">
        <v>0.49170000000000003</v>
      </c>
      <c r="S910" s="2">
        <v>45575</v>
      </c>
      <c r="T910" s="1">
        <v>47</v>
      </c>
      <c r="U910" s="1" t="s">
        <v>30</v>
      </c>
      <c r="V910" s="1">
        <v>58</v>
      </c>
      <c r="W910" s="1" t="b">
        <v>0</v>
      </c>
      <c r="X910" s="1" t="b">
        <v>0</v>
      </c>
      <c r="Y910" s="1">
        <v>100000</v>
      </c>
    </row>
    <row r="911" spans="1:25" x14ac:dyDescent="0.35">
      <c r="A911" s="1" t="s">
        <v>1859</v>
      </c>
      <c r="B911" s="1" t="s">
        <v>18</v>
      </c>
      <c r="C911" s="1" t="s">
        <v>166</v>
      </c>
      <c r="D911" s="1" t="s">
        <v>38</v>
      </c>
      <c r="E911" s="1">
        <v>7866</v>
      </c>
      <c r="F911" s="4">
        <v>15000000</v>
      </c>
      <c r="G911" s="4">
        <v>1906</v>
      </c>
      <c r="H911" s="1">
        <v>6</v>
      </c>
      <c r="I911" s="1">
        <v>4</v>
      </c>
      <c r="J911" s="1">
        <v>18</v>
      </c>
      <c r="K911" s="1" t="s">
        <v>28</v>
      </c>
      <c r="L911" s="1" t="s">
        <v>1860</v>
      </c>
      <c r="M911" s="1">
        <v>8</v>
      </c>
      <c r="N911" s="1">
        <v>9</v>
      </c>
      <c r="O911" s="1">
        <v>59379</v>
      </c>
      <c r="P911" s="1">
        <v>4.75</v>
      </c>
      <c r="Q911" s="1" t="s">
        <v>6</v>
      </c>
      <c r="R911" s="3">
        <v>0.48749999999999999</v>
      </c>
      <c r="S911" s="2">
        <v>45724</v>
      </c>
      <c r="T911" s="1">
        <v>362</v>
      </c>
      <c r="U911" s="1" t="s">
        <v>7</v>
      </c>
      <c r="V911" s="1">
        <v>73</v>
      </c>
      <c r="W911" s="1" t="b">
        <v>1</v>
      </c>
      <c r="X911" s="1" t="b">
        <v>1</v>
      </c>
      <c r="Y911" s="1">
        <v>30000</v>
      </c>
    </row>
    <row r="912" spans="1:25" x14ac:dyDescent="0.35">
      <c r="A912" s="1" t="s">
        <v>1861</v>
      </c>
      <c r="B912" s="1" t="s">
        <v>54</v>
      </c>
      <c r="C912" s="1" t="s">
        <v>55</v>
      </c>
      <c r="D912" s="1" t="s">
        <v>27</v>
      </c>
      <c r="E912" s="1">
        <v>6417</v>
      </c>
      <c r="F912" s="4">
        <v>40000000</v>
      </c>
      <c r="G912" s="4">
        <v>6233</v>
      </c>
      <c r="H912" s="1">
        <v>5</v>
      </c>
      <c r="I912" s="1">
        <v>2</v>
      </c>
      <c r="J912" s="1">
        <v>17</v>
      </c>
      <c r="K912" s="1" t="s">
        <v>12</v>
      </c>
      <c r="L912" s="1" t="s">
        <v>1862</v>
      </c>
      <c r="M912" s="1">
        <v>6</v>
      </c>
      <c r="N912" s="1">
        <v>8</v>
      </c>
      <c r="O912" s="1">
        <v>118010</v>
      </c>
      <c r="P912" s="1">
        <v>3.54</v>
      </c>
      <c r="Q912" s="1" t="s">
        <v>14</v>
      </c>
      <c r="R912" s="3">
        <v>0.42700000000000005</v>
      </c>
      <c r="S912" s="2">
        <v>45614</v>
      </c>
      <c r="T912" s="1">
        <v>182</v>
      </c>
      <c r="U912" s="1" t="s">
        <v>23</v>
      </c>
      <c r="V912" s="1">
        <v>30</v>
      </c>
      <c r="W912" s="1" t="b">
        <v>1</v>
      </c>
      <c r="X912" s="1" t="b">
        <v>0</v>
      </c>
      <c r="Y912" s="1">
        <v>80000</v>
      </c>
    </row>
    <row r="913" spans="1:25" x14ac:dyDescent="0.35">
      <c r="A913" s="1" t="s">
        <v>1863</v>
      </c>
      <c r="B913" s="1" t="s">
        <v>1</v>
      </c>
      <c r="C913" s="1" t="s">
        <v>51</v>
      </c>
      <c r="D913" s="1" t="s">
        <v>38</v>
      </c>
      <c r="E913" s="1">
        <v>3511</v>
      </c>
      <c r="F913" s="4">
        <v>10000000</v>
      </c>
      <c r="G913" s="4">
        <v>2848</v>
      </c>
      <c r="H913" s="1">
        <v>4</v>
      </c>
      <c r="I913" s="1">
        <v>3</v>
      </c>
      <c r="J913" s="1">
        <v>12</v>
      </c>
      <c r="K913" s="1" t="s">
        <v>61</v>
      </c>
      <c r="L913" s="1" t="s">
        <v>1864</v>
      </c>
      <c r="M913" s="1">
        <v>7</v>
      </c>
      <c r="N913" s="1">
        <v>8</v>
      </c>
      <c r="O913" s="1">
        <v>41549</v>
      </c>
      <c r="P913" s="1">
        <v>4.99</v>
      </c>
      <c r="Q913" s="1" t="s">
        <v>6</v>
      </c>
      <c r="R913" s="3">
        <v>0.49930000000000002</v>
      </c>
      <c r="S913" s="2">
        <v>45945</v>
      </c>
      <c r="T913" s="1">
        <v>345</v>
      </c>
      <c r="U913" s="1" t="s">
        <v>23</v>
      </c>
      <c r="V913" s="1">
        <v>128</v>
      </c>
      <c r="W913" s="1" t="b">
        <v>1</v>
      </c>
      <c r="X913" s="1" t="b">
        <v>1</v>
      </c>
      <c r="Y913" s="1">
        <v>0</v>
      </c>
    </row>
    <row r="914" spans="1:25" x14ac:dyDescent="0.35">
      <c r="A914" s="1" t="s">
        <v>1865</v>
      </c>
      <c r="B914" s="1" t="s">
        <v>18</v>
      </c>
      <c r="C914" s="1" t="s">
        <v>243</v>
      </c>
      <c r="D914" s="1" t="s">
        <v>3</v>
      </c>
      <c r="E914" s="1">
        <v>2471</v>
      </c>
      <c r="F914" s="4">
        <v>15000000</v>
      </c>
      <c r="G914" s="4">
        <v>6070</v>
      </c>
      <c r="H914" s="1">
        <v>3</v>
      </c>
      <c r="I914" s="1">
        <v>1</v>
      </c>
      <c r="J914" s="1">
        <v>28</v>
      </c>
      <c r="K914" s="1" t="s">
        <v>34</v>
      </c>
      <c r="L914" s="1" t="s">
        <v>1866</v>
      </c>
      <c r="M914" s="1">
        <v>8</v>
      </c>
      <c r="N914" s="1">
        <v>9</v>
      </c>
      <c r="O914" s="1">
        <v>40216</v>
      </c>
      <c r="P914" s="1">
        <v>3.22</v>
      </c>
      <c r="Q914" s="1" t="s">
        <v>6</v>
      </c>
      <c r="R914" s="3">
        <v>0.41090000000000004</v>
      </c>
      <c r="S914" s="2">
        <v>46080</v>
      </c>
      <c r="T914" s="1">
        <v>81</v>
      </c>
      <c r="U914" s="1" t="s">
        <v>7</v>
      </c>
      <c r="V914" s="1">
        <v>159</v>
      </c>
      <c r="W914" s="1" t="b">
        <v>1</v>
      </c>
      <c r="X914" s="1" t="b">
        <v>1</v>
      </c>
      <c r="Y914" s="1">
        <v>30000</v>
      </c>
    </row>
    <row r="915" spans="1:25" x14ac:dyDescent="0.35">
      <c r="A915" s="1" t="s">
        <v>1867</v>
      </c>
      <c r="B915" s="1" t="s">
        <v>9</v>
      </c>
      <c r="C915" s="1" t="s">
        <v>142</v>
      </c>
      <c r="D915" s="1" t="s">
        <v>38</v>
      </c>
      <c r="E915" s="1">
        <v>9956</v>
      </c>
      <c r="F915" s="4">
        <v>50000000</v>
      </c>
      <c r="G915" s="4">
        <v>5022</v>
      </c>
      <c r="H915" s="1">
        <v>6</v>
      </c>
      <c r="I915" s="1">
        <v>3</v>
      </c>
      <c r="J915" s="1">
        <v>11</v>
      </c>
      <c r="K915" s="1" t="s">
        <v>28</v>
      </c>
      <c r="L915" s="1" t="s">
        <v>1868</v>
      </c>
      <c r="M915" s="1">
        <v>4</v>
      </c>
      <c r="N915" s="1">
        <v>9</v>
      </c>
      <c r="O915" s="1">
        <v>199637</v>
      </c>
      <c r="P915" s="1">
        <v>4.79</v>
      </c>
      <c r="Q915" s="1" t="s">
        <v>14</v>
      </c>
      <c r="R915" s="3">
        <v>0.48960000000000004</v>
      </c>
      <c r="S915" s="2">
        <v>45652</v>
      </c>
      <c r="T915" s="1">
        <v>217</v>
      </c>
      <c r="U915" s="1" t="s">
        <v>7</v>
      </c>
      <c r="V915" s="1">
        <v>41</v>
      </c>
      <c r="W915" s="1" t="b">
        <v>0</v>
      </c>
      <c r="X915" s="1" t="b">
        <v>1</v>
      </c>
      <c r="Y915" s="1">
        <v>100000</v>
      </c>
    </row>
    <row r="916" spans="1:25" x14ac:dyDescent="0.35">
      <c r="A916" s="1" t="s">
        <v>1869</v>
      </c>
      <c r="B916" s="1" t="s">
        <v>1</v>
      </c>
      <c r="C916" s="1" t="s">
        <v>51</v>
      </c>
      <c r="D916" s="1" t="s">
        <v>38</v>
      </c>
      <c r="E916" s="1">
        <v>3822</v>
      </c>
      <c r="F916" s="4">
        <v>10000000</v>
      </c>
      <c r="G916" s="4">
        <v>2616</v>
      </c>
      <c r="H916" s="1">
        <v>6</v>
      </c>
      <c r="I916" s="1">
        <v>4</v>
      </c>
      <c r="J916" s="1">
        <v>7</v>
      </c>
      <c r="K916" s="1" t="s">
        <v>42</v>
      </c>
      <c r="L916" s="1" t="s">
        <v>1870</v>
      </c>
      <c r="M916" s="1">
        <v>3</v>
      </c>
      <c r="N916" s="1">
        <v>6</v>
      </c>
      <c r="O916" s="1">
        <v>26946</v>
      </c>
      <c r="P916" s="1">
        <v>3.23</v>
      </c>
      <c r="Q916" s="1" t="s">
        <v>6</v>
      </c>
      <c r="R916" s="3">
        <v>0.41170000000000001</v>
      </c>
      <c r="S916" s="2">
        <v>45641</v>
      </c>
      <c r="T916" s="1">
        <v>297</v>
      </c>
      <c r="U916" s="1" t="s">
        <v>30</v>
      </c>
      <c r="V916" s="1">
        <v>137</v>
      </c>
      <c r="W916" s="1" t="b">
        <v>1</v>
      </c>
      <c r="X916" s="1" t="b">
        <v>0</v>
      </c>
      <c r="Y916" s="1">
        <v>0</v>
      </c>
    </row>
    <row r="917" spans="1:25" x14ac:dyDescent="0.35">
      <c r="A917" s="1" t="s">
        <v>1871</v>
      </c>
      <c r="B917" s="1" t="s">
        <v>1</v>
      </c>
      <c r="C917" s="1" t="s">
        <v>48</v>
      </c>
      <c r="D917" s="1" t="s">
        <v>27</v>
      </c>
      <c r="E917" s="1">
        <v>7534</v>
      </c>
      <c r="F917" s="4">
        <v>10000000</v>
      </c>
      <c r="G917" s="4">
        <v>1327</v>
      </c>
      <c r="H917" s="1">
        <v>3</v>
      </c>
      <c r="I917" s="1">
        <v>1</v>
      </c>
      <c r="J917" s="1">
        <v>22</v>
      </c>
      <c r="K917" s="1" t="s">
        <v>12</v>
      </c>
      <c r="L917" s="1" t="s">
        <v>1872</v>
      </c>
      <c r="M917" s="1">
        <v>6</v>
      </c>
      <c r="N917" s="1">
        <v>6</v>
      </c>
      <c r="O917" s="1">
        <v>26570</v>
      </c>
      <c r="P917" s="1">
        <v>3.19</v>
      </c>
      <c r="Q917" s="1" t="s">
        <v>6</v>
      </c>
      <c r="R917" s="3">
        <v>0.40939999999999999</v>
      </c>
      <c r="S917" s="2">
        <v>45825</v>
      </c>
      <c r="T917" s="1">
        <v>304</v>
      </c>
      <c r="U917" s="1" t="s">
        <v>7</v>
      </c>
      <c r="V917" s="1">
        <v>159</v>
      </c>
      <c r="W917" s="1" t="b">
        <v>1</v>
      </c>
      <c r="X917" s="1" t="b">
        <v>0</v>
      </c>
      <c r="Y917" s="1">
        <v>0</v>
      </c>
    </row>
    <row r="918" spans="1:25" x14ac:dyDescent="0.35">
      <c r="A918" s="1" t="s">
        <v>1873</v>
      </c>
      <c r="B918" s="1" t="s">
        <v>25</v>
      </c>
      <c r="C918" s="1" t="s">
        <v>37</v>
      </c>
      <c r="D918" s="1" t="s">
        <v>20</v>
      </c>
      <c r="E918" s="1">
        <v>4249</v>
      </c>
      <c r="F918" s="4">
        <v>30000000</v>
      </c>
      <c r="G918" s="4">
        <v>7060</v>
      </c>
      <c r="H918" s="1">
        <v>5</v>
      </c>
      <c r="I918" s="1">
        <v>2</v>
      </c>
      <c r="J918" s="1">
        <v>24</v>
      </c>
      <c r="K918" s="1" t="s">
        <v>61</v>
      </c>
      <c r="L918" s="1" t="s">
        <v>1874</v>
      </c>
      <c r="M918" s="1">
        <v>6</v>
      </c>
      <c r="N918" s="1">
        <v>6</v>
      </c>
      <c r="O918" s="1">
        <v>95600</v>
      </c>
      <c r="P918" s="1">
        <v>3.82</v>
      </c>
      <c r="Q918" s="1" t="s">
        <v>14</v>
      </c>
      <c r="R918" s="3">
        <v>0.44119999999999998</v>
      </c>
      <c r="S918" s="2">
        <v>45552</v>
      </c>
      <c r="T918" s="1">
        <v>225</v>
      </c>
      <c r="U918" s="1" t="s">
        <v>23</v>
      </c>
      <c r="V918" s="1">
        <v>46</v>
      </c>
      <c r="W918" s="1" t="b">
        <v>0</v>
      </c>
      <c r="X918" s="1" t="b">
        <v>0</v>
      </c>
      <c r="Y918" s="1">
        <v>60000</v>
      </c>
    </row>
    <row r="919" spans="1:25" x14ac:dyDescent="0.35">
      <c r="A919" s="1" t="s">
        <v>1875</v>
      </c>
      <c r="B919" s="1" t="s">
        <v>32</v>
      </c>
      <c r="C919" s="1" t="s">
        <v>33</v>
      </c>
      <c r="D919" s="1" t="s">
        <v>38</v>
      </c>
      <c r="E919" s="1">
        <v>9404</v>
      </c>
      <c r="F919" s="4">
        <v>12000000</v>
      </c>
      <c r="G919" s="4">
        <v>1276</v>
      </c>
      <c r="H919" s="1">
        <v>6</v>
      </c>
      <c r="I919" s="1">
        <v>4</v>
      </c>
      <c r="J919" s="1">
        <v>9</v>
      </c>
      <c r="K919" s="1" t="s">
        <v>34</v>
      </c>
      <c r="L919" s="1" t="s">
        <v>1876</v>
      </c>
      <c r="M919" s="1">
        <v>8</v>
      </c>
      <c r="N919" s="1">
        <v>10</v>
      </c>
      <c r="O919" s="1">
        <v>40181</v>
      </c>
      <c r="P919" s="1">
        <v>4.0199999999999996</v>
      </c>
      <c r="Q919" s="1" t="s">
        <v>6</v>
      </c>
      <c r="R919" s="3">
        <v>0.45090000000000002</v>
      </c>
      <c r="S919" s="2">
        <v>45534</v>
      </c>
      <c r="T919" s="1">
        <v>58</v>
      </c>
      <c r="U919" s="1" t="s">
        <v>30</v>
      </c>
      <c r="V919" s="1">
        <v>107</v>
      </c>
      <c r="W919" s="1" t="b">
        <v>0</v>
      </c>
      <c r="X919" s="1" t="b">
        <v>0</v>
      </c>
      <c r="Y919" s="1">
        <v>24000</v>
      </c>
    </row>
    <row r="920" spans="1:25" x14ac:dyDescent="0.35">
      <c r="A920" s="1" t="s">
        <v>1877</v>
      </c>
      <c r="B920" s="1" t="s">
        <v>54</v>
      </c>
      <c r="C920" s="1" t="s">
        <v>89</v>
      </c>
      <c r="D920" s="1" t="s">
        <v>38</v>
      </c>
      <c r="E920" s="1">
        <v>8160</v>
      </c>
      <c r="F920" s="4">
        <v>40000000</v>
      </c>
      <c r="G920" s="4">
        <v>4901</v>
      </c>
      <c r="H920" s="1">
        <v>5</v>
      </c>
      <c r="I920" s="1">
        <v>2</v>
      </c>
      <c r="J920" s="1">
        <v>12</v>
      </c>
      <c r="K920" s="1" t="s">
        <v>34</v>
      </c>
      <c r="L920" s="1" t="s">
        <v>1878</v>
      </c>
      <c r="M920" s="1">
        <v>8</v>
      </c>
      <c r="N920" s="1">
        <v>8</v>
      </c>
      <c r="O920" s="1">
        <v>152822</v>
      </c>
      <c r="P920" s="1">
        <v>4.58</v>
      </c>
      <c r="Q920" s="1" t="s">
        <v>14</v>
      </c>
      <c r="R920" s="3">
        <v>0.47920000000000001</v>
      </c>
      <c r="S920" s="2">
        <v>45986</v>
      </c>
      <c r="T920" s="1">
        <v>6</v>
      </c>
      <c r="U920" s="1" t="s">
        <v>30</v>
      </c>
      <c r="V920" s="1">
        <v>130</v>
      </c>
      <c r="W920" s="1" t="b">
        <v>0</v>
      </c>
      <c r="X920" s="1" t="b">
        <v>1</v>
      </c>
      <c r="Y920" s="1">
        <v>80000</v>
      </c>
    </row>
    <row r="921" spans="1:25" x14ac:dyDescent="0.35">
      <c r="A921" s="1" t="s">
        <v>1879</v>
      </c>
      <c r="B921" s="1" t="s">
        <v>9</v>
      </c>
      <c r="C921" s="1" t="s">
        <v>10</v>
      </c>
      <c r="D921" s="1" t="s">
        <v>11</v>
      </c>
      <c r="E921" s="1">
        <v>321</v>
      </c>
      <c r="F921" s="4">
        <v>50000000</v>
      </c>
      <c r="G921" s="4">
        <v>155763</v>
      </c>
      <c r="H921" s="1">
        <v>1</v>
      </c>
      <c r="I921" s="1">
        <v>1</v>
      </c>
      <c r="J921" s="1">
        <v>12</v>
      </c>
      <c r="K921" s="1" t="s">
        <v>34</v>
      </c>
      <c r="L921" s="1" t="s">
        <v>1880</v>
      </c>
      <c r="M921" s="1">
        <v>6</v>
      </c>
      <c r="N921" s="1">
        <v>5</v>
      </c>
      <c r="O921" s="1">
        <v>146055</v>
      </c>
      <c r="P921" s="1">
        <v>3.51</v>
      </c>
      <c r="Q921" s="1" t="s">
        <v>14</v>
      </c>
      <c r="R921" s="3">
        <v>0.42530000000000001</v>
      </c>
      <c r="S921" s="2">
        <v>45624</v>
      </c>
      <c r="T921" s="1">
        <v>285</v>
      </c>
      <c r="U921" s="1" t="s">
        <v>7</v>
      </c>
      <c r="V921" s="1">
        <v>30</v>
      </c>
      <c r="W921" s="1" t="b">
        <v>1</v>
      </c>
      <c r="X921" s="1" t="b">
        <v>1</v>
      </c>
      <c r="Y921" s="1">
        <v>0</v>
      </c>
    </row>
    <row r="922" spans="1:25" x14ac:dyDescent="0.35">
      <c r="A922" s="1" t="s">
        <v>1881</v>
      </c>
      <c r="B922" s="1" t="s">
        <v>18</v>
      </c>
      <c r="C922" s="1" t="s">
        <v>139</v>
      </c>
      <c r="D922" s="1" t="s">
        <v>38</v>
      </c>
      <c r="E922" s="1">
        <v>7514</v>
      </c>
      <c r="F922" s="4">
        <v>15000000</v>
      </c>
      <c r="G922" s="4">
        <v>1996</v>
      </c>
      <c r="H922" s="1">
        <v>4</v>
      </c>
      <c r="I922" s="1">
        <v>3</v>
      </c>
      <c r="J922" s="1">
        <v>8</v>
      </c>
      <c r="K922" s="1" t="s">
        <v>12</v>
      </c>
      <c r="L922" s="1" t="s">
        <v>1882</v>
      </c>
      <c r="M922" s="1">
        <v>8</v>
      </c>
      <c r="N922" s="1">
        <v>6</v>
      </c>
      <c r="O922" s="1">
        <v>38681</v>
      </c>
      <c r="P922" s="1">
        <v>3.09</v>
      </c>
      <c r="Q922" s="1" t="s">
        <v>6</v>
      </c>
      <c r="R922" s="3">
        <v>0.4047</v>
      </c>
      <c r="S922" s="2">
        <v>45939</v>
      </c>
      <c r="T922" s="1">
        <v>348</v>
      </c>
      <c r="U922" s="1" t="s">
        <v>7</v>
      </c>
      <c r="V922" s="1">
        <v>129</v>
      </c>
      <c r="W922" s="1" t="b">
        <v>0</v>
      </c>
      <c r="X922" s="1" t="b">
        <v>1</v>
      </c>
      <c r="Y922" s="1">
        <v>0</v>
      </c>
    </row>
    <row r="923" spans="1:25" x14ac:dyDescent="0.35">
      <c r="A923" s="1" t="s">
        <v>1883</v>
      </c>
      <c r="B923" s="1" t="s">
        <v>1</v>
      </c>
      <c r="C923" s="1" t="s">
        <v>303</v>
      </c>
      <c r="D923" s="1" t="s">
        <v>3</v>
      </c>
      <c r="E923" s="1">
        <v>1864</v>
      </c>
      <c r="F923" s="4">
        <v>10000000</v>
      </c>
      <c r="G923" s="4">
        <v>5364</v>
      </c>
      <c r="H923" s="1">
        <v>4</v>
      </c>
      <c r="I923" s="1">
        <v>3</v>
      </c>
      <c r="J923" s="1">
        <v>3</v>
      </c>
      <c r="K923" s="1" t="s">
        <v>42</v>
      </c>
      <c r="L923" s="1" t="s">
        <v>1884</v>
      </c>
      <c r="M923" s="1">
        <v>7</v>
      </c>
      <c r="N923" s="1">
        <v>4</v>
      </c>
      <c r="O923" s="1">
        <v>33377</v>
      </c>
      <c r="P923" s="1">
        <v>4.01</v>
      </c>
      <c r="Q923" s="1" t="s">
        <v>6</v>
      </c>
      <c r="R923" s="3">
        <v>0.45030000000000003</v>
      </c>
      <c r="S923" s="2">
        <v>45665</v>
      </c>
      <c r="T923" s="1">
        <v>272</v>
      </c>
      <c r="U923" s="1" t="s">
        <v>23</v>
      </c>
      <c r="V923" s="1">
        <v>60</v>
      </c>
      <c r="W923" s="1" t="b">
        <v>0</v>
      </c>
      <c r="X923" s="1" t="b">
        <v>1</v>
      </c>
      <c r="Y923" s="1">
        <v>0</v>
      </c>
    </row>
    <row r="924" spans="1:25" x14ac:dyDescent="0.35">
      <c r="A924" s="1" t="s">
        <v>1885</v>
      </c>
      <c r="B924" s="1" t="s">
        <v>1</v>
      </c>
      <c r="C924" s="1" t="s">
        <v>2</v>
      </c>
      <c r="D924" s="1" t="s">
        <v>3</v>
      </c>
      <c r="E924" s="1">
        <v>862</v>
      </c>
      <c r="F924" s="4">
        <v>10000000</v>
      </c>
      <c r="G924" s="4">
        <v>11600</v>
      </c>
      <c r="H924" s="1">
        <v>2</v>
      </c>
      <c r="I924" s="1">
        <v>2</v>
      </c>
      <c r="J924" s="1">
        <v>11</v>
      </c>
      <c r="K924" s="1" t="s">
        <v>28</v>
      </c>
      <c r="L924" s="1" t="s">
        <v>1886</v>
      </c>
      <c r="M924" s="1">
        <v>8</v>
      </c>
      <c r="N924" s="1">
        <v>8</v>
      </c>
      <c r="O924" s="1">
        <v>29570</v>
      </c>
      <c r="P924" s="1">
        <v>3.55</v>
      </c>
      <c r="Q924" s="1" t="s">
        <v>6</v>
      </c>
      <c r="R924" s="3">
        <v>0.4274</v>
      </c>
      <c r="S924" s="2">
        <v>45805</v>
      </c>
      <c r="T924" s="1">
        <v>192</v>
      </c>
      <c r="U924" s="1" t="s">
        <v>23</v>
      </c>
      <c r="V924" s="1">
        <v>132</v>
      </c>
      <c r="W924" s="1" t="b">
        <v>1</v>
      </c>
      <c r="X924" s="1" t="b">
        <v>0</v>
      </c>
      <c r="Y924" s="1">
        <v>20000</v>
      </c>
    </row>
    <row r="925" spans="1:25" x14ac:dyDescent="0.35">
      <c r="A925" s="1" t="s">
        <v>1887</v>
      </c>
      <c r="B925" s="1" t="s">
        <v>18</v>
      </c>
      <c r="C925" s="1" t="s">
        <v>217</v>
      </c>
      <c r="D925" s="1" t="s">
        <v>27</v>
      </c>
      <c r="E925" s="1">
        <v>2957</v>
      </c>
      <c r="F925" s="4">
        <v>15000000</v>
      </c>
      <c r="G925" s="4">
        <v>5072</v>
      </c>
      <c r="H925" s="1">
        <v>5</v>
      </c>
      <c r="I925" s="1">
        <v>3</v>
      </c>
      <c r="J925" s="1">
        <v>19</v>
      </c>
      <c r="K925" s="1" t="s">
        <v>61</v>
      </c>
      <c r="L925" s="1" t="s">
        <v>1888</v>
      </c>
      <c r="M925" s="1">
        <v>7</v>
      </c>
      <c r="N925" s="1">
        <v>9</v>
      </c>
      <c r="O925" s="1">
        <v>37697</v>
      </c>
      <c r="P925" s="1">
        <v>3.02</v>
      </c>
      <c r="Q925" s="1" t="s">
        <v>6</v>
      </c>
      <c r="R925" s="3">
        <v>0.40079999999999999</v>
      </c>
      <c r="S925" s="2">
        <v>45915</v>
      </c>
      <c r="T925" s="1">
        <v>226</v>
      </c>
      <c r="U925" s="1" t="s">
        <v>7</v>
      </c>
      <c r="V925" s="1">
        <v>105</v>
      </c>
      <c r="W925" s="1" t="b">
        <v>1</v>
      </c>
      <c r="X925" s="1" t="b">
        <v>0</v>
      </c>
      <c r="Y925" s="1">
        <v>0</v>
      </c>
    </row>
    <row r="926" spans="1:25" x14ac:dyDescent="0.35">
      <c r="A926" s="1" t="s">
        <v>1889</v>
      </c>
      <c r="B926" s="1" t="s">
        <v>54</v>
      </c>
      <c r="C926" s="1" t="s">
        <v>89</v>
      </c>
      <c r="D926" s="1" t="s">
        <v>11</v>
      </c>
      <c r="E926" s="1">
        <v>405</v>
      </c>
      <c r="F926" s="4">
        <v>38463843</v>
      </c>
      <c r="G926" s="4">
        <v>94972</v>
      </c>
      <c r="H926" s="1">
        <v>1</v>
      </c>
      <c r="I926" s="1">
        <v>2</v>
      </c>
      <c r="J926" s="1">
        <v>11</v>
      </c>
      <c r="K926" s="1" t="s">
        <v>12</v>
      </c>
      <c r="L926" s="1" t="s">
        <v>1890</v>
      </c>
      <c r="M926" s="1">
        <v>7</v>
      </c>
      <c r="N926" s="1">
        <v>9</v>
      </c>
      <c r="O926" s="1">
        <v>149395</v>
      </c>
      <c r="P926" s="1">
        <v>4.66</v>
      </c>
      <c r="Q926" s="1" t="s">
        <v>14</v>
      </c>
      <c r="R926" s="3">
        <v>0.48299999999999998</v>
      </c>
      <c r="S926" s="2">
        <v>46016</v>
      </c>
      <c r="T926" s="1">
        <v>112</v>
      </c>
      <c r="U926" s="1" t="s">
        <v>7</v>
      </c>
      <c r="V926" s="1">
        <v>119</v>
      </c>
      <c r="W926" s="1" t="b">
        <v>1</v>
      </c>
      <c r="X926" s="1" t="b">
        <v>1</v>
      </c>
      <c r="Y926" s="1">
        <v>76927</v>
      </c>
    </row>
    <row r="927" spans="1:25" x14ac:dyDescent="0.35">
      <c r="A927" s="1" t="s">
        <v>1891</v>
      </c>
      <c r="B927" s="1" t="s">
        <v>9</v>
      </c>
      <c r="C927" s="1" t="s">
        <v>142</v>
      </c>
      <c r="D927" s="1" t="s">
        <v>27</v>
      </c>
      <c r="E927" s="1">
        <v>5230</v>
      </c>
      <c r="F927" s="4">
        <v>50000000</v>
      </c>
      <c r="G927" s="4">
        <v>9560</v>
      </c>
      <c r="H927" s="1">
        <v>4</v>
      </c>
      <c r="I927" s="1">
        <v>2</v>
      </c>
      <c r="J927" s="1">
        <v>30</v>
      </c>
      <c r="K927" s="1" t="s">
        <v>61</v>
      </c>
      <c r="L927" s="1" t="s">
        <v>610</v>
      </c>
      <c r="M927" s="1">
        <v>3</v>
      </c>
      <c r="N927" s="1">
        <v>6</v>
      </c>
      <c r="O927" s="1">
        <v>163609</v>
      </c>
      <c r="P927" s="1">
        <v>3.93</v>
      </c>
      <c r="Q927" s="1" t="s">
        <v>14</v>
      </c>
      <c r="R927" s="3">
        <v>0.44630000000000003</v>
      </c>
      <c r="S927" s="2">
        <v>45996</v>
      </c>
      <c r="T927" s="1">
        <v>329</v>
      </c>
      <c r="U927" s="1" t="s">
        <v>7</v>
      </c>
      <c r="V927" s="1">
        <v>167</v>
      </c>
      <c r="W927" s="1" t="b">
        <v>1</v>
      </c>
      <c r="X927" s="1" t="b">
        <v>0</v>
      </c>
      <c r="Y927" s="1">
        <v>0</v>
      </c>
    </row>
    <row r="928" spans="1:25" x14ac:dyDescent="0.35">
      <c r="A928" s="1" t="s">
        <v>1892</v>
      </c>
      <c r="B928" s="1" t="s">
        <v>1</v>
      </c>
      <c r="C928" s="1" t="s">
        <v>45</v>
      </c>
      <c r="D928" s="1" t="s">
        <v>20</v>
      </c>
      <c r="E928" s="1">
        <v>3769</v>
      </c>
      <c r="F928" s="4">
        <v>10000000</v>
      </c>
      <c r="G928" s="4">
        <v>2653</v>
      </c>
      <c r="H928" s="1">
        <v>4</v>
      </c>
      <c r="I928" s="1">
        <v>2</v>
      </c>
      <c r="J928" s="1">
        <v>5</v>
      </c>
      <c r="K928" s="1" t="s">
        <v>21</v>
      </c>
      <c r="L928" s="1" t="s">
        <v>1893</v>
      </c>
      <c r="M928" s="1">
        <v>7</v>
      </c>
      <c r="N928" s="1">
        <v>4</v>
      </c>
      <c r="O928" s="1">
        <v>33372</v>
      </c>
      <c r="P928" s="1">
        <v>4</v>
      </c>
      <c r="Q928" s="1" t="s">
        <v>6</v>
      </c>
      <c r="R928" s="3">
        <v>0.45020000000000004</v>
      </c>
      <c r="S928" s="2">
        <v>45656</v>
      </c>
      <c r="T928" s="1">
        <v>35</v>
      </c>
      <c r="U928" s="1" t="s">
        <v>7</v>
      </c>
      <c r="V928" s="1">
        <v>144</v>
      </c>
      <c r="W928" s="1" t="b">
        <v>1</v>
      </c>
      <c r="X928" s="1" t="b">
        <v>0</v>
      </c>
      <c r="Y928" s="1">
        <v>20000</v>
      </c>
    </row>
    <row r="929" spans="1:25" x14ac:dyDescent="0.35">
      <c r="A929" s="1" t="s">
        <v>1894</v>
      </c>
      <c r="B929" s="1" t="s">
        <v>32</v>
      </c>
      <c r="C929" s="1" t="s">
        <v>194</v>
      </c>
      <c r="D929" s="1" t="s">
        <v>3</v>
      </c>
      <c r="E929" s="1">
        <v>1887</v>
      </c>
      <c r="F929" s="4">
        <v>12000000</v>
      </c>
      <c r="G929" s="4">
        <v>6359</v>
      </c>
      <c r="H929" s="1">
        <v>3</v>
      </c>
      <c r="I929" s="1">
        <v>1</v>
      </c>
      <c r="J929" s="1">
        <v>8</v>
      </c>
      <c r="K929" s="1" t="s">
        <v>4</v>
      </c>
      <c r="L929" s="1" t="s">
        <v>1895</v>
      </c>
      <c r="M929" s="1">
        <v>6</v>
      </c>
      <c r="N929" s="1">
        <v>9</v>
      </c>
      <c r="O929" s="1">
        <v>32822</v>
      </c>
      <c r="P929" s="1">
        <v>3.28</v>
      </c>
      <c r="Q929" s="1" t="s">
        <v>6</v>
      </c>
      <c r="R929" s="3">
        <v>0.41409999999999997</v>
      </c>
      <c r="S929" s="2">
        <v>45708</v>
      </c>
      <c r="T929" s="1">
        <v>58</v>
      </c>
      <c r="U929" s="1" t="s">
        <v>23</v>
      </c>
      <c r="V929" s="1">
        <v>105</v>
      </c>
      <c r="W929" s="1" t="b">
        <v>0</v>
      </c>
      <c r="X929" s="1" t="b">
        <v>1</v>
      </c>
      <c r="Y929" s="1">
        <v>0</v>
      </c>
    </row>
    <row r="930" spans="1:25" x14ac:dyDescent="0.35">
      <c r="A930" s="1" t="s">
        <v>1896</v>
      </c>
      <c r="B930" s="1" t="s">
        <v>32</v>
      </c>
      <c r="C930" s="1" t="s">
        <v>200</v>
      </c>
      <c r="D930" s="1" t="s">
        <v>38</v>
      </c>
      <c r="E930" s="1">
        <v>6763</v>
      </c>
      <c r="F930" s="4">
        <v>12000000</v>
      </c>
      <c r="G930" s="4">
        <v>1774</v>
      </c>
      <c r="H930" s="1">
        <v>4</v>
      </c>
      <c r="I930" s="1">
        <v>3</v>
      </c>
      <c r="J930" s="1">
        <v>9</v>
      </c>
      <c r="K930" s="1" t="s">
        <v>4</v>
      </c>
      <c r="L930" s="1" t="s">
        <v>1897</v>
      </c>
      <c r="M930" s="1">
        <v>7</v>
      </c>
      <c r="N930" s="1">
        <v>10</v>
      </c>
      <c r="O930" s="1">
        <v>40597</v>
      </c>
      <c r="P930" s="1">
        <v>4.0599999999999996</v>
      </c>
      <c r="Q930" s="1" t="s">
        <v>6</v>
      </c>
      <c r="R930" s="3">
        <v>0.45299999999999996</v>
      </c>
      <c r="S930" s="2">
        <v>45725</v>
      </c>
      <c r="T930" s="1">
        <v>353</v>
      </c>
      <c r="U930" s="1" t="s">
        <v>7</v>
      </c>
      <c r="V930" s="1">
        <v>47</v>
      </c>
      <c r="W930" s="1" t="b">
        <v>1</v>
      </c>
      <c r="X930" s="1" t="b">
        <v>1</v>
      </c>
      <c r="Y930" s="1">
        <v>24000</v>
      </c>
    </row>
    <row r="931" spans="1:25" x14ac:dyDescent="0.35">
      <c r="A931" s="1" t="s">
        <v>1898</v>
      </c>
      <c r="B931" s="1" t="s">
        <v>18</v>
      </c>
      <c r="C931" s="1" t="s">
        <v>169</v>
      </c>
      <c r="D931" s="1" t="s">
        <v>38</v>
      </c>
      <c r="E931" s="1">
        <v>6886</v>
      </c>
      <c r="F931" s="4">
        <v>15000000</v>
      </c>
      <c r="G931" s="4">
        <v>2178</v>
      </c>
      <c r="H931" s="1">
        <v>6</v>
      </c>
      <c r="I931" s="1">
        <v>3</v>
      </c>
      <c r="J931" s="1">
        <v>25</v>
      </c>
      <c r="K931" s="1" t="s">
        <v>28</v>
      </c>
      <c r="L931" s="1" t="s">
        <v>1899</v>
      </c>
      <c r="M931" s="1">
        <v>7</v>
      </c>
      <c r="N931" s="1">
        <v>4</v>
      </c>
      <c r="O931" s="1">
        <v>51371</v>
      </c>
      <c r="P931" s="1">
        <v>4.1100000000000003</v>
      </c>
      <c r="Q931" s="1" t="s">
        <v>6</v>
      </c>
      <c r="R931" s="3">
        <v>0.45549999999999996</v>
      </c>
      <c r="S931" s="2">
        <v>45968</v>
      </c>
      <c r="T931" s="1">
        <v>93</v>
      </c>
      <c r="U931" s="1" t="s">
        <v>7</v>
      </c>
      <c r="V931" s="1">
        <v>110</v>
      </c>
      <c r="W931" s="1" t="b">
        <v>1</v>
      </c>
      <c r="X931" s="1" t="b">
        <v>0</v>
      </c>
      <c r="Y931" s="1">
        <v>0</v>
      </c>
    </row>
    <row r="932" spans="1:25" x14ac:dyDescent="0.35">
      <c r="A932" s="1" t="s">
        <v>1900</v>
      </c>
      <c r="B932" s="1" t="s">
        <v>18</v>
      </c>
      <c r="C932" s="1" t="s">
        <v>139</v>
      </c>
      <c r="D932" s="1" t="s">
        <v>27</v>
      </c>
      <c r="E932" s="1">
        <v>4682</v>
      </c>
      <c r="F932" s="4">
        <v>15000000</v>
      </c>
      <c r="G932" s="4">
        <v>3203</v>
      </c>
      <c r="H932" s="1">
        <v>4</v>
      </c>
      <c r="I932" s="1">
        <v>3</v>
      </c>
      <c r="J932" s="1">
        <v>25</v>
      </c>
      <c r="K932" s="1" t="s">
        <v>34</v>
      </c>
      <c r="L932" s="1" t="s">
        <v>1901</v>
      </c>
      <c r="M932" s="1">
        <v>7</v>
      </c>
      <c r="N932" s="1">
        <v>7</v>
      </c>
      <c r="O932" s="1">
        <v>47037</v>
      </c>
      <c r="P932" s="1">
        <v>3.76</v>
      </c>
      <c r="Q932" s="1" t="s">
        <v>6</v>
      </c>
      <c r="R932" s="3">
        <v>0.43810000000000004</v>
      </c>
      <c r="S932" s="2">
        <v>46067</v>
      </c>
      <c r="T932" s="1">
        <v>84</v>
      </c>
      <c r="U932" s="1" t="s">
        <v>30</v>
      </c>
      <c r="V932" s="1">
        <v>126</v>
      </c>
      <c r="W932" s="1" t="b">
        <v>0</v>
      </c>
      <c r="X932" s="1" t="b">
        <v>1</v>
      </c>
      <c r="Y932" s="1">
        <v>0</v>
      </c>
    </row>
    <row r="933" spans="1:25" x14ac:dyDescent="0.35">
      <c r="A933" s="1" t="s">
        <v>1902</v>
      </c>
      <c r="B933" s="1" t="s">
        <v>25</v>
      </c>
      <c r="C933" s="1" t="s">
        <v>82</v>
      </c>
      <c r="D933" s="1" t="s">
        <v>11</v>
      </c>
      <c r="E933" s="1">
        <v>319</v>
      </c>
      <c r="F933" s="4">
        <v>30000000</v>
      </c>
      <c r="G933" s="4">
        <v>94043</v>
      </c>
      <c r="H933" s="1">
        <v>1</v>
      </c>
      <c r="I933" s="1">
        <v>2</v>
      </c>
      <c r="J933" s="1">
        <v>20</v>
      </c>
      <c r="K933" s="1" t="s">
        <v>28</v>
      </c>
      <c r="L933" s="1" t="s">
        <v>1903</v>
      </c>
      <c r="M933" s="1">
        <v>6</v>
      </c>
      <c r="N933" s="1">
        <v>6</v>
      </c>
      <c r="O933" s="1">
        <v>80608</v>
      </c>
      <c r="P933" s="1">
        <v>3.22</v>
      </c>
      <c r="Q933" s="1" t="s">
        <v>14</v>
      </c>
      <c r="R933" s="3">
        <v>0.41119999999999995</v>
      </c>
      <c r="S933" s="2">
        <v>45611</v>
      </c>
      <c r="T933" s="1">
        <v>117</v>
      </c>
      <c r="U933" s="1" t="s">
        <v>7</v>
      </c>
      <c r="V933" s="1">
        <v>152</v>
      </c>
      <c r="W933" s="1" t="b">
        <v>1</v>
      </c>
      <c r="X933" s="1" t="b">
        <v>1</v>
      </c>
      <c r="Y933" s="1">
        <v>0</v>
      </c>
    </row>
    <row r="934" spans="1:25" x14ac:dyDescent="0.35">
      <c r="A934" s="1" t="s">
        <v>1904</v>
      </c>
      <c r="B934" s="1" t="s">
        <v>25</v>
      </c>
      <c r="C934" s="1" t="s">
        <v>314</v>
      </c>
      <c r="D934" s="1" t="s">
        <v>3</v>
      </c>
      <c r="E934" s="1">
        <v>2613</v>
      </c>
      <c r="F934" s="4">
        <v>30000000</v>
      </c>
      <c r="G934" s="4">
        <v>11481</v>
      </c>
      <c r="H934" s="1">
        <v>4</v>
      </c>
      <c r="I934" s="1">
        <v>3</v>
      </c>
      <c r="J934" s="1">
        <v>28</v>
      </c>
      <c r="K934" s="1" t="s">
        <v>34</v>
      </c>
      <c r="L934" s="1" t="s">
        <v>1905</v>
      </c>
      <c r="M934" s="1">
        <v>5</v>
      </c>
      <c r="N934" s="1">
        <v>7</v>
      </c>
      <c r="O934" s="1">
        <v>121958</v>
      </c>
      <c r="P934" s="1">
        <v>4.88</v>
      </c>
      <c r="Q934" s="1" t="s">
        <v>14</v>
      </c>
      <c r="R934" s="3">
        <v>0.49390000000000001</v>
      </c>
      <c r="S934" s="2">
        <v>45470</v>
      </c>
      <c r="T934" s="1">
        <v>190</v>
      </c>
      <c r="U934" s="1" t="s">
        <v>30</v>
      </c>
      <c r="V934" s="1">
        <v>179</v>
      </c>
      <c r="W934" s="1" t="b">
        <v>0</v>
      </c>
      <c r="X934" s="1" t="b">
        <v>1</v>
      </c>
      <c r="Y934" s="1">
        <v>0</v>
      </c>
    </row>
    <row r="935" spans="1:25" x14ac:dyDescent="0.35">
      <c r="A935" s="1" t="s">
        <v>1906</v>
      </c>
      <c r="B935" s="1" t="s">
        <v>18</v>
      </c>
      <c r="C935" s="1" t="s">
        <v>139</v>
      </c>
      <c r="D935" s="1" t="s">
        <v>38</v>
      </c>
      <c r="E935" s="1">
        <v>5855</v>
      </c>
      <c r="F935" s="4">
        <v>15000000</v>
      </c>
      <c r="G935" s="4">
        <v>2561</v>
      </c>
      <c r="H935" s="1">
        <v>6</v>
      </c>
      <c r="I935" s="1">
        <v>3</v>
      </c>
      <c r="J935" s="1">
        <v>30</v>
      </c>
      <c r="K935" s="1" t="s">
        <v>58</v>
      </c>
      <c r="L935" s="1" t="s">
        <v>1907</v>
      </c>
      <c r="M935" s="1">
        <v>7</v>
      </c>
      <c r="N935" s="1">
        <v>8</v>
      </c>
      <c r="O935" s="1">
        <v>44980</v>
      </c>
      <c r="P935" s="1">
        <v>3.6</v>
      </c>
      <c r="Q935" s="1" t="s">
        <v>6</v>
      </c>
      <c r="R935" s="3">
        <v>0.4299</v>
      </c>
      <c r="S935" s="2">
        <v>45603</v>
      </c>
      <c r="T935" s="1">
        <v>42</v>
      </c>
      <c r="U935" s="1" t="s">
        <v>7</v>
      </c>
      <c r="V935" s="1">
        <v>145</v>
      </c>
      <c r="W935" s="1" t="b">
        <v>0</v>
      </c>
      <c r="X935" s="1" t="b">
        <v>1</v>
      </c>
      <c r="Y935" s="1">
        <v>0</v>
      </c>
    </row>
    <row r="936" spans="1:25" x14ac:dyDescent="0.35">
      <c r="A936" s="1" t="s">
        <v>1908</v>
      </c>
      <c r="B936" s="1" t="s">
        <v>32</v>
      </c>
      <c r="C936" s="1" t="s">
        <v>67</v>
      </c>
      <c r="D936" s="1" t="s">
        <v>20</v>
      </c>
      <c r="E936" s="1">
        <v>2575</v>
      </c>
      <c r="F936" s="4">
        <v>12000000</v>
      </c>
      <c r="G936" s="4">
        <v>4660</v>
      </c>
      <c r="H936" s="1">
        <v>4</v>
      </c>
      <c r="I936" s="1">
        <v>2</v>
      </c>
      <c r="J936" s="1">
        <v>25</v>
      </c>
      <c r="K936" s="1" t="s">
        <v>21</v>
      </c>
      <c r="L936" s="1" t="s">
        <v>1909</v>
      </c>
      <c r="M936" s="1">
        <v>5</v>
      </c>
      <c r="N936" s="1">
        <v>9</v>
      </c>
      <c r="O936" s="1">
        <v>32096</v>
      </c>
      <c r="P936" s="1">
        <v>3.21</v>
      </c>
      <c r="Q936" s="1" t="s">
        <v>6</v>
      </c>
      <c r="R936" s="3">
        <v>0.41049999999999998</v>
      </c>
      <c r="S936" s="2">
        <v>45970</v>
      </c>
      <c r="T936" s="1">
        <v>108</v>
      </c>
      <c r="U936" s="1" t="s">
        <v>30</v>
      </c>
      <c r="V936" s="1">
        <v>37</v>
      </c>
      <c r="W936" s="1" t="b">
        <v>0</v>
      </c>
      <c r="X936" s="1" t="b">
        <v>0</v>
      </c>
      <c r="Y936" s="1">
        <v>24000</v>
      </c>
    </row>
    <row r="937" spans="1:25" x14ac:dyDescent="0.35">
      <c r="A937" s="1" t="s">
        <v>1910</v>
      </c>
      <c r="B937" s="1" t="s">
        <v>9</v>
      </c>
      <c r="C937" s="1" t="s">
        <v>109</v>
      </c>
      <c r="D937" s="1" t="s">
        <v>27</v>
      </c>
      <c r="E937" s="1">
        <v>6995</v>
      </c>
      <c r="F937" s="4">
        <v>50000000</v>
      </c>
      <c r="G937" s="4">
        <v>7147</v>
      </c>
      <c r="H937" s="1">
        <v>6</v>
      </c>
      <c r="I937" s="1">
        <v>3</v>
      </c>
      <c r="J937" s="1">
        <v>8</v>
      </c>
      <c r="K937" s="1" t="s">
        <v>61</v>
      </c>
      <c r="L937" s="1" t="s">
        <v>1911</v>
      </c>
      <c r="M937" s="1">
        <v>5</v>
      </c>
      <c r="N937" s="1">
        <v>6</v>
      </c>
      <c r="O937" s="1">
        <v>162107</v>
      </c>
      <c r="P937" s="1">
        <v>3.89</v>
      </c>
      <c r="Q937" s="1" t="s">
        <v>14</v>
      </c>
      <c r="R937" s="3">
        <v>0.44450000000000001</v>
      </c>
      <c r="S937" s="2">
        <v>45566</v>
      </c>
      <c r="T937" s="1">
        <v>287</v>
      </c>
      <c r="U937" s="1" t="s">
        <v>7</v>
      </c>
      <c r="V937" s="1">
        <v>67</v>
      </c>
      <c r="W937" s="1" t="b">
        <v>0</v>
      </c>
      <c r="X937" s="1" t="b">
        <v>0</v>
      </c>
      <c r="Y937" s="1">
        <v>100000</v>
      </c>
    </row>
    <row r="938" spans="1:25" x14ac:dyDescent="0.35">
      <c r="A938" s="1" t="s">
        <v>1912</v>
      </c>
      <c r="B938" s="1" t="s">
        <v>25</v>
      </c>
      <c r="C938" s="1" t="s">
        <v>26</v>
      </c>
      <c r="D938" s="1" t="s">
        <v>3</v>
      </c>
      <c r="E938" s="1">
        <v>2972</v>
      </c>
      <c r="F938" s="4">
        <v>30000000</v>
      </c>
      <c r="G938" s="4">
        <v>10094</v>
      </c>
      <c r="H938" s="1">
        <v>3</v>
      </c>
      <c r="I938" s="1">
        <v>1</v>
      </c>
      <c r="J938" s="1">
        <v>24</v>
      </c>
      <c r="K938" s="1" t="s">
        <v>58</v>
      </c>
      <c r="L938" s="1" t="s">
        <v>1913</v>
      </c>
      <c r="M938" s="1">
        <v>8</v>
      </c>
      <c r="N938" s="1">
        <v>5</v>
      </c>
      <c r="O938" s="1">
        <v>87056</v>
      </c>
      <c r="P938" s="1">
        <v>3.48</v>
      </c>
      <c r="Q938" s="1" t="s">
        <v>14</v>
      </c>
      <c r="R938" s="3">
        <v>0.42409999999999998</v>
      </c>
      <c r="S938" s="2">
        <v>45558</v>
      </c>
      <c r="T938" s="1">
        <v>65</v>
      </c>
      <c r="U938" s="1" t="s">
        <v>7</v>
      </c>
      <c r="V938" s="1">
        <v>166</v>
      </c>
      <c r="W938" s="1" t="b">
        <v>0</v>
      </c>
      <c r="X938" s="1" t="b">
        <v>0</v>
      </c>
      <c r="Y938" s="1">
        <v>60000</v>
      </c>
    </row>
    <row r="939" spans="1:25" x14ac:dyDescent="0.35">
      <c r="A939" s="1" t="s">
        <v>1914</v>
      </c>
      <c r="B939" s="1" t="s">
        <v>1</v>
      </c>
      <c r="C939" s="1" t="s">
        <v>97</v>
      </c>
      <c r="D939" s="1" t="s">
        <v>20</v>
      </c>
      <c r="E939" s="1">
        <v>1996</v>
      </c>
      <c r="F939" s="4">
        <v>10000000</v>
      </c>
      <c r="G939" s="4">
        <v>5010</v>
      </c>
      <c r="H939" s="1">
        <v>3</v>
      </c>
      <c r="I939" s="1">
        <v>2</v>
      </c>
      <c r="J939" s="1">
        <v>1</v>
      </c>
      <c r="K939" s="1" t="s">
        <v>28</v>
      </c>
      <c r="L939" s="1" t="s">
        <v>1915</v>
      </c>
      <c r="M939" s="1">
        <v>7</v>
      </c>
      <c r="N939" s="1">
        <v>9</v>
      </c>
      <c r="O939" s="1">
        <v>26016</v>
      </c>
      <c r="P939" s="1">
        <v>3.12</v>
      </c>
      <c r="Q939" s="1" t="s">
        <v>6</v>
      </c>
      <c r="R939" s="3">
        <v>0.40610000000000002</v>
      </c>
      <c r="S939" s="2">
        <v>46018</v>
      </c>
      <c r="T939" s="1">
        <v>106</v>
      </c>
      <c r="U939" s="1" t="s">
        <v>7</v>
      </c>
      <c r="V939" s="1">
        <v>148</v>
      </c>
      <c r="W939" s="1" t="b">
        <v>0</v>
      </c>
      <c r="X939" s="1" t="b">
        <v>1</v>
      </c>
      <c r="Y939" s="1">
        <v>0</v>
      </c>
    </row>
    <row r="940" spans="1:25" x14ac:dyDescent="0.35">
      <c r="A940" s="1" t="s">
        <v>1916</v>
      </c>
      <c r="B940" s="1" t="s">
        <v>1</v>
      </c>
      <c r="C940" s="1" t="s">
        <v>51</v>
      </c>
      <c r="D940" s="1" t="s">
        <v>11</v>
      </c>
      <c r="E940" s="1">
        <v>355</v>
      </c>
      <c r="F940" s="4">
        <v>10000000</v>
      </c>
      <c r="G940" s="4">
        <v>28169</v>
      </c>
      <c r="H940" s="1">
        <v>1</v>
      </c>
      <c r="I940" s="1">
        <v>2</v>
      </c>
      <c r="J940" s="1">
        <v>4</v>
      </c>
      <c r="K940" s="1" t="s">
        <v>21</v>
      </c>
      <c r="L940" s="1" t="s">
        <v>1917</v>
      </c>
      <c r="M940" s="1">
        <v>6</v>
      </c>
      <c r="N940" s="1">
        <v>4</v>
      </c>
      <c r="O940" s="1">
        <v>28483</v>
      </c>
      <c r="P940" s="1">
        <v>3.42</v>
      </c>
      <c r="Q940" s="1" t="s">
        <v>6</v>
      </c>
      <c r="R940" s="3">
        <v>0.42090000000000005</v>
      </c>
      <c r="S940" s="2">
        <v>45909</v>
      </c>
      <c r="T940" s="1">
        <v>321</v>
      </c>
      <c r="U940" s="1" t="s">
        <v>30</v>
      </c>
      <c r="V940" s="1">
        <v>31</v>
      </c>
      <c r="W940" s="1" t="b">
        <v>0</v>
      </c>
      <c r="X940" s="1" t="b">
        <v>0</v>
      </c>
      <c r="Y940" s="1">
        <v>0</v>
      </c>
    </row>
    <row r="941" spans="1:25" x14ac:dyDescent="0.35">
      <c r="A941" s="1" t="s">
        <v>1918</v>
      </c>
      <c r="B941" s="1" t="s">
        <v>9</v>
      </c>
      <c r="C941" s="1" t="s">
        <v>163</v>
      </c>
      <c r="D941" s="1" t="s">
        <v>20</v>
      </c>
      <c r="E941" s="1">
        <v>3344</v>
      </c>
      <c r="F941" s="4">
        <v>50000000</v>
      </c>
      <c r="G941" s="4">
        <v>14952</v>
      </c>
      <c r="H941" s="1">
        <v>3</v>
      </c>
      <c r="I941" s="1">
        <v>1</v>
      </c>
      <c r="J941" s="1">
        <v>20</v>
      </c>
      <c r="K941" s="1" t="s">
        <v>61</v>
      </c>
      <c r="L941" s="1" t="s">
        <v>1919</v>
      </c>
      <c r="M941" s="1">
        <v>5</v>
      </c>
      <c r="N941" s="1">
        <v>6</v>
      </c>
      <c r="O941" s="1">
        <v>190821</v>
      </c>
      <c r="P941" s="1">
        <v>4.58</v>
      </c>
      <c r="Q941" s="1" t="s">
        <v>14</v>
      </c>
      <c r="R941" s="3">
        <v>0.47899999999999998</v>
      </c>
      <c r="S941" s="2">
        <v>46038</v>
      </c>
      <c r="T941" s="1">
        <v>202</v>
      </c>
      <c r="U941" s="1" t="s">
        <v>7</v>
      </c>
      <c r="V941" s="1">
        <v>93</v>
      </c>
      <c r="W941" s="1" t="b">
        <v>1</v>
      </c>
      <c r="X941" s="1" t="b">
        <v>1</v>
      </c>
      <c r="Y941" s="1">
        <v>100000</v>
      </c>
    </row>
    <row r="942" spans="1:25" x14ac:dyDescent="0.35">
      <c r="A942" s="1" t="s">
        <v>1920</v>
      </c>
      <c r="B942" s="1" t="s">
        <v>18</v>
      </c>
      <c r="C942" s="1" t="s">
        <v>19</v>
      </c>
      <c r="D942" s="1" t="s">
        <v>27</v>
      </c>
      <c r="E942" s="1">
        <v>5743</v>
      </c>
      <c r="F942" s="4">
        <v>15000000</v>
      </c>
      <c r="G942" s="4">
        <v>2611</v>
      </c>
      <c r="H942" s="1">
        <v>3</v>
      </c>
      <c r="I942" s="1">
        <v>1</v>
      </c>
      <c r="J942" s="1">
        <v>17</v>
      </c>
      <c r="K942" s="1" t="s">
        <v>61</v>
      </c>
      <c r="L942" s="1" t="s">
        <v>1921</v>
      </c>
      <c r="M942" s="1">
        <v>7</v>
      </c>
      <c r="N942" s="1">
        <v>10</v>
      </c>
      <c r="O942" s="1">
        <v>46942</v>
      </c>
      <c r="P942" s="1">
        <v>3.76</v>
      </c>
      <c r="Q942" s="1" t="s">
        <v>6</v>
      </c>
      <c r="R942" s="3">
        <v>0.43780000000000002</v>
      </c>
      <c r="S942" s="2">
        <v>45895</v>
      </c>
      <c r="T942" s="1">
        <v>40</v>
      </c>
      <c r="U942" s="1" t="s">
        <v>7</v>
      </c>
      <c r="V942" s="1">
        <v>135</v>
      </c>
      <c r="W942" s="1" t="b">
        <v>1</v>
      </c>
      <c r="X942" s="1" t="b">
        <v>1</v>
      </c>
      <c r="Y942" s="1">
        <v>0</v>
      </c>
    </row>
    <row r="943" spans="1:25" x14ac:dyDescent="0.35">
      <c r="A943" s="1" t="s">
        <v>1922</v>
      </c>
      <c r="B943" s="1" t="s">
        <v>54</v>
      </c>
      <c r="C943" s="1" t="s">
        <v>104</v>
      </c>
      <c r="D943" s="1" t="s">
        <v>27</v>
      </c>
      <c r="E943" s="1">
        <v>4742</v>
      </c>
      <c r="F943" s="4">
        <v>40000000</v>
      </c>
      <c r="G943" s="4">
        <v>8435</v>
      </c>
      <c r="H943" s="1">
        <v>5</v>
      </c>
      <c r="I943" s="1">
        <v>3</v>
      </c>
      <c r="J943" s="1">
        <v>26</v>
      </c>
      <c r="K943" s="1" t="s">
        <v>28</v>
      </c>
      <c r="L943" s="1" t="s">
        <v>1923</v>
      </c>
      <c r="M943" s="1">
        <v>5</v>
      </c>
      <c r="N943" s="1">
        <v>7</v>
      </c>
      <c r="O943" s="1">
        <v>165341</v>
      </c>
      <c r="P943" s="1">
        <v>4.96</v>
      </c>
      <c r="Q943" s="1" t="s">
        <v>14</v>
      </c>
      <c r="R943" s="3">
        <v>0.498</v>
      </c>
      <c r="S943" s="2">
        <v>46148</v>
      </c>
      <c r="T943" s="1">
        <v>107</v>
      </c>
      <c r="U943" s="1" t="s">
        <v>7</v>
      </c>
      <c r="V943" s="1">
        <v>137</v>
      </c>
      <c r="W943" s="1" t="b">
        <v>0</v>
      </c>
      <c r="X943" s="1" t="b">
        <v>1</v>
      </c>
      <c r="Y943" s="1">
        <v>80000</v>
      </c>
    </row>
    <row r="944" spans="1:25" x14ac:dyDescent="0.35">
      <c r="A944" s="1" t="s">
        <v>1924</v>
      </c>
      <c r="B944" s="1" t="s">
        <v>54</v>
      </c>
      <c r="C944" s="1" t="s">
        <v>104</v>
      </c>
      <c r="D944" s="1" t="s">
        <v>20</v>
      </c>
      <c r="E944" s="1">
        <v>4270</v>
      </c>
      <c r="F944" s="4">
        <v>40000000</v>
      </c>
      <c r="G944" s="4">
        <v>9367</v>
      </c>
      <c r="H944" s="1">
        <v>4</v>
      </c>
      <c r="I944" s="1">
        <v>3</v>
      </c>
      <c r="J944" s="1">
        <v>3</v>
      </c>
      <c r="K944" s="1" t="s">
        <v>28</v>
      </c>
      <c r="L944" s="1" t="s">
        <v>1925</v>
      </c>
      <c r="M944" s="1">
        <v>7</v>
      </c>
      <c r="N944" s="1">
        <v>9</v>
      </c>
      <c r="O944" s="1">
        <v>126808</v>
      </c>
      <c r="P944" s="1">
        <v>3.8</v>
      </c>
      <c r="Q944" s="1" t="s">
        <v>14</v>
      </c>
      <c r="R944" s="3">
        <v>0.44020000000000004</v>
      </c>
      <c r="S944" s="2">
        <v>45445</v>
      </c>
      <c r="T944" s="1">
        <v>292</v>
      </c>
      <c r="U944" s="1" t="s">
        <v>30</v>
      </c>
      <c r="V944" s="1">
        <v>30</v>
      </c>
      <c r="W944" s="1" t="b">
        <v>1</v>
      </c>
      <c r="X944" s="1" t="b">
        <v>1</v>
      </c>
      <c r="Y944" s="1">
        <v>0</v>
      </c>
    </row>
    <row r="945" spans="1:25" x14ac:dyDescent="0.35">
      <c r="A945" s="1" t="s">
        <v>1926</v>
      </c>
      <c r="B945" s="1" t="s">
        <v>32</v>
      </c>
      <c r="C945" s="1" t="s">
        <v>67</v>
      </c>
      <c r="D945" s="1" t="s">
        <v>11</v>
      </c>
      <c r="E945" s="1">
        <v>388</v>
      </c>
      <c r="F945" s="4">
        <v>12000000</v>
      </c>
      <c r="G945" s="4">
        <v>30927</v>
      </c>
      <c r="H945" s="1">
        <v>1</v>
      </c>
      <c r="I945" s="1">
        <v>2</v>
      </c>
      <c r="J945" s="1">
        <v>3</v>
      </c>
      <c r="K945" s="1" t="s">
        <v>4</v>
      </c>
      <c r="L945" s="1" t="s">
        <v>1927</v>
      </c>
      <c r="M945" s="1">
        <v>8</v>
      </c>
      <c r="N945" s="1">
        <v>4</v>
      </c>
      <c r="O945" s="1">
        <v>49356</v>
      </c>
      <c r="P945" s="1">
        <v>4.9400000000000004</v>
      </c>
      <c r="Q945" s="1" t="s">
        <v>6</v>
      </c>
      <c r="R945" s="3">
        <v>0.49680000000000002</v>
      </c>
      <c r="S945" s="2">
        <v>45590</v>
      </c>
      <c r="T945" s="1">
        <v>197</v>
      </c>
      <c r="U945" s="1" t="s">
        <v>23</v>
      </c>
      <c r="V945" s="1">
        <v>57</v>
      </c>
      <c r="W945" s="1" t="b">
        <v>0</v>
      </c>
      <c r="X945" s="1" t="b">
        <v>1</v>
      </c>
      <c r="Y945" s="1">
        <v>24000</v>
      </c>
    </row>
    <row r="946" spans="1:25" x14ac:dyDescent="0.35">
      <c r="A946" s="1" t="s">
        <v>1928</v>
      </c>
      <c r="B946" s="1" t="s">
        <v>54</v>
      </c>
      <c r="C946" s="1" t="s">
        <v>55</v>
      </c>
      <c r="D946" s="1" t="s">
        <v>38</v>
      </c>
      <c r="E946" s="1">
        <v>7127</v>
      </c>
      <c r="F946" s="4">
        <v>40000000</v>
      </c>
      <c r="G946" s="4">
        <v>5612</v>
      </c>
      <c r="H946" s="1">
        <v>6</v>
      </c>
      <c r="I946" s="1">
        <v>3</v>
      </c>
      <c r="J946" s="1">
        <v>16</v>
      </c>
      <c r="K946" s="1" t="s">
        <v>4</v>
      </c>
      <c r="L946" s="1" t="s">
        <v>1929</v>
      </c>
      <c r="M946" s="1">
        <v>6</v>
      </c>
      <c r="N946" s="1">
        <v>7</v>
      </c>
      <c r="O946" s="1">
        <v>114296</v>
      </c>
      <c r="P946" s="1">
        <v>3.43</v>
      </c>
      <c r="Q946" s="1" t="s">
        <v>14</v>
      </c>
      <c r="R946" s="3">
        <v>0.4214</v>
      </c>
      <c r="S946" s="2">
        <v>45866</v>
      </c>
      <c r="T946" s="1">
        <v>129</v>
      </c>
      <c r="U946" s="1" t="s">
        <v>30</v>
      </c>
      <c r="V946" s="1">
        <v>33</v>
      </c>
      <c r="W946" s="1" t="b">
        <v>1</v>
      </c>
      <c r="X946" s="1" t="b">
        <v>1</v>
      </c>
      <c r="Y946" s="1">
        <v>80000</v>
      </c>
    </row>
    <row r="947" spans="1:25" x14ac:dyDescent="0.35">
      <c r="A947" s="1" t="s">
        <v>1930</v>
      </c>
      <c r="B947" s="1" t="s">
        <v>32</v>
      </c>
      <c r="C947" s="1" t="s">
        <v>33</v>
      </c>
      <c r="D947" s="1" t="s">
        <v>38</v>
      </c>
      <c r="E947" s="1">
        <v>3923</v>
      </c>
      <c r="F947" s="4">
        <v>12000000</v>
      </c>
      <c r="G947" s="4">
        <v>3058</v>
      </c>
      <c r="H947" s="1">
        <v>5</v>
      </c>
      <c r="I947" s="1">
        <v>2</v>
      </c>
      <c r="J947" s="1">
        <v>16</v>
      </c>
      <c r="K947" s="1" t="s">
        <v>34</v>
      </c>
      <c r="L947" s="1" t="s">
        <v>1931</v>
      </c>
      <c r="M947" s="1">
        <v>8</v>
      </c>
      <c r="N947" s="1">
        <v>10</v>
      </c>
      <c r="O947" s="1">
        <v>49397</v>
      </c>
      <c r="P947" s="1">
        <v>4.9400000000000004</v>
      </c>
      <c r="Q947" s="1" t="s">
        <v>6</v>
      </c>
      <c r="R947" s="3">
        <v>0.49700000000000005</v>
      </c>
      <c r="S947" s="2">
        <v>45888</v>
      </c>
      <c r="T947" s="1">
        <v>120</v>
      </c>
      <c r="U947" s="1" t="s">
        <v>7</v>
      </c>
      <c r="V947" s="1">
        <v>73</v>
      </c>
      <c r="W947" s="1" t="b">
        <v>1</v>
      </c>
      <c r="X947" s="1" t="b">
        <v>1</v>
      </c>
      <c r="Y947" s="1">
        <v>0</v>
      </c>
    </row>
    <row r="948" spans="1:25" x14ac:dyDescent="0.35">
      <c r="A948" s="1" t="s">
        <v>1932</v>
      </c>
      <c r="B948" s="1" t="s">
        <v>18</v>
      </c>
      <c r="C948" s="1" t="s">
        <v>19</v>
      </c>
      <c r="D948" s="1" t="s">
        <v>27</v>
      </c>
      <c r="E948" s="1">
        <v>2059</v>
      </c>
      <c r="F948" s="4">
        <v>15000000</v>
      </c>
      <c r="G948" s="4">
        <v>7285</v>
      </c>
      <c r="H948" s="1">
        <v>5</v>
      </c>
      <c r="I948" s="1">
        <v>3</v>
      </c>
      <c r="J948" s="1">
        <v>2</v>
      </c>
      <c r="K948" s="1" t="s">
        <v>58</v>
      </c>
      <c r="L948" s="1" t="s">
        <v>1933</v>
      </c>
      <c r="M948" s="1">
        <v>3</v>
      </c>
      <c r="N948" s="1">
        <v>5</v>
      </c>
      <c r="O948" s="1">
        <v>41489</v>
      </c>
      <c r="P948" s="1">
        <v>3.32</v>
      </c>
      <c r="Q948" s="1" t="s">
        <v>6</v>
      </c>
      <c r="R948" s="3">
        <v>0.41600000000000004</v>
      </c>
      <c r="S948" s="2">
        <v>45776</v>
      </c>
      <c r="T948" s="1">
        <v>330</v>
      </c>
      <c r="U948" s="1" t="s">
        <v>23</v>
      </c>
      <c r="V948" s="1">
        <v>171</v>
      </c>
      <c r="W948" s="1" t="b">
        <v>1</v>
      </c>
      <c r="X948" s="1" t="b">
        <v>1</v>
      </c>
      <c r="Y948" s="1">
        <v>0</v>
      </c>
    </row>
    <row r="949" spans="1:25" x14ac:dyDescent="0.35">
      <c r="A949" s="1" t="s">
        <v>1934</v>
      </c>
      <c r="B949" s="1" t="s">
        <v>1</v>
      </c>
      <c r="C949" s="1" t="s">
        <v>51</v>
      </c>
      <c r="D949" s="1" t="s">
        <v>20</v>
      </c>
      <c r="E949" s="1">
        <v>1904</v>
      </c>
      <c r="F949" s="4">
        <v>10000000</v>
      </c>
      <c r="G949" s="4">
        <v>5252</v>
      </c>
      <c r="H949" s="1">
        <v>3</v>
      </c>
      <c r="I949" s="1">
        <v>1</v>
      </c>
      <c r="J949" s="1">
        <v>24</v>
      </c>
      <c r="K949" s="1" t="s">
        <v>42</v>
      </c>
      <c r="L949" s="1" t="s">
        <v>1935</v>
      </c>
      <c r="M949" s="1">
        <v>5</v>
      </c>
      <c r="N949" s="1">
        <v>8</v>
      </c>
      <c r="O949" s="1">
        <v>31496</v>
      </c>
      <c r="P949" s="1">
        <v>3.78</v>
      </c>
      <c r="Q949" s="1" t="s">
        <v>6</v>
      </c>
      <c r="R949" s="3">
        <v>0.439</v>
      </c>
      <c r="S949" s="2">
        <v>45895</v>
      </c>
      <c r="T949" s="1">
        <v>105</v>
      </c>
      <c r="U949" s="1" t="s">
        <v>23</v>
      </c>
      <c r="V949" s="1">
        <v>134</v>
      </c>
      <c r="W949" s="1" t="b">
        <v>1</v>
      </c>
      <c r="X949" s="1" t="b">
        <v>1</v>
      </c>
      <c r="Y949" s="1">
        <v>0</v>
      </c>
    </row>
    <row r="950" spans="1:25" x14ac:dyDescent="0.35">
      <c r="A950" s="1" t="s">
        <v>1936</v>
      </c>
      <c r="B950" s="1" t="s">
        <v>9</v>
      </c>
      <c r="C950" s="1" t="s">
        <v>114</v>
      </c>
      <c r="D950" s="1" t="s">
        <v>20</v>
      </c>
      <c r="E950" s="1">
        <v>4749</v>
      </c>
      <c r="F950" s="4">
        <v>50000000</v>
      </c>
      <c r="G950" s="4">
        <v>10528</v>
      </c>
      <c r="H950" s="1">
        <v>3</v>
      </c>
      <c r="I950" s="1">
        <v>1</v>
      </c>
      <c r="J950" s="1">
        <v>9</v>
      </c>
      <c r="K950" s="1" t="s">
        <v>21</v>
      </c>
      <c r="L950" s="1" t="s">
        <v>909</v>
      </c>
      <c r="M950" s="1">
        <v>3</v>
      </c>
      <c r="N950" s="1">
        <v>5</v>
      </c>
      <c r="O950" s="1">
        <v>169464</v>
      </c>
      <c r="P950" s="1">
        <v>4.07</v>
      </c>
      <c r="Q950" s="1" t="s">
        <v>14</v>
      </c>
      <c r="R950" s="3">
        <v>0.45340000000000003</v>
      </c>
      <c r="S950" s="2">
        <v>45520</v>
      </c>
      <c r="T950" s="1">
        <v>196</v>
      </c>
      <c r="U950" s="1" t="s">
        <v>7</v>
      </c>
      <c r="V950" s="1">
        <v>108</v>
      </c>
      <c r="W950" s="1" t="b">
        <v>0</v>
      </c>
      <c r="X950" s="1" t="b">
        <v>1</v>
      </c>
      <c r="Y950" s="1">
        <v>0</v>
      </c>
    </row>
    <row r="951" spans="1:25" x14ac:dyDescent="0.35">
      <c r="A951" s="1" t="s">
        <v>1937</v>
      </c>
      <c r="B951" s="1" t="s">
        <v>25</v>
      </c>
      <c r="C951" s="1" t="s">
        <v>314</v>
      </c>
      <c r="D951" s="1" t="s">
        <v>11</v>
      </c>
      <c r="E951" s="1">
        <v>256</v>
      </c>
      <c r="F951" s="4">
        <v>23750654</v>
      </c>
      <c r="G951" s="4">
        <v>92775</v>
      </c>
      <c r="H951" s="1">
        <v>0</v>
      </c>
      <c r="I951" s="1">
        <v>2</v>
      </c>
      <c r="J951" s="1">
        <v>14</v>
      </c>
      <c r="K951" s="1" t="s">
        <v>21</v>
      </c>
      <c r="L951" s="1" t="s">
        <v>1938</v>
      </c>
      <c r="M951" s="1">
        <v>8</v>
      </c>
      <c r="N951" s="1">
        <v>6</v>
      </c>
      <c r="O951" s="1">
        <v>75768</v>
      </c>
      <c r="P951" s="1">
        <v>3.83</v>
      </c>
      <c r="Q951" s="1" t="s">
        <v>14</v>
      </c>
      <c r="R951" s="3">
        <v>0.44140000000000001</v>
      </c>
      <c r="S951" s="2">
        <v>46018</v>
      </c>
      <c r="T951" s="1">
        <v>210</v>
      </c>
      <c r="U951" s="1" t="s">
        <v>7</v>
      </c>
      <c r="V951" s="1">
        <v>80</v>
      </c>
      <c r="W951" s="1" t="b">
        <v>1</v>
      </c>
      <c r="X951" s="1" t="b">
        <v>1</v>
      </c>
      <c r="Y951" s="1">
        <v>0</v>
      </c>
    </row>
    <row r="952" spans="1:25" x14ac:dyDescent="0.35">
      <c r="A952" s="1" t="s">
        <v>1939</v>
      </c>
      <c r="B952" s="1" t="s">
        <v>18</v>
      </c>
      <c r="C952" s="1" t="s">
        <v>19</v>
      </c>
      <c r="D952" s="1" t="s">
        <v>38</v>
      </c>
      <c r="E952" s="1">
        <v>5564</v>
      </c>
      <c r="F952" s="4">
        <v>15000000</v>
      </c>
      <c r="G952" s="4">
        <v>2695</v>
      </c>
      <c r="H952" s="1">
        <v>4</v>
      </c>
      <c r="I952" s="1">
        <v>2</v>
      </c>
      <c r="J952" s="1">
        <v>3</v>
      </c>
      <c r="K952" s="1" t="s">
        <v>28</v>
      </c>
      <c r="L952" s="1" t="s">
        <v>1940</v>
      </c>
      <c r="M952" s="1">
        <v>6</v>
      </c>
      <c r="N952" s="1">
        <v>10</v>
      </c>
      <c r="O952" s="1">
        <v>42904</v>
      </c>
      <c r="P952" s="1">
        <v>3.43</v>
      </c>
      <c r="Q952" s="1" t="s">
        <v>6</v>
      </c>
      <c r="R952" s="3">
        <v>0.42159999999999997</v>
      </c>
      <c r="S952" s="2">
        <v>45684</v>
      </c>
      <c r="T952" s="1">
        <v>336</v>
      </c>
      <c r="U952" s="1" t="s">
        <v>7</v>
      </c>
      <c r="V952" s="1">
        <v>38</v>
      </c>
      <c r="W952" s="1" t="b">
        <v>0</v>
      </c>
      <c r="X952" s="1" t="b">
        <v>1</v>
      </c>
      <c r="Y952" s="1">
        <v>30000</v>
      </c>
    </row>
    <row r="953" spans="1:25" x14ac:dyDescent="0.35">
      <c r="A953" s="1" t="s">
        <v>1941</v>
      </c>
      <c r="B953" s="1" t="s">
        <v>9</v>
      </c>
      <c r="C953" s="1" t="s">
        <v>189</v>
      </c>
      <c r="D953" s="1" t="s">
        <v>27</v>
      </c>
      <c r="E953" s="1">
        <v>6428</v>
      </c>
      <c r="F953" s="4">
        <v>50000000</v>
      </c>
      <c r="G953" s="4">
        <v>7778</v>
      </c>
      <c r="H953" s="1">
        <v>6</v>
      </c>
      <c r="I953" s="1">
        <v>3</v>
      </c>
      <c r="J953" s="1">
        <v>23</v>
      </c>
      <c r="K953" s="1" t="s">
        <v>28</v>
      </c>
      <c r="L953" s="1" t="s">
        <v>1942</v>
      </c>
      <c r="M953" s="1">
        <v>7</v>
      </c>
      <c r="N953" s="1">
        <v>9</v>
      </c>
      <c r="O953" s="1">
        <v>146157</v>
      </c>
      <c r="P953" s="1">
        <v>3.51</v>
      </c>
      <c r="Q953" s="1" t="s">
        <v>14</v>
      </c>
      <c r="R953" s="3">
        <v>0.4254</v>
      </c>
      <c r="S953" s="2">
        <v>45430</v>
      </c>
      <c r="T953" s="1">
        <v>58</v>
      </c>
      <c r="U953" s="1" t="s">
        <v>30</v>
      </c>
      <c r="V953" s="1">
        <v>134</v>
      </c>
      <c r="W953" s="1" t="b">
        <v>0</v>
      </c>
      <c r="X953" s="1" t="b">
        <v>1</v>
      </c>
      <c r="Y953" s="1">
        <v>100000</v>
      </c>
    </row>
    <row r="954" spans="1:25" x14ac:dyDescent="0.35">
      <c r="A954" s="1" t="s">
        <v>1943</v>
      </c>
      <c r="B954" s="1" t="s">
        <v>32</v>
      </c>
      <c r="C954" s="1" t="s">
        <v>33</v>
      </c>
      <c r="D954" s="1" t="s">
        <v>11</v>
      </c>
      <c r="E954" s="1">
        <v>253</v>
      </c>
      <c r="F954" s="4">
        <v>12000000</v>
      </c>
      <c r="G954" s="4">
        <v>47430</v>
      </c>
      <c r="H954" s="1">
        <v>1</v>
      </c>
      <c r="I954" s="1">
        <v>2</v>
      </c>
      <c r="J954" s="1">
        <v>9</v>
      </c>
      <c r="K954" s="1" t="s">
        <v>4</v>
      </c>
      <c r="L954" s="1" t="s">
        <v>1944</v>
      </c>
      <c r="M954" s="1">
        <v>4</v>
      </c>
      <c r="N954" s="1">
        <v>5</v>
      </c>
      <c r="O954" s="1">
        <v>35862</v>
      </c>
      <c r="P954" s="1">
        <v>3.59</v>
      </c>
      <c r="Q954" s="1" t="s">
        <v>6</v>
      </c>
      <c r="R954" s="3">
        <v>0.42930000000000001</v>
      </c>
      <c r="S954" s="2">
        <v>46022</v>
      </c>
      <c r="T954" s="1">
        <v>332</v>
      </c>
      <c r="U954" s="1" t="s">
        <v>7</v>
      </c>
      <c r="V954" s="1">
        <v>53</v>
      </c>
      <c r="W954" s="1" t="b">
        <v>0</v>
      </c>
      <c r="X954" s="1" t="b">
        <v>1</v>
      </c>
      <c r="Y954" s="1">
        <v>24000</v>
      </c>
    </row>
    <row r="955" spans="1:25" x14ac:dyDescent="0.35">
      <c r="A955" s="1" t="s">
        <v>1945</v>
      </c>
      <c r="B955" s="1" t="s">
        <v>54</v>
      </c>
      <c r="C955" s="1" t="s">
        <v>55</v>
      </c>
      <c r="D955" s="1" t="s">
        <v>27</v>
      </c>
      <c r="E955" s="1">
        <v>6814</v>
      </c>
      <c r="F955" s="4">
        <v>40000000</v>
      </c>
      <c r="G955" s="4">
        <v>5870</v>
      </c>
      <c r="H955" s="1">
        <v>5</v>
      </c>
      <c r="I955" s="1">
        <v>2</v>
      </c>
      <c r="J955" s="1">
        <v>4</v>
      </c>
      <c r="K955" s="1" t="s">
        <v>28</v>
      </c>
      <c r="L955" s="1" t="s">
        <v>1946</v>
      </c>
      <c r="M955" s="1">
        <v>8</v>
      </c>
      <c r="N955" s="1">
        <v>6</v>
      </c>
      <c r="O955" s="1">
        <v>112175</v>
      </c>
      <c r="P955" s="1">
        <v>3.37</v>
      </c>
      <c r="Q955" s="1" t="s">
        <v>14</v>
      </c>
      <c r="R955" s="3">
        <v>0.41830000000000001</v>
      </c>
      <c r="S955" s="2">
        <v>45500</v>
      </c>
      <c r="T955" s="1">
        <v>116</v>
      </c>
      <c r="U955" s="1" t="s">
        <v>30</v>
      </c>
      <c r="V955" s="1">
        <v>54</v>
      </c>
      <c r="W955" s="1" t="b">
        <v>1</v>
      </c>
      <c r="X955" s="1" t="b">
        <v>0</v>
      </c>
      <c r="Y955" s="1">
        <v>0</v>
      </c>
    </row>
    <row r="956" spans="1:25" x14ac:dyDescent="0.35">
      <c r="A956" s="1" t="s">
        <v>1947</v>
      </c>
      <c r="B956" s="1" t="s">
        <v>9</v>
      </c>
      <c r="C956" s="1" t="s">
        <v>142</v>
      </c>
      <c r="D956" s="1" t="s">
        <v>11</v>
      </c>
      <c r="E956" s="1">
        <v>558</v>
      </c>
      <c r="F956" s="4">
        <v>50000000</v>
      </c>
      <c r="G956" s="4">
        <v>89605</v>
      </c>
      <c r="H956" s="1">
        <v>1</v>
      </c>
      <c r="I956" s="1">
        <v>1</v>
      </c>
      <c r="J956" s="1">
        <v>21</v>
      </c>
      <c r="K956" s="1" t="s">
        <v>12</v>
      </c>
      <c r="L956" s="1" t="s">
        <v>1948</v>
      </c>
      <c r="M956" s="1">
        <v>4</v>
      </c>
      <c r="N956" s="1">
        <v>9</v>
      </c>
      <c r="O956" s="1">
        <v>128087</v>
      </c>
      <c r="P956" s="1">
        <v>3.07</v>
      </c>
      <c r="Q956" s="1" t="s">
        <v>14</v>
      </c>
      <c r="R956" s="3">
        <v>0.40369999999999995</v>
      </c>
      <c r="S956" s="2">
        <v>46048</v>
      </c>
      <c r="T956" s="1">
        <v>164</v>
      </c>
      <c r="U956" s="1" t="s">
        <v>7</v>
      </c>
      <c r="V956" s="1">
        <v>58</v>
      </c>
      <c r="W956" s="1" t="b">
        <v>1</v>
      </c>
      <c r="X956" s="1" t="b">
        <v>1</v>
      </c>
      <c r="Y956" s="1">
        <v>0</v>
      </c>
    </row>
    <row r="957" spans="1:25" x14ac:dyDescent="0.35">
      <c r="A957" s="1" t="s">
        <v>1949</v>
      </c>
      <c r="B957" s="1" t="s">
        <v>32</v>
      </c>
      <c r="C957" s="1" t="s">
        <v>197</v>
      </c>
      <c r="D957" s="1" t="s">
        <v>20</v>
      </c>
      <c r="E957" s="1">
        <v>4500</v>
      </c>
      <c r="F957" s="4">
        <v>12000000</v>
      </c>
      <c r="G957" s="4">
        <v>2666</v>
      </c>
      <c r="H957" s="1">
        <v>5</v>
      </c>
      <c r="I957" s="1">
        <v>3</v>
      </c>
      <c r="J957" s="1">
        <v>15</v>
      </c>
      <c r="K957" s="1" t="s">
        <v>28</v>
      </c>
      <c r="L957" s="1" t="s">
        <v>1950</v>
      </c>
      <c r="M957" s="1">
        <v>7</v>
      </c>
      <c r="N957" s="1">
        <v>6</v>
      </c>
      <c r="O957" s="1">
        <v>40003</v>
      </c>
      <c r="P957" s="1">
        <v>4</v>
      </c>
      <c r="Q957" s="1" t="s">
        <v>6</v>
      </c>
      <c r="R957" s="3">
        <v>0.45</v>
      </c>
      <c r="S957" s="2">
        <v>45881</v>
      </c>
      <c r="T957" s="1">
        <v>262</v>
      </c>
      <c r="U957" s="1" t="s">
        <v>7</v>
      </c>
      <c r="V957" s="1">
        <v>36</v>
      </c>
      <c r="W957" s="1" t="b">
        <v>1</v>
      </c>
      <c r="X957" s="1" t="b">
        <v>0</v>
      </c>
      <c r="Y957" s="1">
        <v>24000</v>
      </c>
    </row>
    <row r="958" spans="1:25" x14ac:dyDescent="0.35">
      <c r="A958" s="1" t="s">
        <v>1951</v>
      </c>
      <c r="B958" s="1" t="s">
        <v>32</v>
      </c>
      <c r="C958" s="1" t="s">
        <v>33</v>
      </c>
      <c r="D958" s="1" t="s">
        <v>38</v>
      </c>
      <c r="E958" s="1">
        <v>3266</v>
      </c>
      <c r="F958" s="4">
        <v>12000000</v>
      </c>
      <c r="G958" s="4">
        <v>3674</v>
      </c>
      <c r="H958" s="1">
        <v>5</v>
      </c>
      <c r="I958" s="1">
        <v>3</v>
      </c>
      <c r="J958" s="1">
        <v>19</v>
      </c>
      <c r="K958" s="1" t="s">
        <v>4</v>
      </c>
      <c r="L958" s="1" t="s">
        <v>1952</v>
      </c>
      <c r="M958" s="1">
        <v>7</v>
      </c>
      <c r="N958" s="1">
        <v>5</v>
      </c>
      <c r="O958" s="1">
        <v>49238</v>
      </c>
      <c r="P958" s="1">
        <v>4.92</v>
      </c>
      <c r="Q958" s="1" t="s">
        <v>6</v>
      </c>
      <c r="R958" s="3">
        <v>0.49619999999999997</v>
      </c>
      <c r="S958" s="2">
        <v>45516</v>
      </c>
      <c r="T958" s="1">
        <v>118</v>
      </c>
      <c r="U958" s="1" t="s">
        <v>7</v>
      </c>
      <c r="V958" s="1">
        <v>113</v>
      </c>
      <c r="W958" s="1" t="b">
        <v>0</v>
      </c>
      <c r="X958" s="1" t="b">
        <v>0</v>
      </c>
      <c r="Y958" s="1">
        <v>0</v>
      </c>
    </row>
    <row r="959" spans="1:25" x14ac:dyDescent="0.35">
      <c r="A959" s="1" t="s">
        <v>1953</v>
      </c>
      <c r="B959" s="1" t="s">
        <v>54</v>
      </c>
      <c r="C959" s="1" t="s">
        <v>89</v>
      </c>
      <c r="D959" s="1" t="s">
        <v>3</v>
      </c>
      <c r="E959" s="1">
        <v>2465</v>
      </c>
      <c r="F959" s="4">
        <v>40000000</v>
      </c>
      <c r="G959" s="4">
        <v>16227</v>
      </c>
      <c r="H959" s="1">
        <v>2</v>
      </c>
      <c r="I959" s="1">
        <v>1</v>
      </c>
      <c r="J959" s="1">
        <v>7</v>
      </c>
      <c r="K959" s="1" t="s">
        <v>28</v>
      </c>
      <c r="L959" s="1" t="s">
        <v>1954</v>
      </c>
      <c r="M959" s="1">
        <v>7</v>
      </c>
      <c r="N959" s="1">
        <v>7</v>
      </c>
      <c r="O959" s="1">
        <v>166524</v>
      </c>
      <c r="P959" s="1">
        <v>5</v>
      </c>
      <c r="Q959" s="1" t="s">
        <v>14</v>
      </c>
      <c r="R959" s="3">
        <v>0.49979999999999997</v>
      </c>
      <c r="S959" s="2">
        <v>45952</v>
      </c>
      <c r="T959" s="1">
        <v>8</v>
      </c>
      <c r="U959" s="1" t="s">
        <v>30</v>
      </c>
      <c r="V959" s="1">
        <v>67</v>
      </c>
      <c r="W959" s="1" t="b">
        <v>0</v>
      </c>
      <c r="X959" s="1" t="b">
        <v>0</v>
      </c>
      <c r="Y959" s="1">
        <v>80000</v>
      </c>
    </row>
    <row r="960" spans="1:25" x14ac:dyDescent="0.35">
      <c r="A960" s="1" t="s">
        <v>1955</v>
      </c>
      <c r="B960" s="1" t="s">
        <v>25</v>
      </c>
      <c r="C960" s="1" t="s">
        <v>82</v>
      </c>
      <c r="D960" s="1" t="s">
        <v>3</v>
      </c>
      <c r="E960" s="1">
        <v>649</v>
      </c>
      <c r="F960" s="4">
        <v>30000000</v>
      </c>
      <c r="G960" s="4">
        <v>46224</v>
      </c>
      <c r="H960" s="1">
        <v>1</v>
      </c>
      <c r="I960" s="1">
        <v>1</v>
      </c>
      <c r="J960" s="1">
        <v>17</v>
      </c>
      <c r="K960" s="1" t="s">
        <v>4</v>
      </c>
      <c r="L960" s="1" t="s">
        <v>1956</v>
      </c>
      <c r="M960" s="1">
        <v>7</v>
      </c>
      <c r="N960" s="1">
        <v>8</v>
      </c>
      <c r="O960" s="1">
        <v>105609</v>
      </c>
      <c r="P960" s="1">
        <v>4.22</v>
      </c>
      <c r="Q960" s="1" t="s">
        <v>14</v>
      </c>
      <c r="R960" s="3">
        <v>0.4612</v>
      </c>
      <c r="S960" s="2">
        <v>46153</v>
      </c>
      <c r="T960" s="1">
        <v>47</v>
      </c>
      <c r="U960" s="1" t="s">
        <v>7</v>
      </c>
      <c r="V960" s="1">
        <v>175</v>
      </c>
      <c r="W960" s="1" t="b">
        <v>1</v>
      </c>
      <c r="X960" s="1" t="b">
        <v>0</v>
      </c>
      <c r="Y960" s="1">
        <v>60000</v>
      </c>
    </row>
    <row r="961" spans="1:25" x14ac:dyDescent="0.35">
      <c r="A961" s="1" t="s">
        <v>1957</v>
      </c>
      <c r="B961" s="1" t="s">
        <v>18</v>
      </c>
      <c r="C961" s="1" t="s">
        <v>169</v>
      </c>
      <c r="D961" s="1" t="s">
        <v>3</v>
      </c>
      <c r="E961" s="1">
        <v>2774</v>
      </c>
      <c r="F961" s="4">
        <v>15000000</v>
      </c>
      <c r="G961" s="4">
        <v>5407</v>
      </c>
      <c r="H961" s="1">
        <v>1</v>
      </c>
      <c r="I961" s="1">
        <v>2</v>
      </c>
      <c r="J961" s="1">
        <v>18</v>
      </c>
      <c r="K961" s="1" t="s">
        <v>42</v>
      </c>
      <c r="L961" s="1" t="s">
        <v>1958</v>
      </c>
      <c r="M961" s="1">
        <v>8</v>
      </c>
      <c r="N961" s="1">
        <v>10</v>
      </c>
      <c r="O961" s="1">
        <v>52944</v>
      </c>
      <c r="P961" s="1">
        <v>4.24</v>
      </c>
      <c r="Q961" s="1" t="s">
        <v>6</v>
      </c>
      <c r="R961" s="3">
        <v>0.46179999999999999</v>
      </c>
      <c r="S961" s="2">
        <v>45759</v>
      </c>
      <c r="T961" s="1">
        <v>154</v>
      </c>
      <c r="U961" s="1" t="s">
        <v>7</v>
      </c>
      <c r="V961" s="1">
        <v>116</v>
      </c>
      <c r="W961" s="1" t="b">
        <v>1</v>
      </c>
      <c r="X961" s="1" t="b">
        <v>0</v>
      </c>
      <c r="Y961" s="1">
        <v>0</v>
      </c>
    </row>
    <row r="962" spans="1:25" x14ac:dyDescent="0.35">
      <c r="A962" s="1" t="s">
        <v>1959</v>
      </c>
      <c r="B962" s="1" t="s">
        <v>54</v>
      </c>
      <c r="C962" s="1" t="s">
        <v>89</v>
      </c>
      <c r="D962" s="1" t="s">
        <v>27</v>
      </c>
      <c r="E962" s="1">
        <v>2332</v>
      </c>
      <c r="F962" s="4">
        <v>40000000</v>
      </c>
      <c r="G962" s="4">
        <v>17152</v>
      </c>
      <c r="H962" s="1">
        <v>3</v>
      </c>
      <c r="I962" s="1">
        <v>1</v>
      </c>
      <c r="J962" s="1">
        <v>29</v>
      </c>
      <c r="K962" s="1" t="s">
        <v>58</v>
      </c>
      <c r="L962" s="1" t="s">
        <v>1960</v>
      </c>
      <c r="M962" s="1">
        <v>7</v>
      </c>
      <c r="N962" s="1">
        <v>4</v>
      </c>
      <c r="O962" s="1">
        <v>148200</v>
      </c>
      <c r="P962" s="1">
        <v>4.45</v>
      </c>
      <c r="Q962" s="1" t="s">
        <v>14</v>
      </c>
      <c r="R962" s="3">
        <v>0.47229999999999994</v>
      </c>
      <c r="S962" s="2">
        <v>45906</v>
      </c>
      <c r="T962" s="1">
        <v>268</v>
      </c>
      <c r="U962" s="1" t="s">
        <v>23</v>
      </c>
      <c r="V962" s="1">
        <v>54</v>
      </c>
      <c r="W962" s="1" t="b">
        <v>1</v>
      </c>
      <c r="X962" s="1" t="b">
        <v>0</v>
      </c>
      <c r="Y962" s="1">
        <v>80000</v>
      </c>
    </row>
    <row r="963" spans="1:25" x14ac:dyDescent="0.35">
      <c r="A963" s="1" t="s">
        <v>1961</v>
      </c>
      <c r="B963" s="1" t="s">
        <v>1</v>
      </c>
      <c r="C963" s="1" t="s">
        <v>51</v>
      </c>
      <c r="D963" s="1" t="s">
        <v>38</v>
      </c>
      <c r="E963" s="1">
        <v>8290</v>
      </c>
      <c r="F963" s="4">
        <v>10000000</v>
      </c>
      <c r="G963" s="4">
        <v>1206</v>
      </c>
      <c r="H963" s="1">
        <v>5</v>
      </c>
      <c r="I963" s="1">
        <v>3</v>
      </c>
      <c r="J963" s="1">
        <v>10</v>
      </c>
      <c r="K963" s="1" t="s">
        <v>58</v>
      </c>
      <c r="L963" s="1" t="s">
        <v>1962</v>
      </c>
      <c r="M963" s="1">
        <v>7</v>
      </c>
      <c r="N963" s="1">
        <v>7</v>
      </c>
      <c r="O963" s="1">
        <v>30399</v>
      </c>
      <c r="P963" s="1">
        <v>3.65</v>
      </c>
      <c r="Q963" s="1" t="s">
        <v>6</v>
      </c>
      <c r="R963" s="3">
        <v>0.43240000000000001</v>
      </c>
      <c r="S963" s="2">
        <v>45912</v>
      </c>
      <c r="T963" s="1">
        <v>229</v>
      </c>
      <c r="U963" s="1" t="s">
        <v>7</v>
      </c>
      <c r="V963" s="1">
        <v>37</v>
      </c>
      <c r="W963" s="1" t="b">
        <v>0</v>
      </c>
      <c r="X963" s="1" t="b">
        <v>0</v>
      </c>
      <c r="Y963" s="1">
        <v>0</v>
      </c>
    </row>
    <row r="964" spans="1:25" x14ac:dyDescent="0.35">
      <c r="A964" s="1" t="s">
        <v>1963</v>
      </c>
      <c r="B964" s="1" t="s">
        <v>54</v>
      </c>
      <c r="C964" s="1" t="s">
        <v>79</v>
      </c>
      <c r="D964" s="1" t="s">
        <v>20</v>
      </c>
      <c r="E964" s="1">
        <v>3156</v>
      </c>
      <c r="F964" s="4">
        <v>40000000</v>
      </c>
      <c r="G964" s="4">
        <v>12674</v>
      </c>
      <c r="H964" s="1">
        <v>5</v>
      </c>
      <c r="I964" s="1">
        <v>3</v>
      </c>
      <c r="J964" s="1">
        <v>4</v>
      </c>
      <c r="K964" s="1" t="s">
        <v>58</v>
      </c>
      <c r="L964" s="1" t="s">
        <v>1964</v>
      </c>
      <c r="M964" s="1">
        <v>8</v>
      </c>
      <c r="N964" s="1">
        <v>8</v>
      </c>
      <c r="O964" s="1">
        <v>110147</v>
      </c>
      <c r="P964" s="1">
        <v>3.3</v>
      </c>
      <c r="Q964" s="1" t="s">
        <v>14</v>
      </c>
      <c r="R964" s="3">
        <v>0.41520000000000001</v>
      </c>
      <c r="S964" s="2">
        <v>46015</v>
      </c>
      <c r="T964" s="1">
        <v>306</v>
      </c>
      <c r="U964" s="1" t="s">
        <v>30</v>
      </c>
      <c r="V964" s="1">
        <v>144</v>
      </c>
      <c r="W964" s="1" t="b">
        <v>0</v>
      </c>
      <c r="X964" s="1" t="b">
        <v>1</v>
      </c>
      <c r="Y964" s="1">
        <v>80000</v>
      </c>
    </row>
    <row r="965" spans="1:25" x14ac:dyDescent="0.35">
      <c r="A965" s="1" t="s">
        <v>1965</v>
      </c>
      <c r="B965" s="1" t="s">
        <v>18</v>
      </c>
      <c r="C965" s="1" t="s">
        <v>217</v>
      </c>
      <c r="D965" s="1" t="s">
        <v>3</v>
      </c>
      <c r="E965" s="1">
        <v>2574</v>
      </c>
      <c r="F965" s="4">
        <v>15000000</v>
      </c>
      <c r="G965" s="4">
        <v>5827</v>
      </c>
      <c r="H965" s="1">
        <v>3</v>
      </c>
      <c r="I965" s="1">
        <v>1</v>
      </c>
      <c r="J965" s="1">
        <v>15</v>
      </c>
      <c r="K965" s="1" t="s">
        <v>4</v>
      </c>
      <c r="L965" s="1" t="s">
        <v>1966</v>
      </c>
      <c r="M965" s="1">
        <v>5</v>
      </c>
      <c r="N965" s="1">
        <v>7</v>
      </c>
      <c r="O965" s="1">
        <v>41494</v>
      </c>
      <c r="P965" s="1">
        <v>3.32</v>
      </c>
      <c r="Q965" s="1" t="s">
        <v>6</v>
      </c>
      <c r="R965" s="3">
        <v>0.41600000000000004</v>
      </c>
      <c r="S965" s="2">
        <v>45929</v>
      </c>
      <c r="T965" s="1">
        <v>5</v>
      </c>
      <c r="U965" s="1" t="s">
        <v>7</v>
      </c>
      <c r="V965" s="1">
        <v>34</v>
      </c>
      <c r="W965" s="1" t="b">
        <v>0</v>
      </c>
      <c r="X965" s="1" t="b">
        <v>1</v>
      </c>
      <c r="Y965" s="1">
        <v>30000</v>
      </c>
    </row>
    <row r="966" spans="1:25" x14ac:dyDescent="0.35">
      <c r="A966" s="1" t="s">
        <v>1967</v>
      </c>
      <c r="B966" s="1" t="s">
        <v>32</v>
      </c>
      <c r="C966" s="1" t="s">
        <v>33</v>
      </c>
      <c r="D966" s="1" t="s">
        <v>38</v>
      </c>
      <c r="E966" s="1">
        <v>4142</v>
      </c>
      <c r="F966" s="4">
        <v>12000000</v>
      </c>
      <c r="G966" s="4">
        <v>2897</v>
      </c>
      <c r="H966" s="1">
        <v>6</v>
      </c>
      <c r="I966" s="1">
        <v>4</v>
      </c>
      <c r="J966" s="1">
        <v>3</v>
      </c>
      <c r="K966" s="1" t="s">
        <v>28</v>
      </c>
      <c r="L966" s="1" t="s">
        <v>1968</v>
      </c>
      <c r="M966" s="1">
        <v>7</v>
      </c>
      <c r="N966" s="1">
        <v>4</v>
      </c>
      <c r="O966" s="1">
        <v>47325</v>
      </c>
      <c r="P966" s="1">
        <v>4.7300000000000004</v>
      </c>
      <c r="Q966" s="1" t="s">
        <v>6</v>
      </c>
      <c r="R966" s="3">
        <v>0.48659999999999998</v>
      </c>
      <c r="S966" s="2">
        <v>45749</v>
      </c>
      <c r="T966" s="1">
        <v>238</v>
      </c>
      <c r="U966" s="1" t="s">
        <v>7</v>
      </c>
      <c r="V966" s="1">
        <v>45</v>
      </c>
      <c r="W966" s="1" t="b">
        <v>1</v>
      </c>
      <c r="X966" s="1" t="b">
        <v>1</v>
      </c>
      <c r="Y966" s="1">
        <v>24000</v>
      </c>
    </row>
    <row r="967" spans="1:25" x14ac:dyDescent="0.35">
      <c r="A967" s="1" t="s">
        <v>1969</v>
      </c>
      <c r="B967" s="1" t="s">
        <v>54</v>
      </c>
      <c r="C967" s="1" t="s">
        <v>89</v>
      </c>
      <c r="D967" s="1" t="s">
        <v>11</v>
      </c>
      <c r="E967" s="1">
        <v>262</v>
      </c>
      <c r="F967" s="4">
        <v>24809565</v>
      </c>
      <c r="G967" s="4">
        <v>94692</v>
      </c>
      <c r="H967" s="1">
        <v>0</v>
      </c>
      <c r="I967" s="1">
        <v>1</v>
      </c>
      <c r="J967" s="1">
        <v>4</v>
      </c>
      <c r="K967" s="1" t="s">
        <v>61</v>
      </c>
      <c r="L967" s="1" t="s">
        <v>1970</v>
      </c>
      <c r="M967" s="1">
        <v>7</v>
      </c>
      <c r="N967" s="1">
        <v>9</v>
      </c>
      <c r="O967" s="1">
        <v>99406</v>
      </c>
      <c r="P967" s="1">
        <v>4.8099999999999996</v>
      </c>
      <c r="Q967" s="1" t="s">
        <v>14</v>
      </c>
      <c r="R967" s="3">
        <v>0.4904</v>
      </c>
      <c r="S967" s="2">
        <v>45575</v>
      </c>
      <c r="T967" s="1">
        <v>36</v>
      </c>
      <c r="U967" s="1" t="s">
        <v>30</v>
      </c>
      <c r="V967" s="1">
        <v>139</v>
      </c>
      <c r="W967" s="1" t="b">
        <v>0</v>
      </c>
      <c r="X967" s="1" t="b">
        <v>1</v>
      </c>
      <c r="Y967" s="1">
        <v>49619</v>
      </c>
    </row>
    <row r="968" spans="1:25" x14ac:dyDescent="0.35">
      <c r="A968" s="1" t="s">
        <v>1971</v>
      </c>
      <c r="B968" s="1" t="s">
        <v>9</v>
      </c>
      <c r="C968" s="1" t="s">
        <v>142</v>
      </c>
      <c r="D968" s="1" t="s">
        <v>20</v>
      </c>
      <c r="E968" s="1">
        <v>3680</v>
      </c>
      <c r="F968" s="4">
        <v>50000000</v>
      </c>
      <c r="G968" s="4">
        <v>13586</v>
      </c>
      <c r="H968" s="1">
        <v>4</v>
      </c>
      <c r="I968" s="1">
        <v>2</v>
      </c>
      <c r="J968" s="1">
        <v>15</v>
      </c>
      <c r="K968" s="1" t="s">
        <v>28</v>
      </c>
      <c r="L968" s="1" t="s">
        <v>1972</v>
      </c>
      <c r="M968" s="1">
        <v>8</v>
      </c>
      <c r="N968" s="1">
        <v>7</v>
      </c>
      <c r="O968" s="1">
        <v>150455</v>
      </c>
      <c r="P968" s="1">
        <v>3.61</v>
      </c>
      <c r="Q968" s="1" t="s">
        <v>14</v>
      </c>
      <c r="R968" s="3">
        <v>0.43049999999999999</v>
      </c>
      <c r="S968" s="2">
        <v>45975</v>
      </c>
      <c r="T968" s="1">
        <v>113</v>
      </c>
      <c r="U968" s="1" t="s">
        <v>23</v>
      </c>
      <c r="V968" s="1">
        <v>137</v>
      </c>
      <c r="W968" s="1" t="b">
        <v>0</v>
      </c>
      <c r="X968" s="1" t="b">
        <v>0</v>
      </c>
      <c r="Y968" s="1">
        <v>100000</v>
      </c>
    </row>
    <row r="969" spans="1:25" x14ac:dyDescent="0.35">
      <c r="A969" s="1" t="s">
        <v>1973</v>
      </c>
      <c r="B969" s="1" t="s">
        <v>9</v>
      </c>
      <c r="C969" s="1" t="s">
        <v>109</v>
      </c>
      <c r="D969" s="1" t="s">
        <v>3</v>
      </c>
      <c r="E969" s="1">
        <v>1763</v>
      </c>
      <c r="F969" s="4">
        <v>50000000</v>
      </c>
      <c r="G969" s="4">
        <v>28360</v>
      </c>
      <c r="H969" s="1">
        <v>2</v>
      </c>
      <c r="I969" s="1">
        <v>1</v>
      </c>
      <c r="J969" s="1">
        <v>11</v>
      </c>
      <c r="K969" s="1" t="s">
        <v>4</v>
      </c>
      <c r="L969" s="1" t="s">
        <v>1974</v>
      </c>
      <c r="M969" s="1">
        <v>6</v>
      </c>
      <c r="N969" s="1">
        <v>7</v>
      </c>
      <c r="O969" s="1">
        <v>205091</v>
      </c>
      <c r="P969" s="1">
        <v>4.92</v>
      </c>
      <c r="Q969" s="1" t="s">
        <v>14</v>
      </c>
      <c r="R969" s="3">
        <v>0.49609999999999999</v>
      </c>
      <c r="S969" s="2">
        <v>46071</v>
      </c>
      <c r="T969" s="1">
        <v>87</v>
      </c>
      <c r="U969" s="1" t="s">
        <v>7</v>
      </c>
      <c r="V969" s="1">
        <v>166</v>
      </c>
      <c r="W969" s="1" t="b">
        <v>1</v>
      </c>
      <c r="X969" s="1" t="b">
        <v>0</v>
      </c>
      <c r="Y969" s="1">
        <v>100000</v>
      </c>
    </row>
    <row r="970" spans="1:25" x14ac:dyDescent="0.35">
      <c r="A970" s="1" t="s">
        <v>1975</v>
      </c>
      <c r="B970" s="1" t="s">
        <v>1</v>
      </c>
      <c r="C970" s="1" t="s">
        <v>45</v>
      </c>
      <c r="D970" s="1" t="s">
        <v>27</v>
      </c>
      <c r="E970" s="1">
        <v>5758</v>
      </c>
      <c r="F970" s="4">
        <v>10000000</v>
      </c>
      <c r="G970" s="4">
        <v>1736</v>
      </c>
      <c r="H970" s="1">
        <v>4</v>
      </c>
      <c r="I970" s="1">
        <v>3</v>
      </c>
      <c r="J970" s="1">
        <v>14</v>
      </c>
      <c r="K970" s="1" t="s">
        <v>21</v>
      </c>
      <c r="L970" s="1" t="s">
        <v>1976</v>
      </c>
      <c r="M970" s="1">
        <v>3</v>
      </c>
      <c r="N970" s="1">
        <v>10</v>
      </c>
      <c r="O970" s="1">
        <v>40531</v>
      </c>
      <c r="P970" s="1">
        <v>4.8600000000000003</v>
      </c>
      <c r="Q970" s="1" t="s">
        <v>6</v>
      </c>
      <c r="R970" s="3">
        <v>0.49320000000000003</v>
      </c>
      <c r="S970" s="2">
        <v>45747</v>
      </c>
      <c r="T970" s="1">
        <v>142</v>
      </c>
      <c r="U970" s="1" t="s">
        <v>23</v>
      </c>
      <c r="V970" s="1">
        <v>63</v>
      </c>
      <c r="W970" s="1" t="b">
        <v>1</v>
      </c>
      <c r="X970" s="1" t="b">
        <v>0</v>
      </c>
      <c r="Y970" s="1">
        <v>0</v>
      </c>
    </row>
    <row r="971" spans="1:25" x14ac:dyDescent="0.35">
      <c r="A971" s="1" t="s">
        <v>1977</v>
      </c>
      <c r="B971" s="1" t="s">
        <v>32</v>
      </c>
      <c r="C971" s="1" t="s">
        <v>197</v>
      </c>
      <c r="D971" s="1" t="s">
        <v>38</v>
      </c>
      <c r="E971" s="1">
        <v>9916</v>
      </c>
      <c r="F971" s="4">
        <v>12000000</v>
      </c>
      <c r="G971" s="4">
        <v>1210</v>
      </c>
      <c r="H971" s="1">
        <v>5</v>
      </c>
      <c r="I971" s="1">
        <v>3</v>
      </c>
      <c r="J971" s="1">
        <v>15</v>
      </c>
      <c r="K971" s="1" t="s">
        <v>28</v>
      </c>
      <c r="L971" s="1" t="s">
        <v>1978</v>
      </c>
      <c r="M971" s="1">
        <v>6</v>
      </c>
      <c r="N971" s="1">
        <v>6</v>
      </c>
      <c r="O971" s="1">
        <v>49499</v>
      </c>
      <c r="P971" s="1">
        <v>4.95</v>
      </c>
      <c r="Q971" s="1" t="s">
        <v>6</v>
      </c>
      <c r="R971" s="3">
        <v>0.4975</v>
      </c>
      <c r="S971" s="2">
        <v>46045</v>
      </c>
      <c r="T971" s="1">
        <v>290</v>
      </c>
      <c r="U971" s="1" t="s">
        <v>30</v>
      </c>
      <c r="V971" s="1">
        <v>158</v>
      </c>
      <c r="W971" s="1" t="b">
        <v>0</v>
      </c>
      <c r="X971" s="1" t="b">
        <v>0</v>
      </c>
      <c r="Y971" s="1">
        <v>24000</v>
      </c>
    </row>
    <row r="972" spans="1:25" x14ac:dyDescent="0.35">
      <c r="A972" s="1" t="s">
        <v>1979</v>
      </c>
      <c r="B972" s="1" t="s">
        <v>25</v>
      </c>
      <c r="C972" s="1" t="s">
        <v>82</v>
      </c>
      <c r="D972" s="1" t="s">
        <v>20</v>
      </c>
      <c r="E972" s="1">
        <v>2613</v>
      </c>
      <c r="F972" s="4">
        <v>30000000</v>
      </c>
      <c r="G972" s="4">
        <v>11481</v>
      </c>
      <c r="H972" s="1">
        <v>3</v>
      </c>
      <c r="I972" s="1">
        <v>2</v>
      </c>
      <c r="J972" s="1">
        <v>1</v>
      </c>
      <c r="K972" s="1" t="s">
        <v>58</v>
      </c>
      <c r="L972" s="1" t="s">
        <v>1980</v>
      </c>
      <c r="M972" s="1">
        <v>5</v>
      </c>
      <c r="N972" s="1">
        <v>10</v>
      </c>
      <c r="O972" s="1">
        <v>106859</v>
      </c>
      <c r="P972" s="1">
        <v>4.2699999999999996</v>
      </c>
      <c r="Q972" s="1" t="s">
        <v>14</v>
      </c>
      <c r="R972" s="3">
        <v>0.4637</v>
      </c>
      <c r="S972" s="2">
        <v>45898</v>
      </c>
      <c r="T972" s="1">
        <v>84</v>
      </c>
      <c r="U972" s="1" t="s">
        <v>30</v>
      </c>
      <c r="V972" s="1">
        <v>121</v>
      </c>
      <c r="W972" s="1" t="b">
        <v>0</v>
      </c>
      <c r="X972" s="1" t="b">
        <v>0</v>
      </c>
      <c r="Y972" s="1">
        <v>60000</v>
      </c>
    </row>
    <row r="973" spans="1:25" x14ac:dyDescent="0.35">
      <c r="A973" s="1" t="s">
        <v>1981</v>
      </c>
      <c r="B973" s="1" t="s">
        <v>9</v>
      </c>
      <c r="C973" s="1" t="s">
        <v>114</v>
      </c>
      <c r="D973" s="1" t="s">
        <v>20</v>
      </c>
      <c r="E973" s="1">
        <v>4781</v>
      </c>
      <c r="F973" s="4">
        <v>50000000</v>
      </c>
      <c r="G973" s="4">
        <v>10458</v>
      </c>
      <c r="H973" s="1">
        <v>4</v>
      </c>
      <c r="I973" s="1">
        <v>2</v>
      </c>
      <c r="J973" s="1">
        <v>24</v>
      </c>
      <c r="K973" s="1" t="s">
        <v>58</v>
      </c>
      <c r="L973" s="1" t="s">
        <v>610</v>
      </c>
      <c r="M973" s="1">
        <v>3</v>
      </c>
      <c r="N973" s="1">
        <v>7</v>
      </c>
      <c r="O973" s="1">
        <v>163633</v>
      </c>
      <c r="P973" s="1">
        <v>3.93</v>
      </c>
      <c r="Q973" s="1" t="s">
        <v>14</v>
      </c>
      <c r="R973" s="3">
        <v>0.44640000000000002</v>
      </c>
      <c r="S973" s="2">
        <v>46154</v>
      </c>
      <c r="T973" s="1">
        <v>158</v>
      </c>
      <c r="U973" s="1" t="s">
        <v>23</v>
      </c>
      <c r="V973" s="1">
        <v>89</v>
      </c>
      <c r="W973" s="1" t="b">
        <v>1</v>
      </c>
      <c r="X973" s="1" t="b">
        <v>0</v>
      </c>
      <c r="Y973" s="1">
        <v>0</v>
      </c>
    </row>
    <row r="974" spans="1:25" x14ac:dyDescent="0.35">
      <c r="A974" s="1" t="s">
        <v>1982</v>
      </c>
      <c r="B974" s="1" t="s">
        <v>32</v>
      </c>
      <c r="C974" s="1" t="s">
        <v>67</v>
      </c>
      <c r="D974" s="1" t="s">
        <v>27</v>
      </c>
      <c r="E974" s="1">
        <v>7931</v>
      </c>
      <c r="F974" s="4">
        <v>12000000</v>
      </c>
      <c r="G974" s="4">
        <v>1513</v>
      </c>
      <c r="H974" s="1">
        <v>3</v>
      </c>
      <c r="I974" s="1">
        <v>2</v>
      </c>
      <c r="J974" s="1">
        <v>18</v>
      </c>
      <c r="K974" s="1" t="s">
        <v>12</v>
      </c>
      <c r="L974" s="1" t="s">
        <v>1983</v>
      </c>
      <c r="M974" s="1">
        <v>6</v>
      </c>
      <c r="N974" s="1">
        <v>5</v>
      </c>
      <c r="O974" s="1">
        <v>46331</v>
      </c>
      <c r="P974" s="1">
        <v>4.63</v>
      </c>
      <c r="Q974" s="1" t="s">
        <v>6</v>
      </c>
      <c r="R974" s="3">
        <v>0.48170000000000002</v>
      </c>
      <c r="S974" s="2">
        <v>46112</v>
      </c>
      <c r="T974" s="1">
        <v>160</v>
      </c>
      <c r="U974" s="1" t="s">
        <v>7</v>
      </c>
      <c r="V974" s="1">
        <v>124</v>
      </c>
      <c r="W974" s="1" t="b">
        <v>1</v>
      </c>
      <c r="X974" s="1" t="b">
        <v>0</v>
      </c>
      <c r="Y974" s="1">
        <v>24000</v>
      </c>
    </row>
    <row r="975" spans="1:25" x14ac:dyDescent="0.35">
      <c r="A975" s="1" t="s">
        <v>1984</v>
      </c>
      <c r="B975" s="1" t="s">
        <v>1</v>
      </c>
      <c r="C975" s="1" t="s">
        <v>303</v>
      </c>
      <c r="D975" s="1" t="s">
        <v>27</v>
      </c>
      <c r="E975" s="1">
        <v>2240</v>
      </c>
      <c r="F975" s="4">
        <v>10000000</v>
      </c>
      <c r="G975" s="4">
        <v>4464</v>
      </c>
      <c r="H975" s="1">
        <v>3</v>
      </c>
      <c r="I975" s="1">
        <v>2</v>
      </c>
      <c r="J975" s="1">
        <v>1</v>
      </c>
      <c r="K975" s="1" t="s">
        <v>42</v>
      </c>
      <c r="L975" s="1" t="s">
        <v>1985</v>
      </c>
      <c r="M975" s="1">
        <v>5</v>
      </c>
      <c r="N975" s="1">
        <v>7</v>
      </c>
      <c r="O975" s="1">
        <v>36892</v>
      </c>
      <c r="P975" s="1">
        <v>4.43</v>
      </c>
      <c r="Q975" s="1" t="s">
        <v>6</v>
      </c>
      <c r="R975" s="3">
        <v>0.47139999999999999</v>
      </c>
      <c r="S975" s="2">
        <v>45499</v>
      </c>
      <c r="T975" s="1">
        <v>30</v>
      </c>
      <c r="U975" s="1" t="s">
        <v>23</v>
      </c>
      <c r="V975" s="1">
        <v>43</v>
      </c>
      <c r="W975" s="1" t="b">
        <v>1</v>
      </c>
      <c r="X975" s="1" t="b">
        <v>1</v>
      </c>
      <c r="Y975" s="1">
        <v>20000</v>
      </c>
    </row>
    <row r="976" spans="1:25" x14ac:dyDescent="0.35">
      <c r="A976" s="1" t="s">
        <v>1986</v>
      </c>
      <c r="B976" s="1" t="s">
        <v>1</v>
      </c>
      <c r="C976" s="1" t="s">
        <v>303</v>
      </c>
      <c r="D976" s="1" t="s">
        <v>3</v>
      </c>
      <c r="E976" s="1">
        <v>2835</v>
      </c>
      <c r="F976" s="4">
        <v>10000000</v>
      </c>
      <c r="G976" s="4">
        <v>3527</v>
      </c>
      <c r="H976" s="1">
        <v>4</v>
      </c>
      <c r="I976" s="1">
        <v>2</v>
      </c>
      <c r="J976" s="1">
        <v>2</v>
      </c>
      <c r="K976" s="1" t="s">
        <v>4</v>
      </c>
      <c r="L976" s="1" t="s">
        <v>1987</v>
      </c>
      <c r="M976" s="1">
        <v>3</v>
      </c>
      <c r="N976" s="1">
        <v>10</v>
      </c>
      <c r="O976" s="1">
        <v>40613</v>
      </c>
      <c r="P976" s="1">
        <v>4.87</v>
      </c>
      <c r="Q976" s="1" t="s">
        <v>6</v>
      </c>
      <c r="R976" s="3">
        <v>0.49369999999999997</v>
      </c>
      <c r="S976" s="2">
        <v>46037</v>
      </c>
      <c r="T976" s="1">
        <v>51</v>
      </c>
      <c r="U976" s="1" t="s">
        <v>7</v>
      </c>
      <c r="V976" s="1">
        <v>157</v>
      </c>
      <c r="W976" s="1" t="b">
        <v>0</v>
      </c>
      <c r="X976" s="1" t="b">
        <v>0</v>
      </c>
      <c r="Y976" s="1">
        <v>20000</v>
      </c>
    </row>
    <row r="977" spans="1:25" x14ac:dyDescent="0.35">
      <c r="A977" s="1" t="s">
        <v>1988</v>
      </c>
      <c r="B977" s="1" t="s">
        <v>1</v>
      </c>
      <c r="C977" s="1" t="s">
        <v>2</v>
      </c>
      <c r="D977" s="1" t="s">
        <v>11</v>
      </c>
      <c r="E977" s="1">
        <v>329</v>
      </c>
      <c r="F977" s="4">
        <v>10000000</v>
      </c>
      <c r="G977" s="4">
        <v>30395</v>
      </c>
      <c r="H977" s="1">
        <v>1</v>
      </c>
      <c r="I977" s="1">
        <v>1</v>
      </c>
      <c r="J977" s="1">
        <v>23</v>
      </c>
      <c r="K977" s="1" t="s">
        <v>12</v>
      </c>
      <c r="L977" s="1" t="s">
        <v>1989</v>
      </c>
      <c r="M977" s="1">
        <v>7</v>
      </c>
      <c r="N977" s="1">
        <v>7</v>
      </c>
      <c r="O977" s="1">
        <v>35478</v>
      </c>
      <c r="P977" s="1">
        <v>4.26</v>
      </c>
      <c r="Q977" s="1" t="s">
        <v>6</v>
      </c>
      <c r="R977" s="3">
        <v>0.46289999999999998</v>
      </c>
      <c r="S977" s="2">
        <v>46078</v>
      </c>
      <c r="T977" s="1">
        <v>115</v>
      </c>
      <c r="U977" s="1" t="s">
        <v>7</v>
      </c>
      <c r="V977" s="1">
        <v>117</v>
      </c>
      <c r="W977" s="1" t="b">
        <v>0</v>
      </c>
      <c r="X977" s="1" t="b">
        <v>1</v>
      </c>
      <c r="Y977" s="1">
        <v>20000</v>
      </c>
    </row>
    <row r="978" spans="1:25" x14ac:dyDescent="0.35">
      <c r="A978" s="1" t="s">
        <v>1990</v>
      </c>
      <c r="B978" s="1" t="s">
        <v>9</v>
      </c>
      <c r="C978" s="1" t="s">
        <v>114</v>
      </c>
      <c r="D978" s="1" t="s">
        <v>27</v>
      </c>
      <c r="E978" s="1">
        <v>6572</v>
      </c>
      <c r="F978" s="4">
        <v>50000000</v>
      </c>
      <c r="G978" s="4">
        <v>7608</v>
      </c>
      <c r="H978" s="1">
        <v>6</v>
      </c>
      <c r="I978" s="1">
        <v>3</v>
      </c>
      <c r="J978" s="1">
        <v>15</v>
      </c>
      <c r="K978" s="1" t="s">
        <v>58</v>
      </c>
      <c r="L978" s="1" t="s">
        <v>1991</v>
      </c>
      <c r="M978" s="1">
        <v>4</v>
      </c>
      <c r="N978" s="1">
        <v>8</v>
      </c>
      <c r="O978" s="1">
        <v>133815</v>
      </c>
      <c r="P978" s="1">
        <v>3.21</v>
      </c>
      <c r="Q978" s="1" t="s">
        <v>14</v>
      </c>
      <c r="R978" s="3">
        <v>0.41060000000000002</v>
      </c>
      <c r="S978" s="2">
        <v>46128</v>
      </c>
      <c r="T978" s="1">
        <v>316</v>
      </c>
      <c r="U978" s="1" t="s">
        <v>7</v>
      </c>
      <c r="V978" s="1">
        <v>58</v>
      </c>
      <c r="W978" s="1" t="b">
        <v>0</v>
      </c>
      <c r="X978" s="1" t="b">
        <v>1</v>
      </c>
      <c r="Y978" s="1">
        <v>100000</v>
      </c>
    </row>
    <row r="979" spans="1:25" x14ac:dyDescent="0.35">
      <c r="A979" s="1" t="s">
        <v>1992</v>
      </c>
      <c r="B979" s="1" t="s">
        <v>25</v>
      </c>
      <c r="C979" s="1" t="s">
        <v>182</v>
      </c>
      <c r="D979" s="1" t="s">
        <v>38</v>
      </c>
      <c r="E979" s="1">
        <v>9210</v>
      </c>
      <c r="F979" s="4">
        <v>30000000</v>
      </c>
      <c r="G979" s="4">
        <v>3257</v>
      </c>
      <c r="H979" s="1">
        <v>6</v>
      </c>
      <c r="I979" s="1">
        <v>4</v>
      </c>
      <c r="J979" s="1">
        <v>8</v>
      </c>
      <c r="K979" s="1" t="s">
        <v>28</v>
      </c>
      <c r="L979" s="1" t="s">
        <v>1993</v>
      </c>
      <c r="M979" s="1">
        <v>6</v>
      </c>
      <c r="N979" s="1">
        <v>4</v>
      </c>
      <c r="O979" s="1">
        <v>95961</v>
      </c>
      <c r="P979" s="1">
        <v>3.84</v>
      </c>
      <c r="Q979" s="1" t="s">
        <v>14</v>
      </c>
      <c r="R979" s="3">
        <v>0.44189999999999996</v>
      </c>
      <c r="S979" s="2">
        <v>46048</v>
      </c>
      <c r="T979" s="1">
        <v>147</v>
      </c>
      <c r="U979" s="1" t="s">
        <v>23</v>
      </c>
      <c r="V979" s="1">
        <v>76</v>
      </c>
      <c r="W979" s="1" t="b">
        <v>1</v>
      </c>
      <c r="X979" s="1" t="b">
        <v>0</v>
      </c>
      <c r="Y979" s="1">
        <v>0</v>
      </c>
    </row>
    <row r="980" spans="1:25" x14ac:dyDescent="0.35">
      <c r="A980" s="1" t="s">
        <v>1994</v>
      </c>
      <c r="B980" s="1" t="s">
        <v>18</v>
      </c>
      <c r="C980" s="1" t="s">
        <v>166</v>
      </c>
      <c r="D980" s="1" t="s">
        <v>3</v>
      </c>
      <c r="E980" s="1">
        <v>460</v>
      </c>
      <c r="F980" s="4">
        <v>15000000</v>
      </c>
      <c r="G980" s="4">
        <v>32608</v>
      </c>
      <c r="H980" s="1">
        <v>2</v>
      </c>
      <c r="I980" s="1">
        <v>2</v>
      </c>
      <c r="J980" s="1">
        <v>21</v>
      </c>
      <c r="K980" s="1" t="s">
        <v>61</v>
      </c>
      <c r="L980" s="1" t="s">
        <v>1995</v>
      </c>
      <c r="M980" s="1">
        <v>5</v>
      </c>
      <c r="N980" s="1">
        <v>7</v>
      </c>
      <c r="O980" s="1">
        <v>40538</v>
      </c>
      <c r="P980" s="1">
        <v>3.24</v>
      </c>
      <c r="Q980" s="1" t="s">
        <v>6</v>
      </c>
      <c r="R980" s="3">
        <v>0.41220000000000001</v>
      </c>
      <c r="S980" s="2">
        <v>45557</v>
      </c>
      <c r="T980" s="1">
        <v>283</v>
      </c>
      <c r="U980" s="1" t="s">
        <v>7</v>
      </c>
      <c r="V980" s="1">
        <v>127</v>
      </c>
      <c r="W980" s="1" t="b">
        <v>0</v>
      </c>
      <c r="X980" s="1" t="b">
        <v>0</v>
      </c>
      <c r="Y980" s="1">
        <v>0</v>
      </c>
    </row>
    <row r="981" spans="1:25" x14ac:dyDescent="0.35">
      <c r="A981" s="1" t="s">
        <v>1996</v>
      </c>
      <c r="B981" s="1" t="s">
        <v>18</v>
      </c>
      <c r="C981" s="1" t="s">
        <v>243</v>
      </c>
      <c r="D981" s="1" t="s">
        <v>11</v>
      </c>
      <c r="E981" s="1">
        <v>260</v>
      </c>
      <c r="F981" s="4">
        <v>15000000</v>
      </c>
      <c r="G981" s="4">
        <v>57692</v>
      </c>
      <c r="H981" s="1">
        <v>1</v>
      </c>
      <c r="I981" s="1">
        <v>2</v>
      </c>
      <c r="J981" s="1">
        <v>21</v>
      </c>
      <c r="K981" s="1" t="s">
        <v>12</v>
      </c>
      <c r="L981" s="1" t="s">
        <v>1997</v>
      </c>
      <c r="M981" s="1">
        <v>8</v>
      </c>
      <c r="N981" s="1">
        <v>4</v>
      </c>
      <c r="O981" s="1">
        <v>60990</v>
      </c>
      <c r="P981" s="1">
        <v>4.88</v>
      </c>
      <c r="Q981" s="1" t="s">
        <v>6</v>
      </c>
      <c r="R981" s="3">
        <v>0.49399999999999999</v>
      </c>
      <c r="S981" s="2">
        <v>46011</v>
      </c>
      <c r="T981" s="1">
        <v>209</v>
      </c>
      <c r="U981" s="1" t="s">
        <v>7</v>
      </c>
      <c r="V981" s="1">
        <v>59</v>
      </c>
      <c r="W981" s="1" t="b">
        <v>0</v>
      </c>
      <c r="X981" s="1" t="b">
        <v>1</v>
      </c>
      <c r="Y981" s="1">
        <v>0</v>
      </c>
    </row>
    <row r="982" spans="1:25" x14ac:dyDescent="0.35">
      <c r="A982" s="1" t="s">
        <v>1998</v>
      </c>
      <c r="B982" s="1" t="s">
        <v>9</v>
      </c>
      <c r="C982" s="1" t="s">
        <v>189</v>
      </c>
      <c r="D982" s="1" t="s">
        <v>11</v>
      </c>
      <c r="E982" s="1">
        <v>254</v>
      </c>
      <c r="F982" s="4">
        <v>40137192</v>
      </c>
      <c r="G982" s="4">
        <v>158020</v>
      </c>
      <c r="H982" s="1">
        <v>0</v>
      </c>
      <c r="I982" s="1">
        <v>1</v>
      </c>
      <c r="J982" s="1">
        <v>11</v>
      </c>
      <c r="K982" s="1" t="s">
        <v>34</v>
      </c>
      <c r="L982" s="1" t="s">
        <v>1999</v>
      </c>
      <c r="M982" s="1">
        <v>3</v>
      </c>
      <c r="N982" s="1">
        <v>8</v>
      </c>
      <c r="O982" s="1">
        <v>147358</v>
      </c>
      <c r="P982" s="1">
        <v>4.41</v>
      </c>
      <c r="Q982" s="1" t="s">
        <v>14</v>
      </c>
      <c r="R982" s="3">
        <v>0.4703</v>
      </c>
      <c r="S982" s="2">
        <v>45445</v>
      </c>
      <c r="T982" s="1">
        <v>296</v>
      </c>
      <c r="U982" s="1" t="s">
        <v>7</v>
      </c>
      <c r="V982" s="1">
        <v>86</v>
      </c>
      <c r="W982" s="1" t="b">
        <v>1</v>
      </c>
      <c r="X982" s="1" t="b">
        <v>0</v>
      </c>
      <c r="Y982" s="1">
        <v>0</v>
      </c>
    </row>
    <row r="983" spans="1:25" x14ac:dyDescent="0.35">
      <c r="A983" s="1" t="s">
        <v>2000</v>
      </c>
      <c r="B983" s="1" t="s">
        <v>32</v>
      </c>
      <c r="C983" s="1" t="s">
        <v>33</v>
      </c>
      <c r="D983" s="1" t="s">
        <v>27</v>
      </c>
      <c r="E983" s="1">
        <v>2193</v>
      </c>
      <c r="F983" s="4">
        <v>12000000</v>
      </c>
      <c r="G983" s="4">
        <v>5471</v>
      </c>
      <c r="H983" s="1">
        <v>3</v>
      </c>
      <c r="I983" s="1">
        <v>2</v>
      </c>
      <c r="J983" s="1">
        <v>29</v>
      </c>
      <c r="K983" s="1" t="s">
        <v>12</v>
      </c>
      <c r="L983" s="1" t="s">
        <v>2001</v>
      </c>
      <c r="M983" s="1">
        <v>3</v>
      </c>
      <c r="N983" s="1">
        <v>4</v>
      </c>
      <c r="O983" s="1">
        <v>30937</v>
      </c>
      <c r="P983" s="1">
        <v>3.09</v>
      </c>
      <c r="Q983" s="1" t="s">
        <v>6</v>
      </c>
      <c r="R983" s="3">
        <v>0.4047</v>
      </c>
      <c r="S983" s="2">
        <v>46053</v>
      </c>
      <c r="T983" s="1">
        <v>244</v>
      </c>
      <c r="U983" s="1" t="s">
        <v>7</v>
      </c>
      <c r="V983" s="1">
        <v>126</v>
      </c>
      <c r="W983" s="1" t="b">
        <v>0</v>
      </c>
      <c r="X983" s="1" t="b">
        <v>0</v>
      </c>
      <c r="Y983" s="1">
        <v>0</v>
      </c>
    </row>
    <row r="984" spans="1:25" x14ac:dyDescent="0.35">
      <c r="A984" s="1" t="s">
        <v>2002</v>
      </c>
      <c r="B984" s="1" t="s">
        <v>18</v>
      </c>
      <c r="C984" s="1" t="s">
        <v>243</v>
      </c>
      <c r="D984" s="1" t="s">
        <v>27</v>
      </c>
      <c r="E984" s="1">
        <v>3893</v>
      </c>
      <c r="F984" s="4">
        <v>15000000</v>
      </c>
      <c r="G984" s="4">
        <v>3853</v>
      </c>
      <c r="H984" s="1">
        <v>5</v>
      </c>
      <c r="I984" s="1">
        <v>2</v>
      </c>
      <c r="J984" s="1">
        <v>9</v>
      </c>
      <c r="K984" s="1" t="s">
        <v>42</v>
      </c>
      <c r="L984" s="1" t="s">
        <v>2003</v>
      </c>
      <c r="M984" s="1">
        <v>7</v>
      </c>
      <c r="N984" s="1">
        <v>10</v>
      </c>
      <c r="O984" s="1">
        <v>56717</v>
      </c>
      <c r="P984" s="1">
        <v>4.54</v>
      </c>
      <c r="Q984" s="1" t="s">
        <v>6</v>
      </c>
      <c r="R984" s="3">
        <v>0.47689999999999999</v>
      </c>
      <c r="S984" s="2">
        <v>45997</v>
      </c>
      <c r="T984" s="1">
        <v>218</v>
      </c>
      <c r="U984" s="1" t="s">
        <v>7</v>
      </c>
      <c r="V984" s="1">
        <v>179</v>
      </c>
      <c r="W984" s="1" t="b">
        <v>1</v>
      </c>
      <c r="X984" s="1" t="b">
        <v>0</v>
      </c>
      <c r="Y984" s="1">
        <v>0</v>
      </c>
    </row>
    <row r="985" spans="1:25" x14ac:dyDescent="0.35">
      <c r="A985" s="1" t="s">
        <v>2004</v>
      </c>
      <c r="B985" s="1" t="s">
        <v>25</v>
      </c>
      <c r="C985" s="1" t="s">
        <v>37</v>
      </c>
      <c r="D985" s="1" t="s">
        <v>20</v>
      </c>
      <c r="E985" s="1">
        <v>2814</v>
      </c>
      <c r="F985" s="4">
        <v>30000000</v>
      </c>
      <c r="G985" s="4">
        <v>10660</v>
      </c>
      <c r="H985" s="1">
        <v>2</v>
      </c>
      <c r="I985" s="1">
        <v>1</v>
      </c>
      <c r="J985" s="1">
        <v>17</v>
      </c>
      <c r="K985" s="1" t="s">
        <v>58</v>
      </c>
      <c r="L985" s="1" t="s">
        <v>2005</v>
      </c>
      <c r="M985" s="1">
        <v>3</v>
      </c>
      <c r="N985" s="1">
        <v>4</v>
      </c>
      <c r="O985" s="1">
        <v>104613</v>
      </c>
      <c r="P985" s="1">
        <v>4.18</v>
      </c>
      <c r="Q985" s="1" t="s">
        <v>14</v>
      </c>
      <c r="R985" s="3">
        <v>0.4592</v>
      </c>
      <c r="S985" s="2">
        <v>45580</v>
      </c>
      <c r="T985" s="1">
        <v>186</v>
      </c>
      <c r="U985" s="1" t="s">
        <v>7</v>
      </c>
      <c r="V985" s="1">
        <v>117</v>
      </c>
      <c r="W985" s="1" t="b">
        <v>0</v>
      </c>
      <c r="X985" s="1" t="b">
        <v>1</v>
      </c>
      <c r="Y985" s="1">
        <v>0</v>
      </c>
    </row>
    <row r="986" spans="1:25" x14ac:dyDescent="0.35">
      <c r="A986" s="1" t="s">
        <v>2006</v>
      </c>
      <c r="B986" s="1" t="s">
        <v>1</v>
      </c>
      <c r="C986" s="1" t="s">
        <v>2</v>
      </c>
      <c r="D986" s="1" t="s">
        <v>38</v>
      </c>
      <c r="E986" s="1">
        <v>6783</v>
      </c>
      <c r="F986" s="4">
        <v>10000000</v>
      </c>
      <c r="G986" s="4">
        <v>1474</v>
      </c>
      <c r="H986" s="1">
        <v>4</v>
      </c>
      <c r="I986" s="1">
        <v>2</v>
      </c>
      <c r="J986" s="1">
        <v>23</v>
      </c>
      <c r="K986" s="1" t="s">
        <v>12</v>
      </c>
      <c r="L986" s="1" t="s">
        <v>2007</v>
      </c>
      <c r="M986" s="1">
        <v>6</v>
      </c>
      <c r="N986" s="1">
        <v>4</v>
      </c>
      <c r="O986" s="1">
        <v>32047</v>
      </c>
      <c r="P986" s="1">
        <v>3.85</v>
      </c>
      <c r="Q986" s="1" t="s">
        <v>6</v>
      </c>
      <c r="R986" s="3">
        <v>0.44229999999999997</v>
      </c>
      <c r="S986" s="2">
        <v>45683</v>
      </c>
      <c r="T986" s="1">
        <v>34</v>
      </c>
      <c r="U986" s="1" t="s">
        <v>7</v>
      </c>
      <c r="V986" s="1">
        <v>121</v>
      </c>
      <c r="W986" s="1" t="b">
        <v>0</v>
      </c>
      <c r="X986" s="1" t="b">
        <v>1</v>
      </c>
      <c r="Y986" s="1">
        <v>20000</v>
      </c>
    </row>
    <row r="987" spans="1:25" x14ac:dyDescent="0.35">
      <c r="A987" s="1" t="s">
        <v>2008</v>
      </c>
      <c r="B987" s="1" t="s">
        <v>18</v>
      </c>
      <c r="C987" s="1" t="s">
        <v>217</v>
      </c>
      <c r="D987" s="1" t="s">
        <v>3</v>
      </c>
      <c r="E987" s="1">
        <v>2448</v>
      </c>
      <c r="F987" s="4">
        <v>15000000</v>
      </c>
      <c r="G987" s="4">
        <v>6127</v>
      </c>
      <c r="H987" s="1">
        <v>4</v>
      </c>
      <c r="I987" s="1">
        <v>2</v>
      </c>
      <c r="J987" s="1">
        <v>11</v>
      </c>
      <c r="K987" s="1" t="s">
        <v>4</v>
      </c>
      <c r="L987" s="1" t="s">
        <v>2009</v>
      </c>
      <c r="M987" s="1">
        <v>6</v>
      </c>
      <c r="N987" s="1">
        <v>10</v>
      </c>
      <c r="O987" s="1">
        <v>45451</v>
      </c>
      <c r="P987" s="1">
        <v>3.64</v>
      </c>
      <c r="Q987" s="1" t="s">
        <v>6</v>
      </c>
      <c r="R987" s="3">
        <v>0.43180000000000002</v>
      </c>
      <c r="S987" s="2">
        <v>45923</v>
      </c>
      <c r="T987" s="1">
        <v>227</v>
      </c>
      <c r="U987" s="1" t="s">
        <v>7</v>
      </c>
      <c r="V987" s="1">
        <v>77</v>
      </c>
      <c r="W987" s="1" t="b">
        <v>0</v>
      </c>
      <c r="X987" s="1" t="b">
        <v>1</v>
      </c>
      <c r="Y987" s="1">
        <v>0</v>
      </c>
    </row>
    <row r="988" spans="1:25" x14ac:dyDescent="0.35">
      <c r="A988" s="1" t="s">
        <v>2010</v>
      </c>
      <c r="B988" s="1" t="s">
        <v>32</v>
      </c>
      <c r="C988" s="1" t="s">
        <v>200</v>
      </c>
      <c r="D988" s="1" t="s">
        <v>11</v>
      </c>
      <c r="E988" s="1">
        <v>593</v>
      </c>
      <c r="F988" s="4">
        <v>12000000</v>
      </c>
      <c r="G988" s="4">
        <v>20236</v>
      </c>
      <c r="H988" s="1">
        <v>0</v>
      </c>
      <c r="I988" s="1">
        <v>2</v>
      </c>
      <c r="J988" s="1">
        <v>1</v>
      </c>
      <c r="K988" s="1" t="s">
        <v>21</v>
      </c>
      <c r="L988" s="1" t="s">
        <v>2011</v>
      </c>
      <c r="M988" s="1">
        <v>4</v>
      </c>
      <c r="N988" s="1">
        <v>5</v>
      </c>
      <c r="O988" s="1">
        <v>38056</v>
      </c>
      <c r="P988" s="1">
        <v>3.81</v>
      </c>
      <c r="Q988" s="1" t="s">
        <v>6</v>
      </c>
      <c r="R988" s="3">
        <v>0.44030000000000002</v>
      </c>
      <c r="S988" s="2">
        <v>46005</v>
      </c>
      <c r="T988" s="1">
        <v>265</v>
      </c>
      <c r="U988" s="1" t="s">
        <v>23</v>
      </c>
      <c r="V988" s="1">
        <v>172</v>
      </c>
      <c r="W988" s="1" t="b">
        <v>0</v>
      </c>
      <c r="X988" s="1" t="b">
        <v>1</v>
      </c>
      <c r="Y988" s="1">
        <v>0</v>
      </c>
    </row>
    <row r="989" spans="1:25" x14ac:dyDescent="0.35">
      <c r="A989" s="1" t="s">
        <v>2012</v>
      </c>
      <c r="B989" s="1" t="s">
        <v>18</v>
      </c>
      <c r="C989" s="1" t="s">
        <v>19</v>
      </c>
      <c r="D989" s="1" t="s">
        <v>20</v>
      </c>
      <c r="E989" s="1">
        <v>2057</v>
      </c>
      <c r="F989" s="4">
        <v>15000000</v>
      </c>
      <c r="G989" s="4">
        <v>7292</v>
      </c>
      <c r="H989" s="1">
        <v>2</v>
      </c>
      <c r="I989" s="1">
        <v>2</v>
      </c>
      <c r="J989" s="1">
        <v>20</v>
      </c>
      <c r="K989" s="1" t="s">
        <v>12</v>
      </c>
      <c r="L989" s="1" t="s">
        <v>2013</v>
      </c>
      <c r="M989" s="1">
        <v>6</v>
      </c>
      <c r="N989" s="1">
        <v>9</v>
      </c>
      <c r="O989" s="1">
        <v>51212</v>
      </c>
      <c r="P989" s="1">
        <v>4.0999999999999996</v>
      </c>
      <c r="Q989" s="1" t="s">
        <v>6</v>
      </c>
      <c r="R989" s="3">
        <v>0.45479999999999998</v>
      </c>
      <c r="S989" s="2">
        <v>45746</v>
      </c>
      <c r="T989" s="1">
        <v>184</v>
      </c>
      <c r="U989" s="1" t="s">
        <v>7</v>
      </c>
      <c r="V989" s="1">
        <v>65</v>
      </c>
      <c r="W989" s="1" t="b">
        <v>1</v>
      </c>
      <c r="X989" s="1" t="b">
        <v>1</v>
      </c>
      <c r="Y989" s="1">
        <v>0</v>
      </c>
    </row>
    <row r="990" spans="1:25" x14ac:dyDescent="0.35">
      <c r="A990" s="1" t="s">
        <v>2014</v>
      </c>
      <c r="B990" s="1" t="s">
        <v>1</v>
      </c>
      <c r="C990" s="1" t="s">
        <v>51</v>
      </c>
      <c r="D990" s="1" t="s">
        <v>11</v>
      </c>
      <c r="E990" s="1">
        <v>560</v>
      </c>
      <c r="F990" s="4">
        <v>10000000</v>
      </c>
      <c r="G990" s="4">
        <v>17857</v>
      </c>
      <c r="H990" s="1">
        <v>0</v>
      </c>
      <c r="I990" s="1">
        <v>2</v>
      </c>
      <c r="J990" s="1">
        <v>28</v>
      </c>
      <c r="K990" s="1" t="s">
        <v>12</v>
      </c>
      <c r="L990" s="1" t="s">
        <v>2015</v>
      </c>
      <c r="M990" s="1">
        <v>8</v>
      </c>
      <c r="N990" s="1">
        <v>10</v>
      </c>
      <c r="O990" s="1">
        <v>37957</v>
      </c>
      <c r="P990" s="1">
        <v>4.55</v>
      </c>
      <c r="Q990" s="1" t="s">
        <v>6</v>
      </c>
      <c r="R990" s="3">
        <v>0.47770000000000001</v>
      </c>
      <c r="S990" s="2">
        <v>45891</v>
      </c>
      <c r="T990" s="1">
        <v>352</v>
      </c>
      <c r="U990" s="1" t="s">
        <v>7</v>
      </c>
      <c r="V990" s="1">
        <v>36</v>
      </c>
      <c r="W990" s="1" t="b">
        <v>1</v>
      </c>
      <c r="X990" s="1" t="b">
        <v>0</v>
      </c>
      <c r="Y990" s="1">
        <v>20000</v>
      </c>
    </row>
    <row r="991" spans="1:25" x14ac:dyDescent="0.35">
      <c r="A991" s="1" t="s">
        <v>2016</v>
      </c>
      <c r="B991" s="1" t="s">
        <v>32</v>
      </c>
      <c r="C991" s="1" t="s">
        <v>197</v>
      </c>
      <c r="D991" s="1" t="s">
        <v>3</v>
      </c>
      <c r="E991" s="1">
        <v>1740</v>
      </c>
      <c r="F991" s="4">
        <v>12000000</v>
      </c>
      <c r="G991" s="4">
        <v>6896</v>
      </c>
      <c r="H991" s="1">
        <v>4</v>
      </c>
      <c r="I991" s="1">
        <v>3</v>
      </c>
      <c r="J991" s="1">
        <v>30</v>
      </c>
      <c r="K991" s="1" t="s">
        <v>12</v>
      </c>
      <c r="L991" s="1" t="s">
        <v>2017</v>
      </c>
      <c r="M991" s="1">
        <v>5</v>
      </c>
      <c r="N991" s="1">
        <v>7</v>
      </c>
      <c r="O991" s="1">
        <v>31155</v>
      </c>
      <c r="P991" s="1">
        <v>3.12</v>
      </c>
      <c r="Q991" s="1" t="s">
        <v>6</v>
      </c>
      <c r="R991" s="3">
        <v>0.40579999999999999</v>
      </c>
      <c r="S991" s="2">
        <v>45671</v>
      </c>
      <c r="T991" s="1">
        <v>364</v>
      </c>
      <c r="U991" s="1" t="s">
        <v>7</v>
      </c>
      <c r="V991" s="1">
        <v>157</v>
      </c>
      <c r="W991" s="1" t="b">
        <v>0</v>
      </c>
      <c r="X991" s="1" t="b">
        <v>0</v>
      </c>
      <c r="Y991" s="1">
        <v>0</v>
      </c>
    </row>
    <row r="992" spans="1:25" x14ac:dyDescent="0.35">
      <c r="A992" s="1" t="s">
        <v>2018</v>
      </c>
      <c r="B992" s="1" t="s">
        <v>25</v>
      </c>
      <c r="C992" s="1" t="s">
        <v>94</v>
      </c>
      <c r="D992" s="1" t="s">
        <v>3</v>
      </c>
      <c r="E992" s="1">
        <v>2803</v>
      </c>
      <c r="F992" s="4">
        <v>30000000</v>
      </c>
      <c r="G992" s="4">
        <v>10702</v>
      </c>
      <c r="H992" s="1">
        <v>1</v>
      </c>
      <c r="I992" s="1">
        <v>1</v>
      </c>
      <c r="J992" s="1">
        <v>26</v>
      </c>
      <c r="K992" s="1" t="s">
        <v>42</v>
      </c>
      <c r="L992" s="1" t="s">
        <v>2019</v>
      </c>
      <c r="M992" s="1">
        <v>7</v>
      </c>
      <c r="N992" s="1">
        <v>9</v>
      </c>
      <c r="O992" s="1">
        <v>84013</v>
      </c>
      <c r="P992" s="1">
        <v>3.36</v>
      </c>
      <c r="Q992" s="1" t="s">
        <v>14</v>
      </c>
      <c r="R992" s="3">
        <v>0.41799999999999998</v>
      </c>
      <c r="S992" s="2">
        <v>45433</v>
      </c>
      <c r="T992" s="1">
        <v>247</v>
      </c>
      <c r="U992" s="1" t="s">
        <v>7</v>
      </c>
      <c r="V992" s="1">
        <v>67</v>
      </c>
      <c r="W992" s="1" t="b">
        <v>1</v>
      </c>
      <c r="X992" s="1" t="b">
        <v>1</v>
      </c>
      <c r="Y992" s="1">
        <v>60000</v>
      </c>
    </row>
    <row r="993" spans="1:25" x14ac:dyDescent="0.35">
      <c r="A993" s="1" t="s">
        <v>2020</v>
      </c>
      <c r="B993" s="1" t="s">
        <v>18</v>
      </c>
      <c r="C993" s="1" t="s">
        <v>139</v>
      </c>
      <c r="D993" s="1" t="s">
        <v>11</v>
      </c>
      <c r="E993" s="1">
        <v>468</v>
      </c>
      <c r="F993" s="4">
        <v>15000000</v>
      </c>
      <c r="G993" s="4">
        <v>32051</v>
      </c>
      <c r="H993" s="1">
        <v>0</v>
      </c>
      <c r="I993" s="1">
        <v>2</v>
      </c>
      <c r="J993" s="1">
        <v>3</v>
      </c>
      <c r="K993" s="1" t="s">
        <v>12</v>
      </c>
      <c r="L993" s="1" t="s">
        <v>2021</v>
      </c>
      <c r="M993" s="1">
        <v>6</v>
      </c>
      <c r="N993" s="1">
        <v>8</v>
      </c>
      <c r="O993" s="1">
        <v>44205</v>
      </c>
      <c r="P993" s="1">
        <v>3.54</v>
      </c>
      <c r="Q993" s="1" t="s">
        <v>6</v>
      </c>
      <c r="R993" s="3">
        <v>0.42680000000000001</v>
      </c>
      <c r="S993" s="2">
        <v>45591</v>
      </c>
      <c r="T993" s="1">
        <v>17</v>
      </c>
      <c r="U993" s="1" t="s">
        <v>7</v>
      </c>
      <c r="V993" s="1">
        <v>89</v>
      </c>
      <c r="W993" s="1" t="b">
        <v>0</v>
      </c>
      <c r="X993" s="1" t="b">
        <v>1</v>
      </c>
      <c r="Y993" s="1">
        <v>30000</v>
      </c>
    </row>
    <row r="994" spans="1:25" x14ac:dyDescent="0.35">
      <c r="A994" s="1" t="s">
        <v>2022</v>
      </c>
      <c r="B994" s="1" t="s">
        <v>18</v>
      </c>
      <c r="C994" s="1" t="s">
        <v>166</v>
      </c>
      <c r="D994" s="1" t="s">
        <v>3</v>
      </c>
      <c r="E994" s="1">
        <v>1249</v>
      </c>
      <c r="F994" s="4">
        <v>15000000</v>
      </c>
      <c r="G994" s="4">
        <v>12009</v>
      </c>
      <c r="H994" s="1">
        <v>2</v>
      </c>
      <c r="I994" s="1">
        <v>1</v>
      </c>
      <c r="J994" s="1">
        <v>0</v>
      </c>
      <c r="K994" s="1" t="s">
        <v>34</v>
      </c>
      <c r="L994" s="1" t="s">
        <v>2023</v>
      </c>
      <c r="M994" s="1">
        <v>4</v>
      </c>
      <c r="N994" s="1">
        <v>4</v>
      </c>
      <c r="O994" s="1">
        <v>47438</v>
      </c>
      <c r="P994" s="1">
        <v>3.8</v>
      </c>
      <c r="Q994" s="1" t="s">
        <v>6</v>
      </c>
      <c r="R994" s="3">
        <v>0.43979999999999997</v>
      </c>
      <c r="S994" s="2">
        <v>45649</v>
      </c>
      <c r="T994" s="1">
        <v>280</v>
      </c>
      <c r="U994" s="1" t="s">
        <v>30</v>
      </c>
      <c r="V994" s="1">
        <v>138</v>
      </c>
      <c r="W994" s="1" t="b">
        <v>1</v>
      </c>
      <c r="X994" s="1" t="b">
        <v>1</v>
      </c>
      <c r="Y994" s="1">
        <v>0</v>
      </c>
    </row>
    <row r="995" spans="1:25" x14ac:dyDescent="0.35">
      <c r="A995" s="1" t="s">
        <v>2024</v>
      </c>
      <c r="B995" s="1" t="s">
        <v>18</v>
      </c>
      <c r="C995" s="1" t="s">
        <v>169</v>
      </c>
      <c r="D995" s="1" t="s">
        <v>27</v>
      </c>
      <c r="E995" s="1">
        <v>2658</v>
      </c>
      <c r="F995" s="4">
        <v>15000000</v>
      </c>
      <c r="G995" s="4">
        <v>5643</v>
      </c>
      <c r="H995" s="1">
        <v>6</v>
      </c>
      <c r="I995" s="1">
        <v>3</v>
      </c>
      <c r="J995" s="1">
        <v>14</v>
      </c>
      <c r="K995" s="1" t="s">
        <v>34</v>
      </c>
      <c r="L995" s="1" t="s">
        <v>2025</v>
      </c>
      <c r="M995" s="1">
        <v>3</v>
      </c>
      <c r="N995" s="1">
        <v>5</v>
      </c>
      <c r="O995" s="1">
        <v>42716</v>
      </c>
      <c r="P995" s="1">
        <v>3.42</v>
      </c>
      <c r="Q995" s="1" t="s">
        <v>6</v>
      </c>
      <c r="R995" s="3">
        <v>0.42090000000000005</v>
      </c>
      <c r="S995" s="2">
        <v>45733</v>
      </c>
      <c r="T995" s="1">
        <v>144</v>
      </c>
      <c r="U995" s="1" t="s">
        <v>30</v>
      </c>
      <c r="V995" s="1">
        <v>94</v>
      </c>
      <c r="W995" s="1" t="b">
        <v>0</v>
      </c>
      <c r="X995" s="1" t="b">
        <v>1</v>
      </c>
      <c r="Y995" s="1">
        <v>30000</v>
      </c>
    </row>
    <row r="996" spans="1:25" x14ac:dyDescent="0.35">
      <c r="A996" s="1" t="s">
        <v>2026</v>
      </c>
      <c r="B996" s="1" t="s">
        <v>18</v>
      </c>
      <c r="C996" s="1" t="s">
        <v>217</v>
      </c>
      <c r="D996" s="1" t="s">
        <v>38</v>
      </c>
      <c r="E996" s="1">
        <v>5282</v>
      </c>
      <c r="F996" s="4">
        <v>15000000</v>
      </c>
      <c r="G996" s="4">
        <v>2839</v>
      </c>
      <c r="H996" s="1">
        <v>5</v>
      </c>
      <c r="I996" s="1">
        <v>3</v>
      </c>
      <c r="J996" s="1">
        <v>7</v>
      </c>
      <c r="K996" s="1" t="s">
        <v>34</v>
      </c>
      <c r="L996" s="1" t="s">
        <v>2027</v>
      </c>
      <c r="M996" s="1">
        <v>7</v>
      </c>
      <c r="N996" s="1">
        <v>10</v>
      </c>
      <c r="O996" s="1">
        <v>59524</v>
      </c>
      <c r="P996" s="1">
        <v>4.76</v>
      </c>
      <c r="Q996" s="1" t="s">
        <v>6</v>
      </c>
      <c r="R996" s="3">
        <v>0.48810000000000003</v>
      </c>
      <c r="S996" s="2">
        <v>45526</v>
      </c>
      <c r="T996" s="1">
        <v>167</v>
      </c>
      <c r="U996" s="1" t="s">
        <v>30</v>
      </c>
      <c r="V996" s="1">
        <v>170</v>
      </c>
      <c r="W996" s="1" t="b">
        <v>1</v>
      </c>
      <c r="X996" s="1" t="b">
        <v>1</v>
      </c>
      <c r="Y996" s="1">
        <v>30000</v>
      </c>
    </row>
    <row r="997" spans="1:25" x14ac:dyDescent="0.35">
      <c r="A997" s="1" t="s">
        <v>2028</v>
      </c>
      <c r="B997" s="1" t="s">
        <v>25</v>
      </c>
      <c r="C997" s="1" t="s">
        <v>94</v>
      </c>
      <c r="D997" s="1" t="s">
        <v>27</v>
      </c>
      <c r="E997" s="1">
        <v>6040</v>
      </c>
      <c r="F997" s="4">
        <v>30000000</v>
      </c>
      <c r="G997" s="4">
        <v>4966</v>
      </c>
      <c r="H997" s="1">
        <v>4</v>
      </c>
      <c r="I997" s="1">
        <v>2</v>
      </c>
      <c r="J997" s="1">
        <v>5</v>
      </c>
      <c r="K997" s="1" t="s">
        <v>21</v>
      </c>
      <c r="L997" s="1" t="s">
        <v>2029</v>
      </c>
      <c r="M997" s="1">
        <v>7</v>
      </c>
      <c r="N997" s="1">
        <v>9</v>
      </c>
      <c r="O997" s="1">
        <v>116522</v>
      </c>
      <c r="P997" s="1">
        <v>4.66</v>
      </c>
      <c r="Q997" s="1" t="s">
        <v>14</v>
      </c>
      <c r="R997" s="3">
        <v>0.48299999999999998</v>
      </c>
      <c r="S997" s="2">
        <v>45727</v>
      </c>
      <c r="T997" s="1">
        <v>88</v>
      </c>
      <c r="U997" s="1" t="s">
        <v>7</v>
      </c>
      <c r="V997" s="1">
        <v>114</v>
      </c>
      <c r="W997" s="1" t="b">
        <v>0</v>
      </c>
      <c r="X997" s="1" t="b">
        <v>1</v>
      </c>
      <c r="Y997" s="1">
        <v>0</v>
      </c>
    </row>
    <row r="998" spans="1:25" x14ac:dyDescent="0.35">
      <c r="A998" s="1" t="s">
        <v>2030</v>
      </c>
      <c r="B998" s="1" t="s">
        <v>54</v>
      </c>
      <c r="C998" s="1" t="s">
        <v>55</v>
      </c>
      <c r="D998" s="1" t="s">
        <v>38</v>
      </c>
      <c r="E998" s="1">
        <v>7007</v>
      </c>
      <c r="F998" s="4">
        <v>40000000</v>
      </c>
      <c r="G998" s="4">
        <v>5708</v>
      </c>
      <c r="H998" s="1">
        <v>5</v>
      </c>
      <c r="I998" s="1">
        <v>3</v>
      </c>
      <c r="J998" s="1">
        <v>0</v>
      </c>
      <c r="K998" s="1" t="s">
        <v>42</v>
      </c>
      <c r="L998" s="1" t="s">
        <v>2031</v>
      </c>
      <c r="M998" s="1">
        <v>6</v>
      </c>
      <c r="N998" s="1">
        <v>8</v>
      </c>
      <c r="O998" s="1">
        <v>150235</v>
      </c>
      <c r="P998" s="1">
        <v>4.51</v>
      </c>
      <c r="Q998" s="1" t="s">
        <v>14</v>
      </c>
      <c r="R998" s="3">
        <v>0.47539999999999999</v>
      </c>
      <c r="S998" s="2">
        <v>46134</v>
      </c>
      <c r="T998" s="1">
        <v>341</v>
      </c>
      <c r="U998" s="1" t="s">
        <v>7</v>
      </c>
      <c r="V998" s="1">
        <v>32</v>
      </c>
      <c r="W998" s="1" t="b">
        <v>1</v>
      </c>
      <c r="X998" s="1" t="b">
        <v>1</v>
      </c>
      <c r="Y998" s="1">
        <v>80000</v>
      </c>
    </row>
    <row r="999" spans="1:25" x14ac:dyDescent="0.35">
      <c r="A999" s="1" t="s">
        <v>2032</v>
      </c>
      <c r="B999" s="1" t="s">
        <v>25</v>
      </c>
      <c r="C999" s="1" t="s">
        <v>82</v>
      </c>
      <c r="D999" s="1" t="s">
        <v>3</v>
      </c>
      <c r="E999" s="1">
        <v>1921</v>
      </c>
      <c r="F999" s="4">
        <v>30000000</v>
      </c>
      <c r="G999" s="4">
        <v>15616</v>
      </c>
      <c r="H999" s="1">
        <v>3</v>
      </c>
      <c r="I999" s="1">
        <v>1</v>
      </c>
      <c r="J999" s="1">
        <v>19</v>
      </c>
      <c r="K999" s="1" t="s">
        <v>4</v>
      </c>
      <c r="L999" s="1" t="s">
        <v>2033</v>
      </c>
      <c r="M999" s="1">
        <v>3</v>
      </c>
      <c r="N999" s="1">
        <v>5</v>
      </c>
      <c r="O999" s="1">
        <v>82843</v>
      </c>
      <c r="P999" s="1">
        <v>3.31</v>
      </c>
      <c r="Q999" s="1" t="s">
        <v>14</v>
      </c>
      <c r="R999" s="3">
        <v>0.41570000000000001</v>
      </c>
      <c r="S999" s="2">
        <v>45959</v>
      </c>
      <c r="T999" s="1">
        <v>86</v>
      </c>
      <c r="U999" s="1" t="s">
        <v>7</v>
      </c>
      <c r="V999" s="1">
        <v>31</v>
      </c>
      <c r="W999" s="1" t="b">
        <v>1</v>
      </c>
      <c r="X999" s="1" t="b">
        <v>0</v>
      </c>
      <c r="Y999" s="1">
        <v>60000</v>
      </c>
    </row>
    <row r="1000" spans="1:25" x14ac:dyDescent="0.35">
      <c r="A1000" s="1" t="s">
        <v>2034</v>
      </c>
      <c r="B1000" s="1" t="s">
        <v>9</v>
      </c>
      <c r="C1000" s="1" t="s">
        <v>10</v>
      </c>
      <c r="D1000" s="1" t="s">
        <v>20</v>
      </c>
      <c r="E1000" s="1">
        <v>4170</v>
      </c>
      <c r="F1000" s="4">
        <v>50000000</v>
      </c>
      <c r="G1000" s="4">
        <v>11990</v>
      </c>
      <c r="H1000" s="1">
        <v>4</v>
      </c>
      <c r="I1000" s="1">
        <v>3</v>
      </c>
      <c r="J1000" s="1">
        <v>27</v>
      </c>
      <c r="K1000" s="1" t="s">
        <v>34</v>
      </c>
      <c r="L1000" s="1" t="s">
        <v>2035</v>
      </c>
      <c r="M1000" s="1">
        <v>3</v>
      </c>
      <c r="N1000" s="1">
        <v>7</v>
      </c>
      <c r="O1000" s="1">
        <v>184826</v>
      </c>
      <c r="P1000" s="1">
        <v>4.4400000000000004</v>
      </c>
      <c r="Q1000" s="1" t="s">
        <v>14</v>
      </c>
      <c r="R1000" s="3">
        <v>0.4718</v>
      </c>
      <c r="S1000" s="2">
        <v>46122</v>
      </c>
      <c r="T1000" s="1">
        <v>259</v>
      </c>
      <c r="U1000" s="1" t="s">
        <v>7</v>
      </c>
      <c r="V1000" s="1">
        <v>178</v>
      </c>
      <c r="W1000" s="1" t="b">
        <v>0</v>
      </c>
      <c r="X1000" s="1" t="b">
        <v>1</v>
      </c>
      <c r="Y1000" s="1">
        <v>100000</v>
      </c>
    </row>
    <row r="1001" spans="1:25" x14ac:dyDescent="0.35">
      <c r="A1001" s="1" t="s">
        <v>2036</v>
      </c>
      <c r="B1001" s="1" t="s">
        <v>25</v>
      </c>
      <c r="C1001" s="1" t="s">
        <v>82</v>
      </c>
      <c r="D1001" s="1" t="s">
        <v>27</v>
      </c>
      <c r="E1001" s="1">
        <v>4412</v>
      </c>
      <c r="F1001" s="4">
        <v>30000000</v>
      </c>
      <c r="G1001" s="4">
        <v>6799</v>
      </c>
      <c r="H1001" s="1">
        <v>4</v>
      </c>
      <c r="I1001" s="1">
        <v>3</v>
      </c>
      <c r="J1001" s="1">
        <v>29</v>
      </c>
      <c r="K1001" s="1" t="s">
        <v>28</v>
      </c>
      <c r="L1001" s="1" t="s">
        <v>2037</v>
      </c>
      <c r="M1001" s="1">
        <v>4</v>
      </c>
      <c r="N1001" s="1">
        <v>5</v>
      </c>
      <c r="O1001" s="1">
        <v>112331</v>
      </c>
      <c r="P1001" s="1">
        <v>4.49</v>
      </c>
      <c r="Q1001" s="1" t="s">
        <v>14</v>
      </c>
      <c r="R1001" s="3">
        <v>0.47470000000000001</v>
      </c>
      <c r="S1001" s="2">
        <v>45605</v>
      </c>
      <c r="T1001" s="1">
        <v>65</v>
      </c>
      <c r="U1001" s="1" t="s">
        <v>23</v>
      </c>
      <c r="V1001" s="1">
        <v>61</v>
      </c>
      <c r="W1001" s="1" t="b">
        <v>0</v>
      </c>
      <c r="X1001" s="1" t="b">
        <v>0</v>
      </c>
      <c r="Y1001" s="1">
        <v>60000</v>
      </c>
    </row>
  </sheetData>
  <phoneticPr fontId="19" type="noConversion"/>
  <pageMargins left="0.7" right="0.7" top="0.75" bottom="0.75" header="0.3" footer="0.3"/>
  <drawing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B706-60C9-4A69-9536-56C955DC5C71}">
  <dimension ref="A19:H21"/>
  <sheetViews>
    <sheetView topLeftCell="A7" zoomScale="70" zoomScaleNormal="70" workbookViewId="0">
      <selection activeCell="N19" sqref="N19"/>
    </sheetView>
  </sheetViews>
  <sheetFormatPr defaultRowHeight="14.5" x14ac:dyDescent="0.35"/>
  <sheetData>
    <row r="19" spans="1:8" x14ac:dyDescent="0.35">
      <c r="A19" s="30" t="s">
        <v>2065</v>
      </c>
      <c r="B19" s="30"/>
      <c r="C19" s="30"/>
      <c r="D19" s="30"/>
      <c r="E19" s="30"/>
      <c r="F19" s="30"/>
      <c r="G19" s="30"/>
      <c r="H19" s="30"/>
    </row>
    <row r="20" spans="1:8" x14ac:dyDescent="0.35">
      <c r="A20" s="31" t="s">
        <v>2066</v>
      </c>
      <c r="B20" s="31"/>
      <c r="C20" s="31"/>
      <c r="D20" s="31"/>
      <c r="E20" s="31"/>
      <c r="F20" s="31"/>
      <c r="G20" s="31"/>
      <c r="H20" s="31"/>
    </row>
    <row r="21" spans="1:8" x14ac:dyDescent="0.35">
      <c r="A21" s="31" t="s">
        <v>2067</v>
      </c>
      <c r="B21" s="31"/>
      <c r="C21" s="31"/>
      <c r="D21" s="31"/>
      <c r="E21" s="31"/>
      <c r="F21" s="31"/>
      <c r="G21" s="31"/>
      <c r="H21" s="31"/>
    </row>
  </sheetData>
  <mergeCells count="3">
    <mergeCell ref="A19:H19"/>
    <mergeCell ref="A20:H20"/>
    <mergeCell ref="A21:H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39BB-FD54-4222-9520-48A1163AA293}">
  <dimension ref="A1:J61"/>
  <sheetViews>
    <sheetView view="pageBreakPreview" topLeftCell="B1" zoomScale="60" zoomScaleNormal="100" workbookViewId="0">
      <pane ySplit="4" topLeftCell="A36" activePane="bottomLeft" state="frozen"/>
      <selection pane="bottomLeft" activeCell="G67" sqref="G67"/>
    </sheetView>
  </sheetViews>
  <sheetFormatPr defaultRowHeight="14.5" x14ac:dyDescent="0.35"/>
  <cols>
    <col min="1" max="1" width="16" bestFit="1" customWidth="1"/>
    <col min="2" max="2" width="15.453125" bestFit="1" customWidth="1"/>
    <col min="3" max="3" width="17.7265625" bestFit="1" customWidth="1"/>
    <col min="4" max="4" width="23.453125" customWidth="1"/>
    <col min="5" max="5" width="15.453125" bestFit="1" customWidth="1"/>
    <col min="6" max="6" width="21.7265625" bestFit="1" customWidth="1"/>
    <col min="7" max="7" width="16.54296875" bestFit="1" customWidth="1"/>
    <col min="8" max="8" width="18.54296875" bestFit="1" customWidth="1"/>
    <col min="9" max="10" width="16.81640625" bestFit="1" customWidth="1"/>
  </cols>
  <sheetData>
    <row r="1" spans="1:10" ht="45" customHeight="1" x14ac:dyDescent="0.35">
      <c r="A1" s="44" t="s">
        <v>2179</v>
      </c>
      <c r="B1" s="33"/>
      <c r="C1" s="33"/>
      <c r="D1" s="33"/>
      <c r="E1" s="33"/>
      <c r="F1" s="33"/>
      <c r="G1" s="33"/>
      <c r="H1" s="33"/>
      <c r="I1" s="33"/>
      <c r="J1" s="33"/>
    </row>
    <row r="2" spans="1:10" ht="25" customHeight="1" x14ac:dyDescent="0.4">
      <c r="A2" s="45" t="s">
        <v>2180</v>
      </c>
      <c r="B2" s="33"/>
      <c r="C2" s="33"/>
      <c r="D2" s="33"/>
      <c r="E2" s="33"/>
      <c r="F2" s="33"/>
      <c r="G2" s="33"/>
      <c r="H2" s="33"/>
      <c r="I2" s="33"/>
      <c r="J2" s="33"/>
    </row>
    <row r="3" spans="1:10" ht="22" customHeight="1" x14ac:dyDescent="0.35">
      <c r="A3" s="46" t="s">
        <v>2181</v>
      </c>
      <c r="B3" s="33"/>
      <c r="C3" s="33"/>
      <c r="D3" s="33"/>
      <c r="E3" s="33"/>
      <c r="F3" s="33"/>
      <c r="G3" s="33"/>
      <c r="H3" s="33"/>
      <c r="I3" s="33"/>
      <c r="J3" s="33"/>
    </row>
    <row r="4" spans="1:10" ht="10" customHeight="1" x14ac:dyDescent="0.35"/>
    <row r="5" spans="1:10" ht="30" customHeight="1" x14ac:dyDescent="0.45">
      <c r="A5" s="40" t="s">
        <v>2182</v>
      </c>
      <c r="B5" s="33"/>
      <c r="C5" s="33"/>
      <c r="D5" s="33"/>
      <c r="E5" s="33"/>
      <c r="F5" s="33"/>
      <c r="G5" s="33"/>
      <c r="H5" s="33"/>
      <c r="I5" s="33"/>
      <c r="J5" s="33"/>
    </row>
    <row r="6" spans="1:10" x14ac:dyDescent="0.35">
      <c r="A6" s="21" t="s">
        <v>2183</v>
      </c>
      <c r="B6" s="21" t="s">
        <v>2184</v>
      </c>
      <c r="C6" s="21" t="s">
        <v>2185</v>
      </c>
      <c r="D6" s="21" t="s">
        <v>2186</v>
      </c>
      <c r="F6" s="21" t="s">
        <v>2187</v>
      </c>
      <c r="G6" s="21" t="s">
        <v>2188</v>
      </c>
      <c r="H6" s="21" t="s">
        <v>2189</v>
      </c>
      <c r="I6" s="21" t="s">
        <v>2167</v>
      </c>
    </row>
    <row r="7" spans="1:10" ht="21" x14ac:dyDescent="0.5">
      <c r="A7" s="22">
        <f>'Dashboard '!A8</f>
        <v>1000</v>
      </c>
      <c r="B7" s="22">
        <f>'Dashboard '!D8</f>
        <v>255</v>
      </c>
      <c r="C7" s="22">
        <f>'Dashboard '!G8</f>
        <v>584</v>
      </c>
      <c r="D7" s="22">
        <f>'Dashboard '!J8</f>
        <v>161</v>
      </c>
      <c r="F7" s="26">
        <f>'Dashboard '!M8</f>
        <v>26719297.5</v>
      </c>
      <c r="G7" s="25">
        <f>'Dashboard '!P8</f>
        <v>0.44934430000000009</v>
      </c>
      <c r="H7" s="26">
        <f>'Dashboard '!S8</f>
        <v>75513</v>
      </c>
      <c r="I7" s="27">
        <f>'Dashboard '!Y8</f>
        <v>180.22300000000001</v>
      </c>
    </row>
    <row r="8" spans="1:10" ht="10" customHeight="1" x14ac:dyDescent="0.35"/>
    <row r="9" spans="1:10" ht="30" customHeight="1" x14ac:dyDescent="0.45">
      <c r="A9" s="40" t="s">
        <v>2190</v>
      </c>
      <c r="B9" s="33"/>
      <c r="C9" s="33"/>
      <c r="D9" s="33"/>
      <c r="E9" s="33"/>
      <c r="F9" s="33"/>
      <c r="G9" s="33"/>
      <c r="H9" s="33"/>
      <c r="I9" s="33"/>
      <c r="J9" s="33"/>
    </row>
    <row r="10" spans="1:10" x14ac:dyDescent="0.35">
      <c r="A10" s="41" t="s">
        <v>2191</v>
      </c>
      <c r="B10" s="33"/>
      <c r="C10" s="33"/>
      <c r="D10" s="33"/>
      <c r="F10" s="41" t="s">
        <v>2193</v>
      </c>
      <c r="G10" s="33"/>
      <c r="H10" s="33"/>
      <c r="I10" s="33"/>
      <c r="J10" s="33"/>
    </row>
    <row r="11" spans="1:10" x14ac:dyDescent="0.35">
      <c r="A11" s="21" t="s">
        <v>2192</v>
      </c>
      <c r="B11" s="21" t="s">
        <v>2098</v>
      </c>
      <c r="C11" s="21" t="s">
        <v>2099</v>
      </c>
      <c r="D11" s="21" t="s">
        <v>2100</v>
      </c>
      <c r="F11" s="21" t="s">
        <v>2149</v>
      </c>
      <c r="G11" s="21" t="s">
        <v>2098</v>
      </c>
      <c r="H11" s="21" t="s">
        <v>2099</v>
      </c>
      <c r="I11" s="21" t="s">
        <v>2103</v>
      </c>
      <c r="J11" s="21" t="s">
        <v>2100</v>
      </c>
    </row>
    <row r="12" spans="1:10" x14ac:dyDescent="0.35">
      <c r="A12" t="s">
        <v>6</v>
      </c>
      <c r="B12" s="11">
        <f>'Additional Analysis'!B5</f>
        <v>491</v>
      </c>
      <c r="C12" s="28">
        <f>'Additional Analysis'!C5</f>
        <v>12279022.403258655</v>
      </c>
      <c r="D12" s="29">
        <f>'Additional Analysis'!D5</f>
        <v>0.44894928716904309</v>
      </c>
      <c r="F12" t="s">
        <v>3</v>
      </c>
      <c r="G12" s="11">
        <f>'Additional Analysis'!H24</f>
        <v>216</v>
      </c>
      <c r="H12" s="28">
        <f>'Additional Analysis'!I24</f>
        <v>26282407.407407407</v>
      </c>
      <c r="I12" s="28">
        <f>'Additional Analysis'!K24</f>
        <v>86035.398148148146</v>
      </c>
      <c r="J12" s="29">
        <f>'Additional Analysis'!L24</f>
        <v>0.44588425925925929</v>
      </c>
    </row>
    <row r="13" spans="1:10" x14ac:dyDescent="0.35">
      <c r="A13" t="s">
        <v>14</v>
      </c>
      <c r="B13" s="11">
        <f>'Additional Analysis'!B6</f>
        <v>509</v>
      </c>
      <c r="C13" s="28">
        <f>'Additional Analysis'!C6</f>
        <v>39176088.683693513</v>
      </c>
      <c r="D13" s="29">
        <f>'Additional Analysis'!D6</f>
        <v>0.44972534381139456</v>
      </c>
      <c r="F13" t="s">
        <v>20</v>
      </c>
      <c r="G13" s="11">
        <f>'Additional Analysis'!H25</f>
        <v>200</v>
      </c>
      <c r="H13" s="28">
        <f>'Additional Analysis'!I25</f>
        <v>27670000</v>
      </c>
      <c r="I13" s="28">
        <f>'Additional Analysis'!K25</f>
        <v>91563.46</v>
      </c>
      <c r="J13" s="29">
        <f>'Additional Analysis'!L25</f>
        <v>0.44875500000000024</v>
      </c>
    </row>
    <row r="14" spans="1:10" x14ac:dyDescent="0.35">
      <c r="F14" t="s">
        <v>38</v>
      </c>
      <c r="G14" s="11">
        <f>'Additional Analysis'!H26</f>
        <v>206</v>
      </c>
      <c r="H14" s="28">
        <f>'Additional Analysis'!I26</f>
        <v>24300970.873786408</v>
      </c>
      <c r="I14" s="28">
        <f>'Additional Analysis'!K26</f>
        <v>82401.378640776704</v>
      </c>
      <c r="J14" s="29">
        <f>'Additional Analysis'!L26</f>
        <v>0.45286359223300959</v>
      </c>
    </row>
    <row r="15" spans="1:10" x14ac:dyDescent="0.35">
      <c r="F15" t="s">
        <v>11</v>
      </c>
      <c r="G15" s="11">
        <f>'Additional Analysis'!H27</f>
        <v>183</v>
      </c>
      <c r="H15" s="28">
        <f>'Additional Analysis'!I27</f>
        <v>26243875.081967212</v>
      </c>
      <c r="I15" s="28">
        <f>'Additional Analysis'!K27</f>
        <v>87835.393442622953</v>
      </c>
      <c r="J15" s="29">
        <f>'Additional Analysis'!L27</f>
        <v>0.45012349726775946</v>
      </c>
    </row>
    <row r="16" spans="1:10" x14ac:dyDescent="0.35">
      <c r="F16" t="s">
        <v>27</v>
      </c>
      <c r="G16" s="11">
        <f>'Additional Analysis'!H28</f>
        <v>195</v>
      </c>
      <c r="H16" s="28">
        <f>'Additional Analysis'!I28</f>
        <v>25384615.384615384</v>
      </c>
      <c r="I16" s="28">
        <f>'Additional Analysis'!K28</f>
        <v>84950.117948717947</v>
      </c>
      <c r="J16" s="29">
        <f>'Additional Analysis'!L28</f>
        <v>0.44933230769230775</v>
      </c>
    </row>
    <row r="17" spans="1:10" ht="10" customHeight="1" x14ac:dyDescent="0.35">
      <c r="H17" s="7"/>
      <c r="I17" s="7"/>
    </row>
    <row r="18" spans="1:10" ht="30" customHeight="1" x14ac:dyDescent="0.45">
      <c r="A18" s="40" t="s">
        <v>2194</v>
      </c>
      <c r="B18" s="33"/>
      <c r="C18" s="33"/>
      <c r="D18" s="33"/>
      <c r="E18" s="33"/>
      <c r="F18" s="33"/>
      <c r="G18" s="33"/>
      <c r="H18" s="33"/>
      <c r="I18" s="33"/>
      <c r="J18" s="33"/>
    </row>
    <row r="19" spans="1:10" x14ac:dyDescent="0.35">
      <c r="A19" s="41" t="s">
        <v>2195</v>
      </c>
      <c r="B19" s="33"/>
      <c r="C19" s="33"/>
      <c r="F19" s="41" t="s">
        <v>2197</v>
      </c>
      <c r="G19" s="33"/>
      <c r="H19" s="33"/>
      <c r="I19" s="33"/>
    </row>
    <row r="20" spans="1:10" x14ac:dyDescent="0.35">
      <c r="A20" s="21" t="s">
        <v>2039</v>
      </c>
      <c r="B20" s="21" t="s">
        <v>2196</v>
      </c>
      <c r="C20" s="21" t="s">
        <v>2137</v>
      </c>
      <c r="F20" s="21" t="s">
        <v>2130</v>
      </c>
      <c r="G20" s="21" t="s">
        <v>2098</v>
      </c>
      <c r="H20" s="21" t="s">
        <v>2099</v>
      </c>
      <c r="I20" s="21" t="s">
        <v>2100</v>
      </c>
    </row>
    <row r="21" spans="1:10" x14ac:dyDescent="0.35">
      <c r="A21" t="s">
        <v>25</v>
      </c>
      <c r="B21" s="23">
        <f>'Additional Analysis'!H5</f>
        <v>3.9205524861878449</v>
      </c>
      <c r="C21" s="11">
        <f>'Additional Analysis'!I5</f>
        <v>4.99</v>
      </c>
      <c r="F21" t="s">
        <v>2132</v>
      </c>
      <c r="G21" s="11">
        <f>'Additional Analysis'!B38</f>
        <v>146</v>
      </c>
      <c r="H21" s="28">
        <f>'Additional Analysis'!C38</f>
        <v>26916974.65068493</v>
      </c>
      <c r="I21" s="29">
        <f>'Additional Analysis'!E38</f>
        <v>0.44702739726027391</v>
      </c>
    </row>
    <row r="22" spans="1:10" x14ac:dyDescent="0.35">
      <c r="A22" t="s">
        <v>1</v>
      </c>
      <c r="B22" s="23">
        <f>'Additional Analysis'!H6</f>
        <v>3.9915642458100549</v>
      </c>
      <c r="C22" s="11">
        <f>'Additional Analysis'!I6</f>
        <v>4.99</v>
      </c>
      <c r="F22" t="s">
        <v>2133</v>
      </c>
      <c r="G22" s="11">
        <f>'Additional Analysis'!B39</f>
        <v>257</v>
      </c>
      <c r="H22" s="28">
        <f>'Additional Analysis'!C39</f>
        <v>25195794.470817119</v>
      </c>
      <c r="I22" s="29">
        <f>'Additional Analysis'!E39</f>
        <v>0.44798365758754843</v>
      </c>
    </row>
    <row r="23" spans="1:10" x14ac:dyDescent="0.35">
      <c r="A23" t="s">
        <v>54</v>
      </c>
      <c r="B23" s="23">
        <f>'Additional Analysis'!H7</f>
        <v>4.0123493975903601</v>
      </c>
      <c r="C23" s="11">
        <f>'Additional Analysis'!I7</f>
        <v>5</v>
      </c>
      <c r="F23" t="s">
        <v>2134</v>
      </c>
      <c r="G23" s="11">
        <f>'Additional Analysis'!B40</f>
        <v>289</v>
      </c>
      <c r="H23" s="28">
        <f>'Additional Analysis'!C40</f>
        <v>26372464.802768167</v>
      </c>
      <c r="I23" s="29">
        <f>'Additional Analysis'!E40</f>
        <v>0.44879307958477549</v>
      </c>
    </row>
    <row r="24" spans="1:10" x14ac:dyDescent="0.35">
      <c r="A24" t="s">
        <v>32</v>
      </c>
      <c r="B24" s="23">
        <f>'Additional Analysis'!H8</f>
        <v>4.0319727891156463</v>
      </c>
      <c r="C24" s="11">
        <f>'Additional Analysis'!I8</f>
        <v>4.9800000000000004</v>
      </c>
      <c r="F24" t="s">
        <v>2135</v>
      </c>
      <c r="G24" s="11">
        <f>'Additional Analysis'!B41</f>
        <v>308</v>
      </c>
      <c r="H24" s="28">
        <f>'Additional Analysis'!C41</f>
        <v>25788277.058441557</v>
      </c>
      <c r="I24" s="29">
        <f>'Additional Analysis'!E41</f>
        <v>0.45209512987013001</v>
      </c>
    </row>
    <row r="25" spans="1:10" x14ac:dyDescent="0.35">
      <c r="A25" t="s">
        <v>9</v>
      </c>
      <c r="B25" s="23">
        <f>'Additional Analysis'!H9</f>
        <v>4.0589506172839505</v>
      </c>
      <c r="C25" s="11">
        <f>'Additional Analysis'!I9</f>
        <v>4.9800000000000004</v>
      </c>
    </row>
    <row r="26" spans="1:10" x14ac:dyDescent="0.35">
      <c r="A26" t="s">
        <v>18</v>
      </c>
      <c r="B26" s="23">
        <f>'Additional Analysis'!H10</f>
        <v>3.9184242424242424</v>
      </c>
      <c r="C26" s="11">
        <f>'Additional Analysis'!I10</f>
        <v>4.96</v>
      </c>
    </row>
    <row r="27" spans="1:10" ht="10" customHeight="1" x14ac:dyDescent="0.35"/>
    <row r="28" spans="1:10" ht="30" customHeight="1" x14ac:dyDescent="0.45">
      <c r="A28" s="40" t="s">
        <v>2198</v>
      </c>
      <c r="B28" s="33"/>
      <c r="C28" s="33"/>
      <c r="D28" s="33"/>
      <c r="E28" s="33"/>
      <c r="F28" s="33"/>
      <c r="G28" s="33"/>
      <c r="H28" s="33"/>
      <c r="I28" s="33"/>
      <c r="J28" s="33"/>
    </row>
    <row r="29" spans="1:10" x14ac:dyDescent="0.35">
      <c r="A29" s="41" t="s">
        <v>2199</v>
      </c>
      <c r="B29" s="33"/>
      <c r="C29" s="33"/>
      <c r="D29" s="33"/>
      <c r="E29" s="33"/>
      <c r="F29" s="33"/>
      <c r="H29" s="41" t="s">
        <v>2203</v>
      </c>
      <c r="I29" s="33"/>
      <c r="J29" s="33"/>
    </row>
    <row r="30" spans="1:10" x14ac:dyDescent="0.35">
      <c r="A30" s="21" t="s">
        <v>2153</v>
      </c>
      <c r="B30" s="21" t="s">
        <v>2200</v>
      </c>
      <c r="C30" s="21" t="s">
        <v>2201</v>
      </c>
      <c r="D30" s="21" t="s">
        <v>2156</v>
      </c>
      <c r="E30" s="21" t="s">
        <v>2157</v>
      </c>
      <c r="F30" s="21" t="s">
        <v>2158</v>
      </c>
      <c r="H30" s="21" t="s">
        <v>2204</v>
      </c>
      <c r="I30" s="21" t="s">
        <v>2098</v>
      </c>
      <c r="J30" s="21" t="s">
        <v>2099</v>
      </c>
    </row>
    <row r="31" spans="1:10" x14ac:dyDescent="0.35">
      <c r="A31" t="s">
        <v>2159</v>
      </c>
      <c r="B31" s="28">
        <f>'Additional Analysis'!B46</f>
        <v>10000000</v>
      </c>
      <c r="C31" s="28">
        <f>'Additional Analysis'!C46</f>
        <v>50000000</v>
      </c>
      <c r="D31" s="28">
        <f>'Additional Analysis'!D46</f>
        <v>25969629.140000001</v>
      </c>
      <c r="E31" s="28">
        <f>'Additional Analysis'!E46</f>
        <v>26719297.5</v>
      </c>
      <c r="F31" s="28">
        <f>'Additional Analysis'!F46</f>
        <v>14817490.721572332</v>
      </c>
      <c r="H31" t="s">
        <v>2141</v>
      </c>
      <c r="I31" s="11">
        <f>'Additional Analysis'!H14</f>
        <v>528</v>
      </c>
      <c r="J31" s="28">
        <f>'Additional Analysis'!I14</f>
        <v>26390552.363636363</v>
      </c>
    </row>
    <row r="32" spans="1:10" x14ac:dyDescent="0.35">
      <c r="A32" t="s">
        <v>2160</v>
      </c>
      <c r="B32" s="28">
        <f>'Additional Analysis'!B47</f>
        <v>252</v>
      </c>
      <c r="C32" s="28">
        <f>'Additional Analysis'!C47</f>
        <v>9997</v>
      </c>
      <c r="D32" s="28">
        <f>'Additional Analysis'!D47</f>
        <v>3391.7640000000001</v>
      </c>
      <c r="E32" s="28">
        <f>'Additional Analysis'!E47</f>
        <v>2898</v>
      </c>
      <c r="F32" s="28">
        <f>'Additional Analysis'!F47</f>
        <v>2523.685141811276</v>
      </c>
      <c r="H32" t="s">
        <v>2142</v>
      </c>
      <c r="I32" s="11">
        <f>'Additional Analysis'!H15</f>
        <v>472</v>
      </c>
      <c r="J32" s="28">
        <f>'Additional Analysis'!I15</f>
        <v>25498765.872881357</v>
      </c>
    </row>
    <row r="33" spans="1:10" x14ac:dyDescent="0.35">
      <c r="A33" t="s">
        <v>2161</v>
      </c>
      <c r="B33" s="28">
        <f>'Additional Analysis'!B48</f>
        <v>1001</v>
      </c>
      <c r="C33" s="28">
        <f>'Additional Analysis'!C48</f>
        <v>183885</v>
      </c>
      <c r="D33" s="28">
        <f>'Additional Analysis'!D48</f>
        <v>20668.953000000001</v>
      </c>
      <c r="E33" s="28">
        <f>'Additional Analysis'!E48</f>
        <v>8462</v>
      </c>
      <c r="F33" s="28">
        <f>'Additional Analysis'!F48</f>
        <v>29689.756366597201</v>
      </c>
    </row>
    <row r="34" spans="1:10" x14ac:dyDescent="0.35">
      <c r="A34" t="s">
        <v>2162</v>
      </c>
      <c r="B34" s="28">
        <f>'Additional Analysis'!B49</f>
        <v>25201</v>
      </c>
      <c r="C34" s="28">
        <f>'Additional Analysis'!C49</f>
        <v>207519</v>
      </c>
      <c r="D34" s="28">
        <f>'Additional Analysis'!D49</f>
        <v>86510.172000000006</v>
      </c>
      <c r="E34" s="28">
        <f>'Additional Analysis'!E49</f>
        <v>75513</v>
      </c>
      <c r="F34" s="28">
        <f>'Additional Analysis'!F49</f>
        <v>52175.049466879158</v>
      </c>
      <c r="H34" s="41" t="s">
        <v>2205</v>
      </c>
      <c r="I34" s="33"/>
      <c r="J34" s="33"/>
    </row>
    <row r="35" spans="1:10" x14ac:dyDescent="0.35">
      <c r="A35" t="s">
        <v>2202</v>
      </c>
      <c r="B35" s="29">
        <f>'Additional Analysis'!B50</f>
        <v>0.40009999999999996</v>
      </c>
      <c r="C35" s="29">
        <f>'Additional Analysis'!C50</f>
        <v>0.49979999999999997</v>
      </c>
      <c r="D35" s="29">
        <f>'Additional Analysis'!D50</f>
        <v>0.44934430000000009</v>
      </c>
      <c r="E35" s="29">
        <f>'Additional Analysis'!E50</f>
        <v>0.44890000000000002</v>
      </c>
      <c r="F35" s="29">
        <f>'Additional Analysis'!F50</f>
        <v>2.9572426615445773E-2</v>
      </c>
      <c r="H35" s="21" t="s">
        <v>2058</v>
      </c>
      <c r="I35" s="21" t="s">
        <v>2098</v>
      </c>
      <c r="J35" s="21" t="s">
        <v>2167</v>
      </c>
    </row>
    <row r="36" spans="1:10" x14ac:dyDescent="0.35">
      <c r="A36" t="s">
        <v>2164</v>
      </c>
      <c r="B36" s="24">
        <f>'Additional Analysis'!B51</f>
        <v>1</v>
      </c>
      <c r="C36" s="24">
        <f>'Additional Analysis'!C51</f>
        <v>365</v>
      </c>
      <c r="D36" s="24">
        <f>'Additional Analysis'!D51</f>
        <v>180.22300000000001</v>
      </c>
      <c r="E36" s="24">
        <f>'Additional Analysis'!E51</f>
        <v>178</v>
      </c>
      <c r="F36" s="24">
        <f>'Additional Analysis'!F51</f>
        <v>104.14142647240679</v>
      </c>
      <c r="H36" t="s">
        <v>7</v>
      </c>
      <c r="I36" s="11">
        <f>'Additional Analysis'!B55</f>
        <v>584</v>
      </c>
      <c r="J36" s="24">
        <f>'Additional Analysis'!D55</f>
        <v>179.10445205479451</v>
      </c>
    </row>
    <row r="37" spans="1:10" x14ac:dyDescent="0.35">
      <c r="H37" t="s">
        <v>30</v>
      </c>
      <c r="I37" s="11">
        <f>'Additional Analysis'!B56</f>
        <v>255</v>
      </c>
      <c r="J37" s="24">
        <f>'Additional Analysis'!D56</f>
        <v>179.24313725490197</v>
      </c>
    </row>
    <row r="38" spans="1:10" x14ac:dyDescent="0.35">
      <c r="H38" t="s">
        <v>23</v>
      </c>
      <c r="I38" s="11">
        <f>'Additional Analysis'!B57</f>
        <v>161</v>
      </c>
      <c r="J38" s="24">
        <f>'Additional Analysis'!D57</f>
        <v>185.83229813664596</v>
      </c>
    </row>
    <row r="39" spans="1:10" ht="10" customHeight="1" x14ac:dyDescent="0.35"/>
    <row r="40" spans="1:10" ht="30" customHeight="1" x14ac:dyDescent="0.45">
      <c r="A40" s="40" t="s">
        <v>2206</v>
      </c>
      <c r="B40" s="33"/>
      <c r="C40" s="33"/>
      <c r="D40" s="33"/>
      <c r="E40" s="33"/>
      <c r="F40" s="33"/>
      <c r="G40" s="33"/>
      <c r="H40" s="33"/>
      <c r="I40" s="33"/>
      <c r="J40" s="33"/>
    </row>
    <row r="41" spans="1:10" ht="16" x14ac:dyDescent="0.4">
      <c r="A41" s="42" t="s">
        <v>2207</v>
      </c>
      <c r="B41" s="33"/>
      <c r="C41" s="33"/>
      <c r="D41" s="33"/>
      <c r="F41" s="43" t="s">
        <v>2216</v>
      </c>
      <c r="G41" s="33"/>
      <c r="H41" s="33"/>
      <c r="I41" s="33"/>
      <c r="J41" s="33"/>
    </row>
    <row r="42" spans="1:10" x14ac:dyDescent="0.35">
      <c r="A42" s="39" t="s">
        <v>2208</v>
      </c>
      <c r="B42" s="33"/>
      <c r="C42" s="33"/>
      <c r="D42" s="33"/>
      <c r="F42" s="37" t="s">
        <v>2217</v>
      </c>
      <c r="G42" s="33"/>
      <c r="H42" s="33"/>
      <c r="I42" s="33"/>
      <c r="J42" s="33"/>
    </row>
    <row r="43" spans="1:10" x14ac:dyDescent="0.35">
      <c r="A43" s="39" t="s">
        <v>2209</v>
      </c>
      <c r="B43" s="33"/>
      <c r="C43" s="33"/>
      <c r="D43" s="33"/>
      <c r="F43" s="37" t="s">
        <v>2218</v>
      </c>
      <c r="G43" s="33"/>
      <c r="H43" s="33"/>
      <c r="I43" s="33"/>
      <c r="J43" s="33"/>
    </row>
    <row r="44" spans="1:10" x14ac:dyDescent="0.35">
      <c r="A44" s="39" t="s">
        <v>2210</v>
      </c>
      <c r="B44" s="33"/>
      <c r="C44" s="33"/>
      <c r="D44" s="33"/>
      <c r="F44" s="37" t="s">
        <v>2219</v>
      </c>
      <c r="G44" s="33"/>
      <c r="H44" s="33"/>
      <c r="I44" s="33"/>
      <c r="J44" s="33"/>
    </row>
    <row r="45" spans="1:10" x14ac:dyDescent="0.35">
      <c r="A45" s="39" t="s">
        <v>2211</v>
      </c>
      <c r="B45" s="39"/>
      <c r="C45" s="39"/>
      <c r="D45" s="39"/>
      <c r="F45" s="37" t="s">
        <v>2220</v>
      </c>
      <c r="G45" s="37"/>
      <c r="H45" s="37"/>
      <c r="I45" s="37"/>
      <c r="J45" s="37"/>
    </row>
    <row r="46" spans="1:10" x14ac:dyDescent="0.35">
      <c r="A46" s="39" t="s">
        <v>2212</v>
      </c>
      <c r="B46" s="39"/>
      <c r="C46" s="39"/>
      <c r="D46" s="39"/>
      <c r="F46" s="37" t="s">
        <v>2221</v>
      </c>
      <c r="G46" s="37"/>
      <c r="H46" s="37"/>
      <c r="I46" s="37"/>
      <c r="J46" s="37"/>
    </row>
    <row r="47" spans="1:10" x14ac:dyDescent="0.35">
      <c r="A47" s="39" t="s">
        <v>2213</v>
      </c>
      <c r="B47" s="39"/>
      <c r="C47" s="39"/>
      <c r="D47" s="39"/>
      <c r="F47" s="37" t="s">
        <v>2222</v>
      </c>
      <c r="G47" s="37"/>
      <c r="H47" s="37"/>
      <c r="I47" s="37"/>
      <c r="J47" s="37"/>
    </row>
    <row r="48" spans="1:10" x14ac:dyDescent="0.35">
      <c r="A48" s="39" t="s">
        <v>2214</v>
      </c>
      <c r="B48" s="39"/>
      <c r="C48" s="39"/>
      <c r="D48" s="39"/>
      <c r="F48" s="37" t="s">
        <v>2223</v>
      </c>
      <c r="G48" s="37"/>
      <c r="H48" s="37"/>
      <c r="I48" s="37"/>
      <c r="J48" s="37"/>
    </row>
    <row r="49" spans="1:10" x14ac:dyDescent="0.35">
      <c r="A49" s="39" t="s">
        <v>2215</v>
      </c>
      <c r="B49" s="39"/>
      <c r="C49" s="39"/>
      <c r="D49" s="39"/>
      <c r="F49" s="37" t="s">
        <v>2224</v>
      </c>
      <c r="G49" s="37"/>
      <c r="H49" s="37"/>
      <c r="I49" s="37"/>
      <c r="J49" s="37"/>
    </row>
    <row r="50" spans="1:10" ht="10" customHeight="1" x14ac:dyDescent="0.35"/>
    <row r="51" spans="1:10" ht="30" customHeight="1" x14ac:dyDescent="0.45">
      <c r="A51" s="40" t="s">
        <v>2225</v>
      </c>
      <c r="B51" s="33"/>
      <c r="C51" s="33"/>
      <c r="D51" s="33"/>
      <c r="E51" s="33"/>
      <c r="F51" s="33"/>
      <c r="G51" s="33"/>
      <c r="H51" s="33"/>
      <c r="I51" s="33"/>
      <c r="J51" s="33"/>
    </row>
    <row r="52" spans="1:10" x14ac:dyDescent="0.35">
      <c r="A52" s="38" t="s">
        <v>2226</v>
      </c>
      <c r="B52" s="39"/>
      <c r="C52" s="39"/>
      <c r="D52" s="39"/>
      <c r="F52" s="38" t="s">
        <v>2231</v>
      </c>
      <c r="G52" s="37"/>
      <c r="H52" s="37"/>
      <c r="I52" s="37"/>
      <c r="J52" s="37"/>
    </row>
    <row r="53" spans="1:10" x14ac:dyDescent="0.35">
      <c r="A53" s="33" t="s">
        <v>2227</v>
      </c>
      <c r="B53" s="33"/>
      <c r="C53" s="33"/>
      <c r="D53" s="33"/>
      <c r="F53" s="33" t="s">
        <v>2232</v>
      </c>
      <c r="G53" s="33"/>
      <c r="H53" s="33"/>
      <c r="I53" s="33"/>
      <c r="J53" s="33"/>
    </row>
    <row r="54" spans="1:10" x14ac:dyDescent="0.35">
      <c r="A54" s="33" t="s">
        <v>2228</v>
      </c>
      <c r="B54" s="33"/>
      <c r="C54" s="33"/>
      <c r="D54" s="33"/>
      <c r="F54" s="33" t="s">
        <v>2233</v>
      </c>
      <c r="G54" s="33"/>
      <c r="H54" s="33"/>
      <c r="I54" s="33"/>
      <c r="J54" s="33"/>
    </row>
    <row r="55" spans="1:10" x14ac:dyDescent="0.35">
      <c r="A55" s="33" t="s">
        <v>2229</v>
      </c>
      <c r="B55" s="33"/>
      <c r="C55" s="33"/>
      <c r="D55" s="33"/>
      <c r="F55" s="33" t="s">
        <v>2234</v>
      </c>
      <c r="G55" s="33"/>
      <c r="H55" s="33"/>
      <c r="I55" s="33"/>
      <c r="J55" s="33"/>
    </row>
    <row r="56" spans="1:10" x14ac:dyDescent="0.35">
      <c r="A56" s="33" t="s">
        <v>2230</v>
      </c>
      <c r="B56" s="33"/>
      <c r="C56" s="33"/>
      <c r="D56" s="33"/>
      <c r="F56" s="33" t="s">
        <v>2235</v>
      </c>
      <c r="G56" s="33"/>
      <c r="H56" s="33"/>
      <c r="I56" s="33"/>
      <c r="J56" s="33"/>
    </row>
    <row r="57" spans="1:10" ht="10" customHeight="1" x14ac:dyDescent="0.35"/>
    <row r="58" spans="1:10" x14ac:dyDescent="0.35">
      <c r="A58" s="36" t="s">
        <v>2236</v>
      </c>
      <c r="B58" s="33"/>
      <c r="C58" s="33"/>
      <c r="D58" s="33"/>
      <c r="E58" s="33"/>
      <c r="F58" s="33"/>
      <c r="G58" s="33"/>
      <c r="H58" s="33"/>
      <c r="I58" s="33"/>
      <c r="J58" s="33"/>
    </row>
    <row r="59" spans="1:10" x14ac:dyDescent="0.35">
      <c r="A59" s="32" t="s">
        <v>2237</v>
      </c>
      <c r="B59" s="33"/>
      <c r="C59" s="33"/>
      <c r="D59" s="33"/>
      <c r="E59" s="33"/>
      <c r="F59" s="33"/>
      <c r="G59" s="33"/>
      <c r="H59" s="33"/>
      <c r="I59" s="33"/>
      <c r="J59" s="33"/>
    </row>
    <row r="60" spans="1:10" x14ac:dyDescent="0.35">
      <c r="A60" s="34" t="s">
        <v>2238</v>
      </c>
      <c r="B60" s="33"/>
      <c r="C60" s="33"/>
      <c r="D60" s="33"/>
      <c r="E60" s="33"/>
      <c r="F60" s="33"/>
      <c r="G60" s="33"/>
      <c r="H60" s="33"/>
      <c r="I60" s="33"/>
      <c r="J60" s="33"/>
    </row>
    <row r="61" spans="1:10" x14ac:dyDescent="0.35">
      <c r="A61" s="35" t="s">
        <v>2239</v>
      </c>
      <c r="B61" s="33"/>
      <c r="C61" s="33"/>
      <c r="D61" s="33"/>
      <c r="E61" s="33"/>
      <c r="F61" s="33"/>
      <c r="G61" s="33"/>
      <c r="H61" s="33"/>
      <c r="I61" s="33"/>
      <c r="J61" s="33"/>
    </row>
  </sheetData>
  <mergeCells count="48">
    <mergeCell ref="A10:D10"/>
    <mergeCell ref="F10:J10"/>
    <mergeCell ref="A1:J1"/>
    <mergeCell ref="A2:J2"/>
    <mergeCell ref="A3:J3"/>
    <mergeCell ref="A5:J5"/>
    <mergeCell ref="A9:J9"/>
    <mergeCell ref="A44:D44"/>
    <mergeCell ref="A18:J18"/>
    <mergeCell ref="A19:C19"/>
    <mergeCell ref="F19:I19"/>
    <mergeCell ref="A28:J28"/>
    <mergeCell ref="A29:F29"/>
    <mergeCell ref="H29:J29"/>
    <mergeCell ref="H34:J34"/>
    <mergeCell ref="A40:J40"/>
    <mergeCell ref="A41:D41"/>
    <mergeCell ref="A42:D42"/>
    <mergeCell ref="A43:D43"/>
    <mergeCell ref="F41:J41"/>
    <mergeCell ref="F42:J42"/>
    <mergeCell ref="F43:J43"/>
    <mergeCell ref="F44:J44"/>
    <mergeCell ref="F45:J45"/>
    <mergeCell ref="A52:D52"/>
    <mergeCell ref="A45:D45"/>
    <mergeCell ref="A46:D46"/>
    <mergeCell ref="A47:D47"/>
    <mergeCell ref="A48:D48"/>
    <mergeCell ref="A49:D49"/>
    <mergeCell ref="F46:J46"/>
    <mergeCell ref="F47:J47"/>
    <mergeCell ref="F48:J48"/>
    <mergeCell ref="F49:J49"/>
    <mergeCell ref="A51:J51"/>
    <mergeCell ref="F52:J52"/>
    <mergeCell ref="A59:J59"/>
    <mergeCell ref="A60:J60"/>
    <mergeCell ref="A61:J61"/>
    <mergeCell ref="A53:D53"/>
    <mergeCell ref="A54:D54"/>
    <mergeCell ref="A55:D55"/>
    <mergeCell ref="A56:D56"/>
    <mergeCell ref="F53:J53"/>
    <mergeCell ref="F54:J54"/>
    <mergeCell ref="F55:J55"/>
    <mergeCell ref="F56:J56"/>
    <mergeCell ref="A58:J58"/>
  </mergeCells>
  <pageMargins left="0.7" right="0.7" top="0.75" bottom="0.75" header="0.3" footer="0.3"/>
  <pageSetup scale="48"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6953-6A3F-4FAD-A84B-4639A0B952CF}">
  <dimension ref="A1:AA94"/>
  <sheetViews>
    <sheetView view="pageBreakPreview" topLeftCell="A56" zoomScale="60" zoomScaleNormal="55" workbookViewId="0">
      <selection activeCell="AE78" sqref="AE78"/>
    </sheetView>
  </sheetViews>
  <sheetFormatPr defaultRowHeight="14.5" x14ac:dyDescent="0.35"/>
  <sheetData>
    <row r="1" spans="1:27" ht="14.5" customHeight="1" x14ac:dyDescent="0.35">
      <c r="A1" s="76" t="s">
        <v>2063</v>
      </c>
      <c r="B1" s="77"/>
      <c r="C1" s="77"/>
      <c r="D1" s="77"/>
      <c r="E1" s="77"/>
      <c r="F1" s="77"/>
      <c r="G1" s="77"/>
      <c r="H1" s="77"/>
      <c r="I1" s="77"/>
      <c r="J1" s="77"/>
      <c r="K1" s="77"/>
      <c r="L1" s="77"/>
      <c r="M1" s="77"/>
      <c r="N1" s="77"/>
      <c r="O1" s="77"/>
      <c r="P1" s="77"/>
      <c r="Q1" s="77"/>
      <c r="R1" s="77"/>
      <c r="S1" s="77"/>
      <c r="T1" s="77"/>
      <c r="U1" s="77"/>
      <c r="V1" s="77"/>
      <c r="W1" s="77"/>
      <c r="X1" s="77"/>
      <c r="Y1" s="77"/>
      <c r="Z1" s="77"/>
      <c r="AA1" s="78"/>
    </row>
    <row r="2" spans="1:27" ht="14.5" customHeight="1" x14ac:dyDescent="0.35">
      <c r="A2" s="79"/>
      <c r="B2" s="80"/>
      <c r="C2" s="80"/>
      <c r="D2" s="80"/>
      <c r="E2" s="80"/>
      <c r="F2" s="80"/>
      <c r="G2" s="80"/>
      <c r="H2" s="80"/>
      <c r="I2" s="80"/>
      <c r="J2" s="80"/>
      <c r="K2" s="80"/>
      <c r="L2" s="80"/>
      <c r="M2" s="80"/>
      <c r="N2" s="80"/>
      <c r="O2" s="80"/>
      <c r="P2" s="80"/>
      <c r="Q2" s="80"/>
      <c r="R2" s="80"/>
      <c r="S2" s="80"/>
      <c r="T2" s="80"/>
      <c r="U2" s="80"/>
      <c r="V2" s="80"/>
      <c r="W2" s="80"/>
      <c r="X2" s="80"/>
      <c r="Y2" s="80"/>
      <c r="Z2" s="80"/>
      <c r="AA2" s="81"/>
    </row>
    <row r="3" spans="1:27" ht="14.5" customHeight="1" x14ac:dyDescent="0.35">
      <c r="A3" s="79"/>
      <c r="B3" s="80"/>
      <c r="C3" s="80"/>
      <c r="D3" s="80"/>
      <c r="E3" s="80"/>
      <c r="F3" s="80"/>
      <c r="G3" s="80"/>
      <c r="H3" s="80"/>
      <c r="I3" s="80"/>
      <c r="J3" s="80"/>
      <c r="K3" s="80"/>
      <c r="L3" s="80"/>
      <c r="M3" s="80"/>
      <c r="N3" s="80"/>
      <c r="O3" s="80"/>
      <c r="P3" s="80"/>
      <c r="Q3" s="80"/>
      <c r="R3" s="80"/>
      <c r="S3" s="80"/>
      <c r="T3" s="80"/>
      <c r="U3" s="80"/>
      <c r="V3" s="80"/>
      <c r="W3" s="80"/>
      <c r="X3" s="80"/>
      <c r="Y3" s="80"/>
      <c r="Z3" s="80"/>
      <c r="AA3" s="81"/>
    </row>
    <row r="4" spans="1:27" ht="14.5" customHeight="1" thickBot="1" x14ac:dyDescent="0.4">
      <c r="A4" s="82"/>
      <c r="B4" s="83"/>
      <c r="C4" s="83"/>
      <c r="D4" s="83"/>
      <c r="E4" s="83"/>
      <c r="F4" s="83"/>
      <c r="G4" s="83"/>
      <c r="H4" s="83"/>
      <c r="I4" s="83"/>
      <c r="J4" s="83"/>
      <c r="K4" s="83"/>
      <c r="L4" s="83"/>
      <c r="M4" s="83"/>
      <c r="N4" s="83"/>
      <c r="O4" s="83"/>
      <c r="P4" s="83"/>
      <c r="Q4" s="83"/>
      <c r="R4" s="83"/>
      <c r="S4" s="83"/>
      <c r="T4" s="83"/>
      <c r="U4" s="83"/>
      <c r="V4" s="83"/>
      <c r="W4" s="83"/>
      <c r="X4" s="83"/>
      <c r="Y4" s="83"/>
      <c r="Z4" s="83"/>
      <c r="AA4" s="84"/>
    </row>
    <row r="5" spans="1:27" x14ac:dyDescent="0.35">
      <c r="A5" s="57" t="s">
        <v>2064</v>
      </c>
      <c r="B5" s="58"/>
      <c r="C5" s="117"/>
      <c r="D5" s="57" t="s">
        <v>2075</v>
      </c>
      <c r="E5" s="58"/>
      <c r="F5" s="59"/>
      <c r="G5" s="57" t="s">
        <v>2074</v>
      </c>
      <c r="H5" s="58"/>
      <c r="I5" s="59"/>
      <c r="J5" s="57" t="s">
        <v>2073</v>
      </c>
      <c r="K5" s="58"/>
      <c r="L5" s="59"/>
      <c r="M5" s="66" t="s">
        <v>2069</v>
      </c>
      <c r="N5" s="67"/>
      <c r="O5" s="68"/>
      <c r="P5" s="67" t="s">
        <v>2068</v>
      </c>
      <c r="Q5" s="67"/>
      <c r="R5" s="67"/>
      <c r="S5" s="66" t="s">
        <v>2070</v>
      </c>
      <c r="T5" s="67"/>
      <c r="U5" s="68"/>
      <c r="V5" s="67" t="s">
        <v>2071</v>
      </c>
      <c r="W5" s="67"/>
      <c r="X5" s="67"/>
      <c r="Y5" s="57" t="s">
        <v>2072</v>
      </c>
      <c r="Z5" s="58"/>
      <c r="AA5" s="59"/>
    </row>
    <row r="6" spans="1:27" x14ac:dyDescent="0.35">
      <c r="A6" s="60"/>
      <c r="B6" s="61"/>
      <c r="C6" s="118"/>
      <c r="D6" s="60"/>
      <c r="E6" s="61"/>
      <c r="F6" s="62"/>
      <c r="G6" s="60"/>
      <c r="H6" s="61"/>
      <c r="I6" s="62"/>
      <c r="J6" s="60"/>
      <c r="K6" s="61"/>
      <c r="L6" s="62"/>
      <c r="M6" s="69"/>
      <c r="N6" s="70"/>
      <c r="O6" s="71"/>
      <c r="P6" s="70"/>
      <c r="Q6" s="70"/>
      <c r="R6" s="70"/>
      <c r="S6" s="69"/>
      <c r="T6" s="70"/>
      <c r="U6" s="71"/>
      <c r="V6" s="70"/>
      <c r="W6" s="70"/>
      <c r="X6" s="70"/>
      <c r="Y6" s="60"/>
      <c r="Z6" s="61"/>
      <c r="AA6" s="62"/>
    </row>
    <row r="7" spans="1:27" ht="15" thickBot="1" x14ac:dyDescent="0.4">
      <c r="A7" s="63"/>
      <c r="B7" s="64"/>
      <c r="C7" s="119"/>
      <c r="D7" s="63"/>
      <c r="E7" s="64"/>
      <c r="F7" s="65"/>
      <c r="G7" s="63"/>
      <c r="H7" s="64"/>
      <c r="I7" s="65"/>
      <c r="J7" s="63"/>
      <c r="K7" s="64"/>
      <c r="L7" s="65"/>
      <c r="M7" s="72"/>
      <c r="N7" s="73"/>
      <c r="O7" s="74"/>
      <c r="P7" s="73"/>
      <c r="Q7" s="73"/>
      <c r="R7" s="73"/>
      <c r="S7" s="72"/>
      <c r="T7" s="73"/>
      <c r="U7" s="74"/>
      <c r="V7" s="73"/>
      <c r="W7" s="73"/>
      <c r="X7" s="73"/>
      <c r="Y7" s="63"/>
      <c r="Z7" s="64"/>
      <c r="AA7" s="65"/>
    </row>
    <row r="8" spans="1:27" x14ac:dyDescent="0.35">
      <c r="A8" s="85">
        <f>COUNTA('Property Dataset  '!A2:A1001)</f>
        <v>1000</v>
      </c>
      <c r="B8" s="86"/>
      <c r="C8" s="120"/>
      <c r="D8" s="85">
        <f>COUNTIF('Property Dataset  '!U2:U1001,"SOLD")</f>
        <v>255</v>
      </c>
      <c r="E8" s="86"/>
      <c r="F8" s="87"/>
      <c r="G8" s="85">
        <f>COUNTIF('Property Dataset  '!U2:U1001,"Available")</f>
        <v>584</v>
      </c>
      <c r="H8" s="86"/>
      <c r="I8" s="87"/>
      <c r="J8" s="85">
        <f>COUNTIF('Property Dataset  '!U2:U1001,"Rented")</f>
        <v>161</v>
      </c>
      <c r="K8" s="86"/>
      <c r="L8" s="87"/>
      <c r="M8" s="94">
        <v>26719297.5</v>
      </c>
      <c r="N8" s="95"/>
      <c r="O8" s="96"/>
      <c r="P8" s="100">
        <v>0.44934430000000009</v>
      </c>
      <c r="Q8" s="100"/>
      <c r="R8" s="100"/>
      <c r="S8" s="102">
        <v>75513</v>
      </c>
      <c r="T8" s="103"/>
      <c r="U8" s="104"/>
      <c r="V8" s="103">
        <f>MEDIAN('Property Dataset  '!G2:G1001)</f>
        <v>8462</v>
      </c>
      <c r="W8" s="103"/>
      <c r="X8" s="103"/>
      <c r="Y8" s="108">
        <f>AVERAGE('Property Dataset  '!T2:T1001)</f>
        <v>180.22300000000001</v>
      </c>
      <c r="Z8" s="109"/>
      <c r="AA8" s="110"/>
    </row>
    <row r="9" spans="1:27" x14ac:dyDescent="0.35">
      <c r="A9" s="88"/>
      <c r="B9" s="89"/>
      <c r="C9" s="121"/>
      <c r="D9" s="88"/>
      <c r="E9" s="89"/>
      <c r="F9" s="90"/>
      <c r="G9" s="88"/>
      <c r="H9" s="89"/>
      <c r="I9" s="90"/>
      <c r="J9" s="88"/>
      <c r="K9" s="89"/>
      <c r="L9" s="90"/>
      <c r="M9" s="94"/>
      <c r="N9" s="95"/>
      <c r="O9" s="96"/>
      <c r="P9" s="100"/>
      <c r="Q9" s="100"/>
      <c r="R9" s="100"/>
      <c r="S9" s="102"/>
      <c r="T9" s="103"/>
      <c r="U9" s="104"/>
      <c r="V9" s="103"/>
      <c r="W9" s="103"/>
      <c r="X9" s="103"/>
      <c r="Y9" s="111"/>
      <c r="Z9" s="112"/>
      <c r="AA9" s="113"/>
    </row>
    <row r="10" spans="1:27" ht="15" thickBot="1" x14ac:dyDescent="0.4">
      <c r="A10" s="91"/>
      <c r="B10" s="92"/>
      <c r="C10" s="122"/>
      <c r="D10" s="91"/>
      <c r="E10" s="92"/>
      <c r="F10" s="93"/>
      <c r="G10" s="91"/>
      <c r="H10" s="92"/>
      <c r="I10" s="93"/>
      <c r="J10" s="91"/>
      <c r="K10" s="92"/>
      <c r="L10" s="93"/>
      <c r="M10" s="97"/>
      <c r="N10" s="98"/>
      <c r="O10" s="99"/>
      <c r="P10" s="101"/>
      <c r="Q10" s="101"/>
      <c r="R10" s="101"/>
      <c r="S10" s="105"/>
      <c r="T10" s="106"/>
      <c r="U10" s="107"/>
      <c r="V10" s="106"/>
      <c r="W10" s="106"/>
      <c r="X10" s="106"/>
      <c r="Y10" s="114"/>
      <c r="Z10" s="115"/>
      <c r="AA10" s="116"/>
    </row>
    <row r="77" spans="1:27" ht="18" x14ac:dyDescent="0.4">
      <c r="A77" s="75" t="s">
        <v>2168</v>
      </c>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row>
    <row r="78" spans="1:27" x14ac:dyDescent="0.35">
      <c r="A78" s="56" t="s">
        <v>2085</v>
      </c>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row>
    <row r="79" spans="1:27" x14ac:dyDescent="0.35">
      <c r="A79" s="56" t="s">
        <v>2086</v>
      </c>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row>
    <row r="80" spans="1:27" x14ac:dyDescent="0.35">
      <c r="A80" s="56" t="s">
        <v>2087</v>
      </c>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row>
    <row r="81" spans="1:27" x14ac:dyDescent="0.35">
      <c r="A81" s="56" t="s">
        <v>2088</v>
      </c>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row>
    <row r="82" spans="1:27" x14ac:dyDescent="0.35">
      <c r="A82" s="56" t="s">
        <v>2089</v>
      </c>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row>
    <row r="83" spans="1:27" x14ac:dyDescent="0.35">
      <c r="A83" s="56" t="s">
        <v>2090</v>
      </c>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row>
    <row r="84" spans="1:27" x14ac:dyDescent="0.35">
      <c r="A84" s="56" t="s">
        <v>2091</v>
      </c>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row>
    <row r="85" spans="1:27" x14ac:dyDescent="0.35">
      <c r="A85" s="56" t="s">
        <v>2092</v>
      </c>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row>
    <row r="86" spans="1:27" x14ac:dyDescent="0.35">
      <c r="A86" s="56" t="s">
        <v>2093</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row>
    <row r="87" spans="1:27" x14ac:dyDescent="0.35">
      <c r="A87" s="47" t="s">
        <v>2094</v>
      </c>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9"/>
    </row>
    <row r="88" spans="1:27" x14ac:dyDescent="0.35">
      <c r="A88" s="50"/>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2"/>
    </row>
    <row r="89" spans="1:27" x14ac:dyDescent="0.35">
      <c r="A89" s="50"/>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2"/>
    </row>
    <row r="90" spans="1:27" x14ac:dyDescent="0.35">
      <c r="A90" s="53"/>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5"/>
    </row>
    <row r="92" spans="1:27" x14ac:dyDescent="0.35">
      <c r="A92" s="32" t="s">
        <v>2240</v>
      </c>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row>
    <row r="93" spans="1:27" x14ac:dyDescent="0.35">
      <c r="A93" s="34" t="s">
        <v>2238</v>
      </c>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row>
    <row r="94" spans="1:27" x14ac:dyDescent="0.35">
      <c r="A94" s="35" t="s">
        <v>2239</v>
      </c>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row>
  </sheetData>
  <mergeCells count="33">
    <mergeCell ref="A1:AA4"/>
    <mergeCell ref="G8:I10"/>
    <mergeCell ref="J8:L10"/>
    <mergeCell ref="M8:O10"/>
    <mergeCell ref="P8:R10"/>
    <mergeCell ref="S8:U10"/>
    <mergeCell ref="V8:X10"/>
    <mergeCell ref="Y8:AA10"/>
    <mergeCell ref="A5:C7"/>
    <mergeCell ref="A8:C10"/>
    <mergeCell ref="D5:F7"/>
    <mergeCell ref="D8:F10"/>
    <mergeCell ref="G5:I7"/>
    <mergeCell ref="J5:L7"/>
    <mergeCell ref="M5:O7"/>
    <mergeCell ref="P5:R7"/>
    <mergeCell ref="A77:AA77"/>
    <mergeCell ref="A78:AA78"/>
    <mergeCell ref="S5:U7"/>
    <mergeCell ref="V5:X7"/>
    <mergeCell ref="Y5:AA7"/>
    <mergeCell ref="A79:AA79"/>
    <mergeCell ref="A80:AA80"/>
    <mergeCell ref="A81:AA81"/>
    <mergeCell ref="A92:AA92"/>
    <mergeCell ref="A93:AA93"/>
    <mergeCell ref="A94:AA94"/>
    <mergeCell ref="A87:AA90"/>
    <mergeCell ref="A82:AA82"/>
    <mergeCell ref="A83:AA83"/>
    <mergeCell ref="A84:AA84"/>
    <mergeCell ref="A85:AA85"/>
    <mergeCell ref="A86:AA86"/>
  </mergeCells>
  <pageMargins left="0.7" right="0.7" top="0.75" bottom="0.75" header="0.3" footer="0.3"/>
  <pageSetup scale="37"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E3D4-336F-4C08-9F40-8F6BD7C7D7EB}">
  <dimension ref="A1:L70"/>
  <sheetViews>
    <sheetView tabSelected="1" view="pageBreakPreview" zoomScale="60" zoomScaleNormal="100" workbookViewId="0">
      <selection activeCell="M135" sqref="M135"/>
    </sheetView>
  </sheetViews>
  <sheetFormatPr defaultRowHeight="14.5" x14ac:dyDescent="0.35"/>
  <cols>
    <col min="1" max="1" width="27.26953125" customWidth="1"/>
    <col min="2" max="6" width="18.1796875" customWidth="1"/>
    <col min="7" max="7" width="23.6328125" customWidth="1"/>
    <col min="8" max="12" width="18.1796875" customWidth="1"/>
  </cols>
  <sheetData>
    <row r="1" spans="1:12" ht="30" customHeight="1" x14ac:dyDescent="0.5">
      <c r="A1" s="123" t="s">
        <v>2095</v>
      </c>
      <c r="B1" s="123"/>
      <c r="C1" s="123"/>
      <c r="D1" s="123"/>
      <c r="E1" s="123"/>
      <c r="F1" s="123"/>
      <c r="G1" s="123"/>
      <c r="H1" s="123"/>
      <c r="I1" s="123"/>
      <c r="J1" s="123"/>
      <c r="K1" s="123"/>
      <c r="L1" s="123"/>
    </row>
    <row r="3" spans="1:12" x14ac:dyDescent="0.35">
      <c r="A3" s="124" t="s">
        <v>2096</v>
      </c>
      <c r="B3" s="125"/>
      <c r="C3" s="125"/>
      <c r="D3" s="125"/>
      <c r="G3" s="124" t="s">
        <v>2136</v>
      </c>
      <c r="H3" s="125"/>
      <c r="I3" s="125"/>
    </row>
    <row r="4" spans="1:12" x14ac:dyDescent="0.35">
      <c r="A4" s="14" t="s">
        <v>2097</v>
      </c>
      <c r="B4" s="14" t="s">
        <v>2098</v>
      </c>
      <c r="C4" s="14" t="s">
        <v>2099</v>
      </c>
      <c r="D4" s="14" t="s">
        <v>2100</v>
      </c>
      <c r="G4" s="14" t="s">
        <v>2039</v>
      </c>
      <c r="H4" s="14" t="s">
        <v>2131</v>
      </c>
      <c r="I4" s="14" t="s">
        <v>2137</v>
      </c>
    </row>
    <row r="5" spans="1:12" x14ac:dyDescent="0.35">
      <c r="A5" s="13" t="s">
        <v>6</v>
      </c>
      <c r="B5" s="13">
        <f>COUNTIF('Property Dataset  '!Q:Q,"Premium")</f>
        <v>491</v>
      </c>
      <c r="C5" s="15">
        <f>AVERAGEIF('Property Dataset  '!Q:Q,"Premium",'Property Dataset  '!F:F)</f>
        <v>12279022.403258655</v>
      </c>
      <c r="D5" s="16">
        <f>AVERAGEIF('Property Dataset  '!Q:Q,"Premium",'Property Dataset  '!R:R)</f>
        <v>0.44894928716904309</v>
      </c>
      <c r="G5" s="13" t="s">
        <v>25</v>
      </c>
      <c r="H5" s="16">
        <f>AVERAGEIF('Property Dataset  '!B:B,"Bangalore",'Property Dataset  '!P:P)</f>
        <v>3.9205524861878449</v>
      </c>
      <c r="I5" s="16">
        <f>_xlfn.MAXIFS('Property Dataset  '!P:P,'Property Dataset  '!B:B,"Bangalore")</f>
        <v>4.99</v>
      </c>
    </row>
    <row r="6" spans="1:12" x14ac:dyDescent="0.35">
      <c r="A6" s="13" t="s">
        <v>14</v>
      </c>
      <c r="B6" s="13">
        <f>COUNTIF('Property Dataset  '!Q:Q,"Luxury")</f>
        <v>509</v>
      </c>
      <c r="C6" s="15">
        <f>AVERAGEIF('Property Dataset  '!Q:Q,"Luxury",'Property Dataset  '!F:F)</f>
        <v>39176088.683693513</v>
      </c>
      <c r="D6" s="16">
        <f>AVERAGEIF('Property Dataset  '!Q:Q,"Luxury",'Property Dataset  '!R:R)</f>
        <v>0.44972534381139456</v>
      </c>
      <c r="G6" s="13" t="s">
        <v>1</v>
      </c>
      <c r="H6" s="16">
        <f>AVERAGEIF('Property Dataset  '!B:B,"Chennai",'Property Dataset  '!P:P)</f>
        <v>3.9915642458100549</v>
      </c>
      <c r="I6" s="16">
        <f>_xlfn.MAXIFS('Property Dataset  '!P:P,'Property Dataset  '!B:B,"Chennai")</f>
        <v>4.99</v>
      </c>
    </row>
    <row r="7" spans="1:12" x14ac:dyDescent="0.35">
      <c r="G7" s="13" t="s">
        <v>54</v>
      </c>
      <c r="H7" s="16">
        <f>AVERAGEIF('Property Dataset  '!B:B,"Delhi",'Property Dataset  '!P:P)</f>
        <v>4.0123493975903601</v>
      </c>
      <c r="I7" s="16">
        <f>_xlfn.MAXIFS('Property Dataset  '!P:P,'Property Dataset  '!B:B,"Delhi")</f>
        <v>5</v>
      </c>
    </row>
    <row r="8" spans="1:12" x14ac:dyDescent="0.35">
      <c r="A8" s="124" t="s">
        <v>2101</v>
      </c>
      <c r="B8" s="125"/>
      <c r="C8" s="125"/>
      <c r="D8" s="125"/>
      <c r="E8" s="125"/>
      <c r="F8" s="126"/>
      <c r="G8" s="13" t="s">
        <v>32</v>
      </c>
      <c r="H8" s="16">
        <f>AVERAGEIF('Property Dataset  '!B:B,"Hyderabad",'Property Dataset  '!P:P)</f>
        <v>4.0319727891156463</v>
      </c>
      <c r="I8" s="16">
        <f>_xlfn.MAXIFS('Property Dataset  '!P:P,'Property Dataset  '!B:B,"Hyderabad")</f>
        <v>4.9800000000000004</v>
      </c>
    </row>
    <row r="9" spans="1:12" x14ac:dyDescent="0.35">
      <c r="A9" s="14" t="s">
        <v>2045</v>
      </c>
      <c r="B9" s="14" t="s">
        <v>2098</v>
      </c>
      <c r="C9" s="14" t="s">
        <v>2102</v>
      </c>
      <c r="D9" s="14" t="s">
        <v>2099</v>
      </c>
      <c r="E9" s="14" t="s">
        <v>2103</v>
      </c>
      <c r="F9" s="12" t="s">
        <v>2100</v>
      </c>
      <c r="G9" s="14" t="s">
        <v>9</v>
      </c>
      <c r="H9" s="16">
        <f>AVERAGEIF('Property Dataset  '!B:B,"Mumbai",'Property Dataset  '!P:P)</f>
        <v>4.0589506172839505</v>
      </c>
      <c r="I9" s="16">
        <f>_xlfn.MAXIFS('Property Dataset  '!P:P,'Property Dataset  '!B:B,"Mumbai")</f>
        <v>4.9800000000000004</v>
      </c>
    </row>
    <row r="10" spans="1:12" x14ac:dyDescent="0.35">
      <c r="A10" s="13" t="s">
        <v>2104</v>
      </c>
      <c r="B10" s="13">
        <f>COUNTIF('Property Dataset  '!H:H,0)</f>
        <v>79</v>
      </c>
      <c r="C10" s="17">
        <f t="shared" ref="C10:C16" si="0">B10/1000</f>
        <v>7.9000000000000001E-2</v>
      </c>
      <c r="D10" s="15">
        <f>AVERAGEIF('Property Dataset  '!H:H,0,'Property Dataset  '!F:F)</f>
        <v>24744793.06329114</v>
      </c>
      <c r="E10" s="15">
        <f>AVERAGEIF('Property Dataset  '!H:H,0,'Property Dataset  '!O:O)</f>
        <v>84132.848101265816</v>
      </c>
      <c r="F10" s="18">
        <f>AVERAGEIF('Property Dataset  '!H:H,0,'Property Dataset  '!R:R)</f>
        <v>0.45287341772151918</v>
      </c>
      <c r="G10" s="13" t="s">
        <v>18</v>
      </c>
      <c r="H10" s="16">
        <f>AVERAGEIF('Property Dataset  '!B:B,"Pune",'Property Dataset  '!P:P)</f>
        <v>3.9184242424242424</v>
      </c>
      <c r="I10" s="16">
        <f>_xlfn.MAXIFS('Property Dataset  '!P:P,'Property Dataset  '!B:B,"Pune")</f>
        <v>4.96</v>
      </c>
    </row>
    <row r="11" spans="1:12" x14ac:dyDescent="0.35">
      <c r="A11" s="13" t="s">
        <v>2105</v>
      </c>
      <c r="B11" s="13">
        <f>COUNTIF('Property Dataset  '!H:H,1)</f>
        <v>164</v>
      </c>
      <c r="C11" s="17">
        <f t="shared" si="0"/>
        <v>0.16400000000000001</v>
      </c>
      <c r="D11" s="15">
        <f>AVERAGEIF('Property Dataset  '!H:H,1,'Property Dataset  '!F:F)</f>
        <v>27486527.36585366</v>
      </c>
      <c r="E11" s="15">
        <f>AVERAGEIF('Property Dataset  '!H:H,1,'Property Dataset  '!O:O)</f>
        <v>88738.335365853665</v>
      </c>
      <c r="F11" s="16">
        <f>AVERAGEIF('Property Dataset  '!H:H,1,'Property Dataset  '!R:R)</f>
        <v>0.44392134146341483</v>
      </c>
    </row>
    <row r="12" spans="1:12" x14ac:dyDescent="0.35">
      <c r="A12" s="13" t="s">
        <v>2106</v>
      </c>
      <c r="B12" s="13">
        <f>COUNTIF('Property Dataset  '!H:H,2)</f>
        <v>95</v>
      </c>
      <c r="C12" s="17">
        <f t="shared" si="0"/>
        <v>9.5000000000000001E-2</v>
      </c>
      <c r="D12" s="15">
        <f>AVERAGEIF('Property Dataset  '!H:H,2,'Property Dataset  '!F:F)</f>
        <v>27115789.47368421</v>
      </c>
      <c r="E12" s="15">
        <f>AVERAGEIF('Property Dataset  '!H:H,2,'Property Dataset  '!O:O)</f>
        <v>93280.652631578952</v>
      </c>
      <c r="F12" s="18">
        <f>AVERAGEIF('Property Dataset  '!H:H,2,'Property Dataset  '!R:R)</f>
        <v>0.45356736842105261</v>
      </c>
      <c r="G12" s="124" t="s">
        <v>2138</v>
      </c>
      <c r="H12" s="125"/>
      <c r="I12" s="125"/>
      <c r="J12" s="125"/>
      <c r="K12" s="125"/>
    </row>
    <row r="13" spans="1:12" x14ac:dyDescent="0.35">
      <c r="A13" s="13" t="s">
        <v>2107</v>
      </c>
      <c r="B13" s="13">
        <f>COUNTIF('Property Dataset  '!H:H,3)</f>
        <v>156</v>
      </c>
      <c r="C13" s="17">
        <f t="shared" si="0"/>
        <v>0.156</v>
      </c>
      <c r="D13" s="15">
        <f>AVERAGEIF('Property Dataset  '!H:H,3,'Property Dataset  '!F:F)</f>
        <v>26782051.282051284</v>
      </c>
      <c r="E13" s="15">
        <f>AVERAGEIF('Property Dataset  '!H:H,3,'Property Dataset  '!O:O)</f>
        <v>88174.557692307688</v>
      </c>
      <c r="F13" s="18">
        <f>AVERAGEIF('Property Dataset  '!H:H,3,'Property Dataset  '!R:R)</f>
        <v>0.44408397435897423</v>
      </c>
      <c r="G13" s="14" t="s">
        <v>2139</v>
      </c>
      <c r="H13" s="14" t="s">
        <v>2098</v>
      </c>
      <c r="I13" s="14" t="s">
        <v>2099</v>
      </c>
      <c r="J13" s="14" t="s">
        <v>2100</v>
      </c>
      <c r="K13" s="14" t="s">
        <v>2140</v>
      </c>
    </row>
    <row r="14" spans="1:12" x14ac:dyDescent="0.35">
      <c r="A14" s="13" t="s">
        <v>2108</v>
      </c>
      <c r="B14" s="13">
        <f>COUNTIF('Property Dataset  '!H:H,4)</f>
        <v>201</v>
      </c>
      <c r="C14" s="17">
        <f t="shared" si="0"/>
        <v>0.20100000000000001</v>
      </c>
      <c r="D14" s="15">
        <f>AVERAGEIF('Property Dataset  '!H:H,4,'Property Dataset  '!F:F)</f>
        <v>24601990.049751244</v>
      </c>
      <c r="E14" s="15">
        <f>AVERAGEIF('Property Dataset  '!H:H,4,'Property Dataset  '!O:O)</f>
        <v>81897.059701492544</v>
      </c>
      <c r="F14" s="18">
        <f>AVERAGEIF('Property Dataset  '!H:H,4,'Property Dataset  '!R:R)</f>
        <v>0.44975771144278637</v>
      </c>
      <c r="G14" s="13" t="s">
        <v>2141</v>
      </c>
      <c r="H14" s="13">
        <f>COUNTIF('Property Dataset  '!W:W,TRUE)</f>
        <v>528</v>
      </c>
      <c r="I14" s="15">
        <f>AVERAGEIF('Property Dataset  '!W:W,TRUE,'Property Dataset  '!F:F)</f>
        <v>26390552.363636363</v>
      </c>
      <c r="J14" s="16">
        <f>AVERAGEIF('Property Dataset  '!W:W,TRUE,'Property Dataset  '!R:R)</f>
        <v>0.4487183712121211</v>
      </c>
      <c r="K14" s="19">
        <f>AVERAGEIF('Property Dataset  '!W:W,TRUE,'Property Dataset  '!T:T)</f>
        <v>184.69128787878788</v>
      </c>
    </row>
    <row r="15" spans="1:12" x14ac:dyDescent="0.35">
      <c r="A15" s="13" t="s">
        <v>2109</v>
      </c>
      <c r="B15" s="13">
        <f>COUNTIF('Property Dataset  '!H:H,5)</f>
        <v>184</v>
      </c>
      <c r="C15" s="17">
        <f t="shared" si="0"/>
        <v>0.184</v>
      </c>
      <c r="D15" s="15">
        <f>AVERAGEIF('Property Dataset  '!H:H,5,'Property Dataset  '!F:F)</f>
        <v>25347826.086956523</v>
      </c>
      <c r="E15" s="15">
        <f>AVERAGEIF('Property Dataset  '!H:H,5,'Property Dataset  '!O:O)</f>
        <v>85540.684782608689</v>
      </c>
      <c r="F15" s="18">
        <f>AVERAGEIF('Property Dataset  '!H:H,5,'Property Dataset  '!R:R)</f>
        <v>0.4526880434782608</v>
      </c>
      <c r="G15" s="13" t="s">
        <v>2142</v>
      </c>
      <c r="H15" s="13">
        <f>COUNTIF('Property Dataset  '!W:W,FALSE)</f>
        <v>472</v>
      </c>
      <c r="I15" s="15">
        <f>AVERAGEIF('Property Dataset  '!W:W,FALSE,'Property Dataset  '!F:F)</f>
        <v>25498765.872881357</v>
      </c>
      <c r="J15" s="16">
        <f>AVERAGEIF('Property Dataset  '!W:W,FALSE,'Property Dataset  '!R:R)</f>
        <v>0.45004449152542364</v>
      </c>
      <c r="K15" s="19">
        <f>AVERAGEIF('Property Dataset  '!W:W,FALSE,'Property Dataset  '!T:T)</f>
        <v>175.22457627118644</v>
      </c>
    </row>
    <row r="16" spans="1:12" x14ac:dyDescent="0.35">
      <c r="A16" s="13" t="s">
        <v>2110</v>
      </c>
      <c r="B16" s="13">
        <f>COUNTIF('Property Dataset  '!H:H,6)</f>
        <v>121</v>
      </c>
      <c r="C16" s="17">
        <f t="shared" si="0"/>
        <v>0.121</v>
      </c>
      <c r="D16" s="15">
        <f>AVERAGEIF('Property Dataset  '!H:H,6,'Property Dataset  '!F:F)</f>
        <v>25983471.074380167</v>
      </c>
      <c r="E16" s="15">
        <f>AVERAGEIF('Property Dataset  '!H:H,6,'Property Dataset  '!O:O)</f>
        <v>86718.198347107435</v>
      </c>
      <c r="F16" s="16">
        <f>AVERAGEIF('Property Dataset  '!H:H,6,'Property Dataset  '!R:R)</f>
        <v>0.45208512396694228</v>
      </c>
    </row>
    <row r="17" spans="1:12" x14ac:dyDescent="0.35">
      <c r="G17" s="124" t="s">
        <v>2143</v>
      </c>
      <c r="H17" s="125"/>
      <c r="I17" s="125"/>
      <c r="J17" s="125"/>
      <c r="K17" s="125"/>
    </row>
    <row r="18" spans="1:12" x14ac:dyDescent="0.35">
      <c r="A18" s="124" t="s">
        <v>2111</v>
      </c>
      <c r="B18" s="125"/>
      <c r="C18" s="125"/>
      <c r="D18" s="125"/>
      <c r="E18" s="125"/>
      <c r="G18" s="14" t="s">
        <v>2144</v>
      </c>
      <c r="H18" s="14" t="s">
        <v>2098</v>
      </c>
      <c r="I18" s="14" t="s">
        <v>2099</v>
      </c>
      <c r="J18" s="14" t="s">
        <v>2145</v>
      </c>
      <c r="K18" s="14" t="s">
        <v>2100</v>
      </c>
    </row>
    <row r="19" spans="1:12" x14ac:dyDescent="0.35">
      <c r="A19" s="14" t="s">
        <v>2112</v>
      </c>
      <c r="B19" s="14" t="s">
        <v>2098</v>
      </c>
      <c r="C19" s="14" t="s">
        <v>2099</v>
      </c>
      <c r="D19" s="14" t="s">
        <v>2113</v>
      </c>
      <c r="E19" s="14" t="s">
        <v>2100</v>
      </c>
      <c r="G19" s="14" t="s">
        <v>2146</v>
      </c>
      <c r="H19" s="13">
        <f>COUNTIF('Property Dataset  '!X:X,TRUE)</f>
        <v>483</v>
      </c>
      <c r="I19" s="15">
        <f>AVERAGEIF('Property Dataset  '!X:X,TRUE,'Property Dataset  '!F:F)</f>
        <v>25816838.621118013</v>
      </c>
      <c r="J19" s="15">
        <f>AVERAGEIF('Property Dataset  '!X:X,TRUE,'Property Dataset  '!Y:Y)</f>
        <v>25015.178053830226</v>
      </c>
      <c r="K19" s="16">
        <f>AVERAGEIF('Property Dataset  '!X:X,TRUE,'Property Dataset  '!R:R)</f>
        <v>0.44939875776397475</v>
      </c>
    </row>
    <row r="20" spans="1:12" x14ac:dyDescent="0.35">
      <c r="A20" s="13" t="s">
        <v>2114</v>
      </c>
      <c r="B20" s="13">
        <f>COUNTIFS('Property Dataset  '!J:J,"&gt;=0",'Property Dataset  '!J:J,"&lt;=5")</f>
        <v>197</v>
      </c>
      <c r="C20" s="15">
        <f>AVERAGEIFS('Property Dataset  '!F:F,'Property Dataset  '!J:J,"&gt;=0",'Property Dataset  '!J:J,"&lt;=5")</f>
        <v>25787811.583756346</v>
      </c>
      <c r="D20" s="15">
        <f>AVERAGEIFS('Property Dataset  '!G:G,'Property Dataset  '!J:J,"&gt;=0",'Property Dataset  '!J:J,"&lt;=5")</f>
        <v>23155.979695431473</v>
      </c>
      <c r="E20" s="16">
        <f>AVERAGEIFS('Property Dataset  '!R:R,'Property Dataset  '!J:J,"&gt;=0",'Property Dataset  '!J:J,"&lt;=5")</f>
        <v>0.44876243654822306</v>
      </c>
      <c r="G20" s="13" t="s">
        <v>2147</v>
      </c>
      <c r="H20" s="13">
        <f>COUNTIF('Property Dataset  '!X:X,FALSE)</f>
        <v>517</v>
      </c>
      <c r="I20" s="15">
        <f>AVERAGEIF('Property Dataset  '!X:X,FALSE,'Property Dataset  '!F:F)</f>
        <v>26112371.539651837</v>
      </c>
      <c r="J20" s="15">
        <f>AVERAGEIF('Property Dataset  '!X:X,FALSE,'Property Dataset  '!Y:Y)</f>
        <v>27185.257253384912</v>
      </c>
      <c r="K20" s="16">
        <f>AVERAGEIF('Property Dataset  '!X:X,FALSE,'Property Dataset  '!R:R)</f>
        <v>0.44929342359767904</v>
      </c>
    </row>
    <row r="21" spans="1:12" x14ac:dyDescent="0.35">
      <c r="A21" s="13" t="s">
        <v>2115</v>
      </c>
      <c r="B21" s="13">
        <f>COUNTIFS('Property Dataset  '!J:J,"&gt;=6",'Property Dataset  '!J:J,"&lt;=10")</f>
        <v>170</v>
      </c>
      <c r="C21" s="15">
        <f>AVERAGEIFS('Property Dataset  '!F:F,'Property Dataset  '!J:J,"&gt;=6",'Property Dataset  '!J:J,"&lt;=10")</f>
        <v>25272758.894117646</v>
      </c>
      <c r="D21" s="15">
        <f>AVERAGEIFS('Property Dataset  '!G:G,'Property Dataset  '!J:J,"&gt;=6",'Property Dataset  '!J:J,"&lt;=10")</f>
        <v>22410.788235294116</v>
      </c>
      <c r="E21" s="16">
        <f>AVERAGEIFS('Property Dataset  '!R:R,'Property Dataset  '!J:J,"&gt;=6",'Property Dataset  '!J:J,"&lt;=10")</f>
        <v>0.45116235294117668</v>
      </c>
    </row>
    <row r="22" spans="1:12" x14ac:dyDescent="0.35">
      <c r="A22" s="13" t="s">
        <v>2116</v>
      </c>
      <c r="B22" s="13">
        <f>COUNTIFS('Property Dataset  '!J:J,"&gt;=11",'Property Dataset  '!J:J,"&lt;=15")</f>
        <v>175</v>
      </c>
      <c r="C22" s="15">
        <f>AVERAGEIFS('Property Dataset  '!F:F,'Property Dataset  '!J:J,"&gt;=11",'Property Dataset  '!J:J,"&lt;=15")</f>
        <v>26298341.354285713</v>
      </c>
      <c r="D22" s="15">
        <f>AVERAGEIFS('Property Dataset  '!G:G,'Property Dataset  '!J:J,"&gt;=11",'Property Dataset  '!J:J,"&lt;=15")</f>
        <v>21234.154285714285</v>
      </c>
      <c r="E22" s="16">
        <f>AVERAGEIFS('Property Dataset  '!R:R,'Property Dataset  '!J:J,"&gt;=11",'Property Dataset  '!J:J,"&lt;=15")</f>
        <v>0.44754571428571444</v>
      </c>
      <c r="G22" s="124" t="s">
        <v>2148</v>
      </c>
      <c r="H22" s="125"/>
      <c r="I22" s="125"/>
      <c r="J22" s="125"/>
      <c r="K22" s="125"/>
      <c r="L22" s="125"/>
    </row>
    <row r="23" spans="1:12" x14ac:dyDescent="0.35">
      <c r="A23" s="13" t="s">
        <v>2117</v>
      </c>
      <c r="B23" s="13">
        <f>COUNTIFS('Property Dataset  '!J:J,"&gt;=16",'Property Dataset  '!J:J,"&lt;=20")</f>
        <v>152</v>
      </c>
      <c r="C23" s="15">
        <f>AVERAGEIFS('Property Dataset  '!F:F,'Property Dataset  '!J:J,"&gt;=16",'Property Dataset  '!J:J,"&lt;=20")</f>
        <v>26000879.203947369</v>
      </c>
      <c r="D23" s="15">
        <f>AVERAGEIFS('Property Dataset  '!G:G,'Property Dataset  '!J:J,"&gt;=16",'Property Dataset  '!J:J,"&lt;=20")</f>
        <v>21535.50657894737</v>
      </c>
      <c r="E23" s="16">
        <f>AVERAGEIFS('Property Dataset  '!R:R,'Property Dataset  '!J:J,"&gt;=16",'Property Dataset  '!J:J,"&lt;=20")</f>
        <v>0.4522578947368423</v>
      </c>
      <c r="G23" s="14" t="s">
        <v>2149</v>
      </c>
      <c r="H23" s="14" t="s">
        <v>2098</v>
      </c>
      <c r="I23" s="14" t="s">
        <v>2099</v>
      </c>
      <c r="J23" s="14" t="s">
        <v>2150</v>
      </c>
      <c r="K23" s="14" t="s">
        <v>2103</v>
      </c>
      <c r="L23" s="14" t="s">
        <v>2100</v>
      </c>
    </row>
    <row r="24" spans="1:12" x14ac:dyDescent="0.35">
      <c r="A24" s="13" t="s">
        <v>2118</v>
      </c>
      <c r="B24" s="13">
        <f>COUNTIFS('Property Dataset  '!J:J,"&gt;=21",'Property Dataset  '!J:J,"&lt;=25")</f>
        <v>141</v>
      </c>
      <c r="C24" s="15">
        <f>AVERAGEIFS('Property Dataset  '!F:F,'Property Dataset  '!J:J,"&gt;=21",'Property Dataset  '!J:J,"&lt;=25")</f>
        <v>25679721.929078013</v>
      </c>
      <c r="D24" s="15">
        <f>AVERAGEIFS('Property Dataset  '!G:G,'Property Dataset  '!J:J,"&gt;=21",'Property Dataset  '!J:J,"&lt;=25")</f>
        <v>17126.524822695035</v>
      </c>
      <c r="E24" s="16">
        <f>AVERAGEIFS('Property Dataset  '!R:R,'Property Dataset  '!J:J,"&gt;=21",'Property Dataset  '!J:J,"&lt;=25")</f>
        <v>0.44570921985815593</v>
      </c>
      <c r="G24" s="13" t="s">
        <v>3</v>
      </c>
      <c r="H24" s="13">
        <f>COUNTIF('Property Dataset  '!D:D,"Apartment")</f>
        <v>216</v>
      </c>
      <c r="I24" s="15">
        <f>AVERAGEIF('Property Dataset  '!D:D,"Apartment",'Property Dataset  '!F:F)</f>
        <v>26282407.407407407</v>
      </c>
      <c r="J24" s="20">
        <f>AVERAGEIF('Property Dataset  '!D:D,"Apartment",'Property Dataset  '!E:E)</f>
        <v>1711.3425925925926</v>
      </c>
      <c r="K24" s="15">
        <f>AVERAGEIF('Property Dataset  '!D:D,"Apartment",'Property Dataset  '!O:O)</f>
        <v>86035.398148148146</v>
      </c>
      <c r="L24" s="16">
        <f>AVERAGEIF('Property Dataset  '!D:D,"Apartment",'Property Dataset  '!R:R)</f>
        <v>0.44588425925925929</v>
      </c>
    </row>
    <row r="25" spans="1:12" x14ac:dyDescent="0.35">
      <c r="A25" s="13" t="s">
        <v>2119</v>
      </c>
      <c r="B25" s="13">
        <f>COUNTIFS('Property Dataset  '!J:J,"&gt;=26",'Property Dataset  '!J:J,"&lt;=30")</f>
        <v>165</v>
      </c>
      <c r="C25" s="15">
        <f>AVERAGEIFS('Property Dataset  '!F:F,'Property Dataset  '!J:J,"&gt;=26",'Property Dataset  '!J:J,"&lt;=30")</f>
        <v>26775012.593939394</v>
      </c>
      <c r="D25" s="15">
        <f>AVERAGEIFS('Property Dataset  '!G:G,'Property Dataset  '!J:J,"&gt;=26",'Property Dataset  '!J:J,"&lt;=30")</f>
        <v>17534.406060606059</v>
      </c>
      <c r="E25" s="16">
        <f>AVERAGEIFS('Property Dataset  '!R:R,'Property Dataset  '!J:J,"&gt;=26",'Property Dataset  '!J:J,"&lt;=30")</f>
        <v>0.45049575757575722</v>
      </c>
      <c r="G25" s="13" t="s">
        <v>20</v>
      </c>
      <c r="H25" s="13">
        <f>COUNTIF('Property Dataset  '!D:D,"Independent House")</f>
        <v>200</v>
      </c>
      <c r="I25" s="15">
        <f>AVERAGEIF('Property Dataset  '!D:D,"Independent House",'Property Dataset  '!F:F)</f>
        <v>27670000</v>
      </c>
      <c r="J25" s="20">
        <f>AVERAGEIF('Property Dataset  '!D:D,"Independent House",'Property Dataset  '!E:E)</f>
        <v>3230.105</v>
      </c>
      <c r="K25" s="15">
        <f>AVERAGEIF('Property Dataset  '!D:D,"Independent House",'Property Dataset  '!O:O)</f>
        <v>91563.46</v>
      </c>
      <c r="L25" s="16">
        <f>AVERAGEIF('Property Dataset  '!D:D,"Independent House",'Property Dataset  '!R:R)</f>
        <v>0.44875500000000024</v>
      </c>
    </row>
    <row r="26" spans="1:12" x14ac:dyDescent="0.35">
      <c r="G26" s="13" t="s">
        <v>38</v>
      </c>
      <c r="H26" s="13">
        <f>COUNTIF('Property Dataset  '!D:D,"Penthouse")</f>
        <v>206</v>
      </c>
      <c r="I26" s="15">
        <f>AVERAGEIF('Property Dataset  '!D:D,"Penthouse",'Property Dataset  '!F:F)</f>
        <v>24300970.873786408</v>
      </c>
      <c r="J26" s="20">
        <f>AVERAGEIF('Property Dataset  '!D:D,"Penthouse",'Property Dataset  '!E:E)</f>
        <v>6515.019417475728</v>
      </c>
      <c r="K26" s="15">
        <f>AVERAGEIF('Property Dataset  '!D:D,"Penthouse",'Property Dataset  '!O:O)</f>
        <v>82401.378640776704</v>
      </c>
      <c r="L26" s="16">
        <f>AVERAGEIF('Property Dataset  '!D:D,"Penthouse",'Property Dataset  '!R:R)</f>
        <v>0.45286359223300959</v>
      </c>
    </row>
    <row r="27" spans="1:12" x14ac:dyDescent="0.35">
      <c r="A27" s="124" t="s">
        <v>2120</v>
      </c>
      <c r="B27" s="125"/>
      <c r="C27" s="125"/>
      <c r="D27" s="125"/>
      <c r="E27" s="125"/>
      <c r="G27" s="13" t="s">
        <v>11</v>
      </c>
      <c r="H27" s="13">
        <f>COUNTIF('Property Dataset  '!D:D,"Studio")</f>
        <v>183</v>
      </c>
      <c r="I27" s="15">
        <f>AVERAGEIF('Property Dataset  '!D:D,"Studio",'Property Dataset  '!F:F)</f>
        <v>26243875.081967212</v>
      </c>
      <c r="J27" s="20">
        <f>AVERAGEIF('Property Dataset  '!D:D,"Studio",'Property Dataset  '!E:E)</f>
        <v>414.24043715846994</v>
      </c>
      <c r="K27" s="15">
        <f>AVERAGEIF('Property Dataset  '!D:D,"Studio",'Property Dataset  '!O:O)</f>
        <v>87835.393442622953</v>
      </c>
      <c r="L27" s="16">
        <f>AVERAGEIF('Property Dataset  '!D:D,"Studio",'Property Dataset  '!R:R)</f>
        <v>0.45012349726775946</v>
      </c>
    </row>
    <row r="28" spans="1:12" x14ac:dyDescent="0.35">
      <c r="A28" s="14" t="s">
        <v>2121</v>
      </c>
      <c r="B28" s="14" t="s">
        <v>2122</v>
      </c>
      <c r="C28" s="14" t="s">
        <v>2099</v>
      </c>
      <c r="D28" s="14" t="s">
        <v>2103</v>
      </c>
      <c r="E28" s="14" t="s">
        <v>2100</v>
      </c>
      <c r="G28" s="14" t="s">
        <v>27</v>
      </c>
      <c r="H28" s="13">
        <f>COUNTIF('Property Dataset  '!D:D,"Villa")</f>
        <v>195</v>
      </c>
      <c r="I28" s="15">
        <f>AVERAGEIF('Property Dataset  '!D:D,"Villa",'Property Dataset  '!F:F)</f>
        <v>25384615.384615384</v>
      </c>
      <c r="J28" s="20">
        <f>AVERAGEIF('Property Dataset  '!D:D,"Villa",'Property Dataset  '!E:E)</f>
        <v>4913.8102564102564</v>
      </c>
      <c r="K28" s="15">
        <f>AVERAGEIF('Property Dataset  '!D:D,"Villa",'Property Dataset  '!O:O)</f>
        <v>84950.117948717947</v>
      </c>
      <c r="L28" s="16">
        <f>AVERAGEIF('Property Dataset  '!D:D,"Villa",'Property Dataset  '!R:R)</f>
        <v>0.44933230769230775</v>
      </c>
    </row>
    <row r="29" spans="1:12" x14ac:dyDescent="0.35">
      <c r="A29" s="13" t="s">
        <v>2123</v>
      </c>
      <c r="B29" s="13">
        <f>COUNTIF('Property Dataset  '!M:M,3)</f>
        <v>170</v>
      </c>
      <c r="C29" s="15">
        <f>AVERAGEIF('Property Dataset  '!M:M,3,'Property Dataset  '!F:F)</f>
        <v>26401035.670588236</v>
      </c>
      <c r="D29" s="15">
        <f>AVERAGEIF('Property Dataset  '!M:M,3,'Property Dataset  '!O:O)</f>
        <v>87436.147058823524</v>
      </c>
      <c r="E29" s="16">
        <f>AVERAGEIF('Property Dataset  '!M:M,3,'Property Dataset  '!R:R)</f>
        <v>0.44830705882352945</v>
      </c>
    </row>
    <row r="30" spans="1:12" x14ac:dyDescent="0.35">
      <c r="A30" s="13" t="s">
        <v>2124</v>
      </c>
      <c r="B30" s="13">
        <f>COUNTIF('Property Dataset  '!M:M,4)</f>
        <v>174</v>
      </c>
      <c r="C30" s="15">
        <f>AVERAGEIF('Property Dataset  '!M:M,4,'Property Dataset  '!F:F)</f>
        <v>25835885.413793102</v>
      </c>
      <c r="D30" s="15">
        <f>AVERAGEIF('Property Dataset  '!M:M,4,'Property Dataset  '!O:O)</f>
        <v>86039.362068965522</v>
      </c>
      <c r="E30" s="16">
        <f>AVERAGEIF('Property Dataset  '!M:M,4,'Property Dataset  '!R:R)</f>
        <v>0.4495063218390804</v>
      </c>
      <c r="G30" s="124" t="s">
        <v>2151</v>
      </c>
      <c r="H30" s="125"/>
      <c r="I30" s="125"/>
      <c r="J30" s="125"/>
    </row>
    <row r="31" spans="1:12" x14ac:dyDescent="0.35">
      <c r="A31" s="13" t="s">
        <v>2125</v>
      </c>
      <c r="B31" s="13">
        <f>COUNTIF('Property Dataset  '!M:M,5)</f>
        <v>149</v>
      </c>
      <c r="C31" s="15">
        <f>AVERAGEIF('Property Dataset  '!M:M,5,'Property Dataset  '!F:F)</f>
        <v>25738835.308724832</v>
      </c>
      <c r="D31" s="15">
        <f>AVERAGEIF('Property Dataset  '!M:M,5,'Property Dataset  '!O:O)</f>
        <v>86833.966442953024</v>
      </c>
      <c r="E31" s="16">
        <f>AVERAGEIF('Property Dataset  '!M:M,5,'Property Dataset  '!R:R)</f>
        <v>0.45027449664429525</v>
      </c>
      <c r="G31" s="14" t="s">
        <v>2048</v>
      </c>
      <c r="H31" s="14" t="s">
        <v>2098</v>
      </c>
      <c r="I31" s="14" t="s">
        <v>2099</v>
      </c>
      <c r="J31" s="14" t="s">
        <v>2100</v>
      </c>
    </row>
    <row r="32" spans="1:12" x14ac:dyDescent="0.35">
      <c r="A32" s="13" t="s">
        <v>2126</v>
      </c>
      <c r="B32" s="13">
        <f>COUNTIF('Property Dataset  '!M:M,6)</f>
        <v>153</v>
      </c>
      <c r="C32" s="15">
        <f>AVERAGEIF('Property Dataset  '!M:M,6,'Property Dataset  '!F:F)</f>
        <v>27065259.366013072</v>
      </c>
      <c r="D32" s="15">
        <f>AVERAGEIF('Property Dataset  '!M:M,6,'Property Dataset  '!O:O)</f>
        <v>90466.084967320261</v>
      </c>
      <c r="E32" s="16">
        <f>AVERAGEIF('Property Dataset  '!M:M,6,'Property Dataset  '!R:R)</f>
        <v>0.44889084967320242</v>
      </c>
      <c r="G32" s="13" t="s">
        <v>28</v>
      </c>
      <c r="H32" s="13">
        <f>COUNTIF('Property Dataset  '!K:K,"North")</f>
        <v>139</v>
      </c>
      <c r="I32" s="15">
        <f>AVERAGEIF('Property Dataset  '!K:K,"North",'Property Dataset  '!F:F)</f>
        <v>26340684.309352517</v>
      </c>
      <c r="J32" s="16">
        <f>AVERAGEIF('Property Dataset  '!K:K,"North",'Property Dataset  '!R:R)</f>
        <v>0.45159280575539557</v>
      </c>
    </row>
    <row r="33" spans="1:10" x14ac:dyDescent="0.35">
      <c r="A33" s="13" t="s">
        <v>2127</v>
      </c>
      <c r="B33" s="13">
        <f>COUNTIF('Property Dataset  '!M:M,7)</f>
        <v>173</v>
      </c>
      <c r="C33" s="15">
        <f>AVERAGEIF('Property Dataset  '!M:M,7,'Property Dataset  '!F:F)</f>
        <v>25495289.710982658</v>
      </c>
      <c r="D33" s="15">
        <f>AVERAGEIF('Property Dataset  '!M:M,7,'Property Dataset  '!O:O)</f>
        <v>84693.028901734098</v>
      </c>
      <c r="E33" s="16">
        <f>AVERAGEIF('Property Dataset  '!M:M,7,'Property Dataset  '!R:R)</f>
        <v>0.44955606936416204</v>
      </c>
      <c r="G33" s="13" t="s">
        <v>58</v>
      </c>
      <c r="H33" s="13">
        <f>COUNTIF('Property Dataset  '!K:K,"South")</f>
        <v>125</v>
      </c>
      <c r="I33" s="15">
        <f>AVERAGEIF('Property Dataset  '!K:K,"South",'Property Dataset  '!F:F)</f>
        <v>26962362.304000001</v>
      </c>
      <c r="J33" s="16">
        <f>AVERAGEIF('Property Dataset  '!K:K,"South",'Property Dataset  '!R:R)</f>
        <v>0.44718719999999984</v>
      </c>
    </row>
    <row r="34" spans="1:10" x14ac:dyDescent="0.35">
      <c r="A34" s="13" t="s">
        <v>2128</v>
      </c>
      <c r="B34" s="13">
        <f>COUNTIF('Property Dataset  '!M:M,8)</f>
        <v>181</v>
      </c>
      <c r="C34" s="15">
        <f>AVERAGEIF('Property Dataset  '!M:M,8,'Property Dataset  '!F:F)</f>
        <v>25410236.187845305</v>
      </c>
      <c r="D34" s="15">
        <f>AVERAGEIF('Property Dataset  '!M:M,8,'Property Dataset  '!O:O)</f>
        <v>84219.40331491713</v>
      </c>
      <c r="E34" s="16">
        <f>AVERAGEIF('Property Dataset  '!M:M,8,'Property Dataset  '!R:R)</f>
        <v>0.44957790055248625</v>
      </c>
      <c r="G34" s="13" t="s">
        <v>61</v>
      </c>
      <c r="H34" s="13">
        <f>COUNTIF('Property Dataset  '!K:K,"East")</f>
        <v>125</v>
      </c>
      <c r="I34" s="15">
        <f>AVERAGEIF('Property Dataset  '!K:K,"East",'Property Dataset  '!F:F)</f>
        <v>27806188.552000001</v>
      </c>
      <c r="J34" s="16">
        <f>AVERAGEIF('Property Dataset  '!K:K,"East",'Property Dataset  '!R:R)</f>
        <v>0.44993920000000015</v>
      </c>
    </row>
    <row r="35" spans="1:10" x14ac:dyDescent="0.35">
      <c r="G35" s="13" t="s">
        <v>4</v>
      </c>
      <c r="H35" s="13">
        <f>COUNTIF('Property Dataset  '!K:K,"West")</f>
        <v>126</v>
      </c>
      <c r="I35" s="15">
        <f>AVERAGEIF('Property Dataset  '!K:K,"West",'Property Dataset  '!F:F)</f>
        <v>23756500.880952381</v>
      </c>
      <c r="J35" s="16">
        <f>AVERAGEIF('Property Dataset  '!K:K,"West",'Property Dataset  '!R:R)</f>
        <v>0.44841904761904749</v>
      </c>
    </row>
    <row r="36" spans="1:10" x14ac:dyDescent="0.35">
      <c r="A36" s="124" t="s">
        <v>2129</v>
      </c>
      <c r="B36" s="125"/>
      <c r="C36" s="125"/>
      <c r="D36" s="125"/>
      <c r="E36" s="125"/>
      <c r="G36" s="13" t="s">
        <v>34</v>
      </c>
      <c r="H36" s="13">
        <f>COUNTIF('Property Dataset  '!K:K,"North-East")</f>
        <v>120</v>
      </c>
      <c r="I36" s="15">
        <f>AVERAGEIF('Property Dataset  '!K:K,"North-East",'Property Dataset  '!F:F)</f>
        <v>25892336.283333335</v>
      </c>
      <c r="J36" s="16">
        <f>AVERAGEIF('Property Dataset  '!K:K,"North-East",'Property Dataset  '!R:R)</f>
        <v>0.44962416666666677</v>
      </c>
    </row>
    <row r="37" spans="1:10" x14ac:dyDescent="0.35">
      <c r="A37" s="14" t="s">
        <v>2130</v>
      </c>
      <c r="B37" s="14" t="s">
        <v>2098</v>
      </c>
      <c r="C37" s="14" t="s">
        <v>2099</v>
      </c>
      <c r="D37" s="14" t="s">
        <v>2131</v>
      </c>
      <c r="E37" s="14" t="s">
        <v>2100</v>
      </c>
      <c r="G37" s="14" t="s">
        <v>42</v>
      </c>
      <c r="H37" s="13">
        <f>COUNTIF('Property Dataset  '!K:K,"North-West")</f>
        <v>125</v>
      </c>
      <c r="I37" s="15">
        <f>AVERAGEIF('Property Dataset  '!K:K,"North-West",'Property Dataset  '!F:F)</f>
        <v>26237170.736000001</v>
      </c>
      <c r="J37" s="16">
        <f>AVERAGEIF('Property Dataset  '!K:K,"North-West",'Property Dataset  '!R:R)</f>
        <v>0.45057999999999998</v>
      </c>
    </row>
    <row r="38" spans="1:10" x14ac:dyDescent="0.35">
      <c r="A38" s="13" t="s">
        <v>2132</v>
      </c>
      <c r="B38" s="13">
        <f>COUNTIFS('Property Dataset  '!N:N,"&gt;=1",'Property Dataset  '!N:N,"&lt;=4")</f>
        <v>146</v>
      </c>
      <c r="C38" s="15">
        <f>AVERAGEIFS('Property Dataset  '!F:F,'Property Dataset  '!N:N,"&gt;=1",'Property Dataset  '!N:N,"&lt;=4")</f>
        <v>26916974.65068493</v>
      </c>
      <c r="D38" s="16">
        <f>AVERAGEIFS('Property Dataset  '!P:P,'Property Dataset  '!N:N,"&gt;=1",'Property Dataset  '!N:N,"&lt;=4")</f>
        <v>3.9402739726027387</v>
      </c>
      <c r="E38" s="16">
        <f>AVERAGEIFS('Property Dataset  '!R:R,'Property Dataset  '!N:N,"&gt;=1",'Property Dataset  '!N:N,"&lt;=4")</f>
        <v>0.44702739726027391</v>
      </c>
      <c r="G38" s="13" t="s">
        <v>12</v>
      </c>
      <c r="H38" s="13">
        <f>COUNTIF('Property Dataset  '!K:K,"South-East")</f>
        <v>116</v>
      </c>
      <c r="I38" s="15">
        <f>AVERAGEIF('Property Dataset  '!K:K,"South-East",'Property Dataset  '!F:F)</f>
        <v>25719594.439655174</v>
      </c>
      <c r="J38" s="16">
        <f>AVERAGEIF('Property Dataset  '!K:K,"South-East",'Property Dataset  '!R:R)</f>
        <v>0.4498379310344825</v>
      </c>
    </row>
    <row r="39" spans="1:10" x14ac:dyDescent="0.35">
      <c r="A39" s="13" t="s">
        <v>2133</v>
      </c>
      <c r="B39" s="13">
        <f>COUNTIFS('Property Dataset  '!N:N,"&gt;=5",'Property Dataset  '!N:N,"&lt;=6")</f>
        <v>257</v>
      </c>
      <c r="C39" s="15">
        <f>AVERAGEIFS('Property Dataset  '!F:F,'Property Dataset  '!N:N,"&gt;=5",'Property Dataset  '!N:N,"&lt;=6")</f>
        <v>25195794.470817119</v>
      </c>
      <c r="D39" s="16">
        <f>AVERAGEIFS('Property Dataset  '!P:P,'Property Dataset  '!N:N,"&gt;=5",'Property Dataset  '!N:N,"&lt;=6")</f>
        <v>3.9598832684824918</v>
      </c>
      <c r="E39" s="16">
        <f>AVERAGEIFS('Property Dataset  '!R:R,'Property Dataset  '!N:N,"&gt;=5",'Property Dataset  '!N:N,"&lt;=6")</f>
        <v>0.44798365758754843</v>
      </c>
      <c r="G39" s="13" t="s">
        <v>21</v>
      </c>
      <c r="H39" s="13">
        <f>COUNTIF('Property Dataset  '!K:K,"South-West")</f>
        <v>124</v>
      </c>
      <c r="I39" s="15">
        <f>AVERAGEIF('Property Dataset  '!K:K,"South-West",'Property Dataset  '!F:F)</f>
        <v>24989406.467741936</v>
      </c>
      <c r="J39" s="16">
        <f>AVERAGEIF('Property Dataset  '!K:K,"South-West",'Property Dataset  '!R:R)</f>
        <v>0.44736048387096772</v>
      </c>
    </row>
    <row r="40" spans="1:10" x14ac:dyDescent="0.35">
      <c r="A40" s="13" t="s">
        <v>2134</v>
      </c>
      <c r="B40" s="13">
        <f>COUNTIFS('Property Dataset  '!N:N,"&gt;=7",'Property Dataset  '!N:N,"&lt;=8")</f>
        <v>289</v>
      </c>
      <c r="C40" s="15">
        <f>AVERAGEIFS('Property Dataset  '!F:F,'Property Dataset  '!N:N,"&gt;=7",'Property Dataset  '!N:N,"&lt;=8")</f>
        <v>26372464.802768167</v>
      </c>
      <c r="D40" s="16">
        <f>AVERAGEIFS('Property Dataset  '!P:P,'Property Dataset  '!N:N,"&gt;=7",'Property Dataset  '!N:N,"&lt;=8")</f>
        <v>3.9761245674740491</v>
      </c>
      <c r="E40" s="16">
        <f>AVERAGEIFS('Property Dataset  '!R:R,'Property Dataset  '!N:N,"&gt;=7",'Property Dataset  '!N:N,"&lt;=8")</f>
        <v>0.44879307958477549</v>
      </c>
    </row>
    <row r="41" spans="1:10" x14ac:dyDescent="0.35">
      <c r="A41" s="13" t="s">
        <v>2135</v>
      </c>
      <c r="B41" s="13">
        <f>COUNTIFS('Property Dataset  '!N:N,"&gt;=9",'Property Dataset  '!N:N,"&lt;=10")</f>
        <v>308</v>
      </c>
      <c r="C41" s="15">
        <f>AVERAGEIFS('Property Dataset  '!F:F,'Property Dataset  '!N:N,"&gt;=9",'Property Dataset  '!N:N,"&lt;=10")</f>
        <v>25788277.058441557</v>
      </c>
      <c r="D41" s="16">
        <f>AVERAGEIFS('Property Dataset  '!P:P,'Property Dataset  '!N:N,"&gt;=9",'Property Dataset  '!N:N,"&lt;=10")</f>
        <v>4.0418181818181802</v>
      </c>
      <c r="E41" s="16">
        <f>AVERAGEIFS('Property Dataset  '!R:R,'Property Dataset  '!N:N,"&gt;=9",'Property Dataset  '!N:N,"&lt;=10")</f>
        <v>0.45209512987013001</v>
      </c>
    </row>
    <row r="44" spans="1:10" x14ac:dyDescent="0.35">
      <c r="A44" s="127" t="s">
        <v>2152</v>
      </c>
      <c r="B44" s="125"/>
      <c r="C44" s="125"/>
      <c r="D44" s="125"/>
      <c r="E44" s="125"/>
      <c r="F44" s="125"/>
    </row>
    <row r="45" spans="1:10" x14ac:dyDescent="0.35">
      <c r="A45" s="14" t="s">
        <v>2153</v>
      </c>
      <c r="B45" s="14" t="s">
        <v>2154</v>
      </c>
      <c r="C45" s="14" t="s">
        <v>2155</v>
      </c>
      <c r="D45" s="14" t="s">
        <v>2156</v>
      </c>
      <c r="E45" s="14" t="s">
        <v>2157</v>
      </c>
      <c r="F45" s="14" t="s">
        <v>2158</v>
      </c>
    </row>
    <row r="46" spans="1:10" x14ac:dyDescent="0.35">
      <c r="A46" s="13" t="s">
        <v>2159</v>
      </c>
      <c r="B46" s="15">
        <f>MIN('Property Dataset  '!F:F)</f>
        <v>10000000</v>
      </c>
      <c r="C46" s="15">
        <f>MAX('Property Dataset  '!F:F)</f>
        <v>50000000</v>
      </c>
      <c r="D46" s="15">
        <f>AVERAGE('Property Dataset  '!F:F)</f>
        <v>25969629.140000001</v>
      </c>
      <c r="E46" s="15">
        <f>MEDIAN('Property Dataset  '!F:F)</f>
        <v>26719297.5</v>
      </c>
      <c r="F46" s="15">
        <f>STDEV('Property Dataset  '!F:F)</f>
        <v>14817490.721572332</v>
      </c>
    </row>
    <row r="47" spans="1:10" x14ac:dyDescent="0.35">
      <c r="A47" s="13" t="s">
        <v>2160</v>
      </c>
      <c r="B47" s="20">
        <f>MIN('Property Dataset  '!E:E)</f>
        <v>252</v>
      </c>
      <c r="C47" s="20">
        <f>MAX('Property Dataset  '!E:E)</f>
        <v>9997</v>
      </c>
      <c r="D47" s="20">
        <f>AVERAGE('Property Dataset  '!E:E)</f>
        <v>3391.7640000000001</v>
      </c>
      <c r="E47" s="20">
        <f>MEDIAN('Property Dataset  '!E:E)</f>
        <v>2898</v>
      </c>
      <c r="F47" s="20">
        <f>STDEV('Property Dataset  '!E:E)</f>
        <v>2523.685141811276</v>
      </c>
    </row>
    <row r="48" spans="1:10" x14ac:dyDescent="0.35">
      <c r="A48" s="13" t="s">
        <v>2161</v>
      </c>
      <c r="B48" s="15">
        <f>MIN('Property Dataset  '!G:G)</f>
        <v>1001</v>
      </c>
      <c r="C48" s="15">
        <f>MAX('Property Dataset  '!G:G)</f>
        <v>183885</v>
      </c>
      <c r="D48" s="15">
        <f>AVERAGE('Property Dataset  '!G:G)</f>
        <v>20668.953000000001</v>
      </c>
      <c r="E48" s="15">
        <f>MEDIAN('Property Dataset  '!G:G)</f>
        <v>8462</v>
      </c>
      <c r="F48" s="15">
        <f>STDEV('Property Dataset  '!G:G)</f>
        <v>29689.756366597201</v>
      </c>
    </row>
    <row r="49" spans="1:12" x14ac:dyDescent="0.35">
      <c r="A49" s="13" t="s">
        <v>2162</v>
      </c>
      <c r="B49" s="15">
        <f>MIN('Property Dataset  '!O:O)</f>
        <v>25201</v>
      </c>
      <c r="C49" s="15">
        <f>MAX('Property Dataset  '!O:O)</f>
        <v>207519</v>
      </c>
      <c r="D49" s="15">
        <f>AVERAGE('Property Dataset  '!O:O)</f>
        <v>86510.172000000006</v>
      </c>
      <c r="E49" s="15">
        <f>MEDIAN('Property Dataset  '!O:O)</f>
        <v>75513</v>
      </c>
      <c r="F49" s="15">
        <f>STDEV('Property Dataset  '!O:O)</f>
        <v>52175.049466879158</v>
      </c>
    </row>
    <row r="50" spans="1:12" x14ac:dyDescent="0.35">
      <c r="A50" s="13" t="s">
        <v>2163</v>
      </c>
      <c r="B50" s="16">
        <f>MIN('Property Dataset  '!R:R)</f>
        <v>0.40009999999999996</v>
      </c>
      <c r="C50" s="16">
        <f>MAX('Property Dataset  '!R:R)</f>
        <v>0.49979999999999997</v>
      </c>
      <c r="D50" s="16">
        <f>AVERAGE('Property Dataset  '!R:R)</f>
        <v>0.44934430000000009</v>
      </c>
      <c r="E50" s="16">
        <f>MEDIAN('Property Dataset  '!R:R)</f>
        <v>0.44890000000000002</v>
      </c>
      <c r="F50" s="16">
        <f>STDEV('Property Dataset  '!R:R)</f>
        <v>2.9572426615445773E-2</v>
      </c>
    </row>
    <row r="51" spans="1:12" x14ac:dyDescent="0.35">
      <c r="A51" s="13" t="s">
        <v>2164</v>
      </c>
      <c r="B51" s="19">
        <f>MIN('Property Dataset  '!T:T)</f>
        <v>1</v>
      </c>
      <c r="C51" s="19">
        <f>MAX('Property Dataset  '!T:T)</f>
        <v>365</v>
      </c>
      <c r="D51" s="19">
        <f>AVERAGE('Property Dataset  '!T:T)</f>
        <v>180.22300000000001</v>
      </c>
      <c r="E51" s="19">
        <f>MEDIAN('Property Dataset  '!T:T)</f>
        <v>178</v>
      </c>
      <c r="F51" s="19">
        <f>STDEV('Property Dataset  '!T:T)</f>
        <v>104.14142647240679</v>
      </c>
    </row>
    <row r="53" spans="1:12" x14ac:dyDescent="0.35">
      <c r="A53" s="124" t="s">
        <v>2165</v>
      </c>
      <c r="B53" s="125"/>
      <c r="C53" s="125"/>
      <c r="D53" s="125"/>
    </row>
    <row r="54" spans="1:12" x14ac:dyDescent="0.35">
      <c r="A54" s="14" t="s">
        <v>2058</v>
      </c>
      <c r="B54" s="14" t="s">
        <v>2098</v>
      </c>
      <c r="C54" s="14" t="s">
        <v>2166</v>
      </c>
      <c r="D54" s="14" t="s">
        <v>2167</v>
      </c>
    </row>
    <row r="55" spans="1:12" x14ac:dyDescent="0.35">
      <c r="A55" s="13" t="s">
        <v>7</v>
      </c>
      <c r="B55" s="13">
        <f>COUNTIF('Property Dataset  '!U:U,"Available")</f>
        <v>584</v>
      </c>
      <c r="C55" s="19">
        <f>AVERAGEIF('Property Dataset  '!U:U,"Available",'Property Dataset  '!V:V)</f>
        <v>107.21061643835617</v>
      </c>
      <c r="D55" s="19">
        <f>AVERAGEIF('Property Dataset  '!U:U,"Available",'Property Dataset  '!T:T)</f>
        <v>179.10445205479451</v>
      </c>
    </row>
    <row r="56" spans="1:12" x14ac:dyDescent="0.35">
      <c r="A56" s="13" t="s">
        <v>30</v>
      </c>
      <c r="B56" s="13">
        <f>COUNTIF('Property Dataset  '!U:U,"Sold")</f>
        <v>255</v>
      </c>
      <c r="C56" s="19">
        <f>AVERAGEIF('Property Dataset  '!U:U,"Sold",'Property Dataset  '!V:V)</f>
        <v>104.54117647058824</v>
      </c>
      <c r="D56" s="19">
        <f>AVERAGEIF('Property Dataset  '!U:U,"Sold",'Property Dataset  '!T:T)</f>
        <v>179.24313725490197</v>
      </c>
    </row>
    <row r="57" spans="1:12" x14ac:dyDescent="0.35">
      <c r="A57" s="13" t="s">
        <v>23</v>
      </c>
      <c r="B57" s="13">
        <f>COUNTIF('Property Dataset  '!U:U,"Rented")</f>
        <v>161</v>
      </c>
      <c r="C57" s="19">
        <f>AVERAGEIF('Property Dataset  '!U:U,"Rented",'Property Dataset  '!V:V)</f>
        <v>108.60869565217391</v>
      </c>
      <c r="D57" s="19">
        <f>AVERAGEIF('Property Dataset  '!U:U,"Rented",'Property Dataset  '!T:T)</f>
        <v>185.83229813664596</v>
      </c>
    </row>
    <row r="60" spans="1:12" ht="16" x14ac:dyDescent="0.4">
      <c r="A60" s="128" t="s">
        <v>2168</v>
      </c>
      <c r="B60" s="33"/>
      <c r="C60" s="33"/>
      <c r="D60" s="33"/>
      <c r="E60" s="33"/>
      <c r="F60" s="33"/>
      <c r="G60" s="33"/>
      <c r="H60" s="33"/>
      <c r="I60" s="33"/>
      <c r="J60" s="33"/>
      <c r="K60" s="33"/>
      <c r="L60" s="33"/>
    </row>
    <row r="61" spans="1:12" x14ac:dyDescent="0.35">
      <c r="A61" s="39" t="s">
        <v>2169</v>
      </c>
      <c r="B61" s="33"/>
      <c r="C61" s="33"/>
      <c r="D61" s="33"/>
      <c r="E61" s="33"/>
      <c r="F61" s="33"/>
      <c r="G61" s="33"/>
      <c r="H61" s="33"/>
      <c r="I61" s="33"/>
      <c r="J61" s="33"/>
      <c r="K61" s="33"/>
      <c r="L61" s="33"/>
    </row>
    <row r="62" spans="1:12" x14ac:dyDescent="0.35">
      <c r="A62" s="39" t="s">
        <v>2170</v>
      </c>
      <c r="B62" s="33"/>
      <c r="C62" s="33"/>
      <c r="D62" s="33"/>
      <c r="E62" s="33"/>
      <c r="F62" s="33"/>
      <c r="G62" s="33"/>
      <c r="H62" s="33"/>
      <c r="I62" s="33"/>
      <c r="J62" s="33"/>
      <c r="K62" s="33"/>
      <c r="L62" s="33"/>
    </row>
    <row r="63" spans="1:12" x14ac:dyDescent="0.35">
      <c r="A63" s="39" t="s">
        <v>2171</v>
      </c>
      <c r="B63" s="33"/>
      <c r="C63" s="33"/>
      <c r="D63" s="33"/>
      <c r="E63" s="33"/>
      <c r="F63" s="33"/>
      <c r="G63" s="33"/>
      <c r="H63" s="33"/>
      <c r="I63" s="33"/>
      <c r="J63" s="33"/>
      <c r="K63" s="33"/>
      <c r="L63" s="33"/>
    </row>
    <row r="64" spans="1:12" x14ac:dyDescent="0.35">
      <c r="A64" s="39" t="s">
        <v>2172</v>
      </c>
      <c r="B64" s="33"/>
      <c r="C64" s="33"/>
      <c r="D64" s="33"/>
      <c r="E64" s="33"/>
      <c r="F64" s="33"/>
      <c r="G64" s="33"/>
      <c r="H64" s="33"/>
      <c r="I64" s="33"/>
      <c r="J64" s="33"/>
      <c r="K64" s="33"/>
      <c r="L64" s="33"/>
    </row>
    <row r="65" spans="1:12" x14ac:dyDescent="0.35">
      <c r="A65" s="39" t="s">
        <v>2173</v>
      </c>
      <c r="B65" s="33"/>
      <c r="C65" s="33"/>
      <c r="D65" s="33"/>
      <c r="E65" s="33"/>
      <c r="F65" s="33"/>
      <c r="G65" s="33"/>
      <c r="H65" s="33"/>
      <c r="I65" s="33"/>
      <c r="J65" s="33"/>
      <c r="K65" s="33"/>
      <c r="L65" s="33"/>
    </row>
    <row r="66" spans="1:12" x14ac:dyDescent="0.35">
      <c r="A66" s="39" t="s">
        <v>2174</v>
      </c>
      <c r="B66" s="33"/>
      <c r="C66" s="33"/>
      <c r="D66" s="33"/>
      <c r="E66" s="33"/>
      <c r="F66" s="33"/>
      <c r="G66" s="33"/>
      <c r="H66" s="33"/>
      <c r="I66" s="33"/>
      <c r="J66" s="33"/>
      <c r="K66" s="33"/>
      <c r="L66" s="33"/>
    </row>
    <row r="67" spans="1:12" x14ac:dyDescent="0.35">
      <c r="A67" s="39" t="s">
        <v>2175</v>
      </c>
      <c r="B67" s="33"/>
      <c r="C67" s="33"/>
      <c r="D67" s="33"/>
      <c r="E67" s="33"/>
      <c r="F67" s="33"/>
      <c r="G67" s="33"/>
      <c r="H67" s="33"/>
      <c r="I67" s="33"/>
      <c r="J67" s="33"/>
      <c r="K67" s="33"/>
      <c r="L67" s="33"/>
    </row>
    <row r="68" spans="1:12" x14ac:dyDescent="0.35">
      <c r="A68" s="39" t="s">
        <v>2176</v>
      </c>
      <c r="B68" s="33"/>
      <c r="C68" s="33"/>
      <c r="D68" s="33"/>
      <c r="E68" s="33"/>
      <c r="F68" s="33"/>
      <c r="G68" s="33"/>
      <c r="H68" s="33"/>
      <c r="I68" s="33"/>
      <c r="J68" s="33"/>
      <c r="K68" s="33"/>
      <c r="L68" s="33"/>
    </row>
    <row r="69" spans="1:12" x14ac:dyDescent="0.35">
      <c r="A69" s="39" t="s">
        <v>2177</v>
      </c>
      <c r="B69" s="33"/>
      <c r="C69" s="33"/>
      <c r="D69" s="33"/>
      <c r="E69" s="33"/>
      <c r="F69" s="33"/>
      <c r="G69" s="33"/>
      <c r="H69" s="33"/>
      <c r="I69" s="33"/>
      <c r="J69" s="33"/>
      <c r="K69" s="33"/>
      <c r="L69" s="33"/>
    </row>
    <row r="70" spans="1:12" x14ac:dyDescent="0.35">
      <c r="A70" s="39" t="s">
        <v>2178</v>
      </c>
      <c r="B70" s="33"/>
      <c r="C70" s="33"/>
      <c r="D70" s="33"/>
      <c r="E70" s="33"/>
      <c r="F70" s="33"/>
      <c r="G70" s="33"/>
      <c r="H70" s="33"/>
      <c r="I70" s="33"/>
      <c r="J70" s="33"/>
      <c r="K70" s="33"/>
      <c r="L70" s="33"/>
    </row>
  </sheetData>
  <mergeCells count="24">
    <mergeCell ref="A62:L62"/>
    <mergeCell ref="A1:L1"/>
    <mergeCell ref="A3:D3"/>
    <mergeCell ref="A8:F8"/>
    <mergeCell ref="A18:E18"/>
    <mergeCell ref="A27:E27"/>
    <mergeCell ref="A36:E36"/>
    <mergeCell ref="G3:I3"/>
    <mergeCell ref="G12:K12"/>
    <mergeCell ref="G17:K17"/>
    <mergeCell ref="G22:L22"/>
    <mergeCell ref="G30:J30"/>
    <mergeCell ref="A44:F44"/>
    <mergeCell ref="A53:D53"/>
    <mergeCell ref="A60:L60"/>
    <mergeCell ref="A61:L61"/>
    <mergeCell ref="A69:L69"/>
    <mergeCell ref="A70:L70"/>
    <mergeCell ref="A63:L63"/>
    <mergeCell ref="A64:L64"/>
    <mergeCell ref="A65:L65"/>
    <mergeCell ref="A66:L66"/>
    <mergeCell ref="A67:L67"/>
    <mergeCell ref="A68:L68"/>
  </mergeCells>
  <pageMargins left="0.7" right="0.7" top="0.75" bottom="0.75" header="0.3" footer="0.3"/>
  <pageSetup scale="34"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Property Dataset  </vt:lpstr>
      <vt:lpstr>Stats </vt:lpstr>
      <vt:lpstr>Executive Summary</vt:lpstr>
      <vt:lpstr>Dashboard </vt:lpstr>
      <vt:lpstr>Additional Analysis</vt:lpstr>
      <vt:lpstr>'Additional Analysis'!Print_Area</vt:lpstr>
      <vt:lpstr>'Executive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Bisht</dc:creator>
  <cp:lastModifiedBy>Tushar Bisht</cp:lastModifiedBy>
  <cp:lastPrinted>2026-05-19T10:19:15Z</cp:lastPrinted>
  <dcterms:created xsi:type="dcterms:W3CDTF">2026-05-18T18:27:11Z</dcterms:created>
  <dcterms:modified xsi:type="dcterms:W3CDTF">2026-05-19T10:20:45Z</dcterms:modified>
</cp:coreProperties>
</file>